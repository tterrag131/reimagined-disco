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mc:AlternateContent xmlns:mc="http://schemas.openxmlformats.org/markup-compatibility/2006">
    <mc:Choice Requires="x15">
      <x15ac:absPath xmlns:x15ac="http://schemas.microsoft.com/office/spreadsheetml/2010/11/ac" url="C:\Users\tterrag\.vscode\SMF1trials\FSDhistory\"/>
    </mc:Choice>
  </mc:AlternateContent>
  <xr:revisionPtr revIDLastSave="0" documentId="13_ncr:1_{1598CDD0-8FE5-4236-B70E-0B746B7C1747}" xr6:coauthVersionLast="47" xr6:coauthVersionMax="47" xr10:uidLastSave="{00000000-0000-0000-0000-000000000000}"/>
  <bookViews>
    <workbookView showHorizontalScroll="0" showVerticalScroll="0" xWindow="2640" yWindow="2640" windowWidth="21600" windowHeight="11385" firstSheet="1" activeTab="2" xr2:uid="{00000000-000D-0000-FFFF-FFFF00000000}"/>
  </bookViews>
  <sheets>
    <sheet name="Rodeo" sheetId="50" state="hidden" r:id="rId1"/>
    <sheet name="Background" sheetId="52" r:id="rId2"/>
    <sheet name="WIP" sheetId="46" r:id="rId3"/>
    <sheet name="Rainbow" sheetId="68" r:id="rId4"/>
    <sheet name="RATES" sheetId="64" r:id="rId5"/>
    <sheet name="AFE1" sheetId="65" r:id="rId6"/>
    <sheet name="AFE2" sheetId="66" r:id="rId7"/>
    <sheet name="SANKEY" sheetId="67" r:id="rId8"/>
    <sheet name="AF" sheetId="63" r:id="rId9"/>
    <sheet name="WOW" sheetId="62" r:id="rId10"/>
    <sheet name="Parameters" sheetId="59" r:id="rId11"/>
    <sheet name="PlanHC" sheetId="53" r:id="rId12"/>
    <sheet name="User" sheetId="60" r:id="rId13"/>
  </sheets>
  <functionGroups builtInGroupCount="19"/>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s>
  <definedNames>
    <definedName name="_xlnm._FilterDatabase" localSheetId="0" hidden="1">Rodeo!$A$1:$D$4110</definedName>
    <definedName name="aaa" hidden="1">{"'vert'!$A$1:$T$117"}</definedName>
    <definedName name="AAName_rate">#REF!</definedName>
    <definedName name="ajalfdj" hidden="1">{"'vert'!$A$1:$T$117"}</definedName>
    <definedName name="Badge">#REF!</definedName>
    <definedName name="ClearSOS">[1]SOS!$H$42:$H$48,[1]SOS!$G$32,[1]SOS!#REF!,[1]SOS!#REF!,[1]SOS!#REF!,[1]SOS!$I$20:$I$27,[1]SOS!$D$22:$D$24</definedName>
    <definedName name="Clearthis">[2]EOS!$B$5,[2]EOS!$F$5,[2]EOS!$B$10:$B$12,[2]EOS!$E$9,[2]EOS!$E$10,[2]EOS!$E$12,[2]EOS!$G$12,[2]EOS!$I$9:$I$12,[2]EOS!$K$9:$K$12,[2]EOS!$M$9:$M$12,[2]EOS!$R$4:$T$13,[2]EOS!$M$17,[2]EOS!$G$21:$M$25,[2]EOS!$A$6,[2]EOS!$B$27:$B$31,[2]EOS!$E$27:$E$28,[2]EOS!$E$31,[2]EOS!$I$30:$I$31,[2]EOS!$M$28:$M$30</definedName>
    <definedName name="COOL">WIP!$Q$16</definedName>
    <definedName name="coop2" hidden="1">{"'vert'!$A$1:$T$117"}</definedName>
    <definedName name="CPPSmartPacPolyHC">WIP!$F$13</definedName>
    <definedName name="dfgdsfg" hidden="1">{"'vert'!$A$1:$T$117"}</definedName>
    <definedName name="EoSClear">[2]EOS!$B$5,[2]EOS!$R$14:$T$15,[2]EOS!$F$5,[2]EOS!$A$6,[2]EOS!$A$7,[2]EOS!$B$10:$B$12,[2]EOS!$E$9,[2]EOS!$E$10,[2]EOS!$I$9:$I$12,[2]EOS!$K$9:$K$12,[2]EOS!$M$9:$M$12,[2]EOS!$G$12,[2]EOS!$E$12,[2]EOS!$G$21:$M$25,[2]EOS!$B$27:$B$31,[2]EOS!$E$27:$E$28,[2]EOS!$E$31,[2]EOS!$I$30:$I$31,[2]EOS!$M$28:$M$30,[2]EOS!$K$73,[2]EOS!$K$68,[2]EOS!$K$62,[2]EOS!$K$55,[2]EOS!$K$48,[2]EOS!$K$39,[2]EOS!$Q$20:$Q$25,[2]EOS!$R$4:$T$13</definedName>
    <definedName name="ExSD?isEulerUpgraded_ALL_processPath__fnSku__fulfillmentServiceClass_ALL_exSDRange.quickRange_ALL_isEulerPromiseMiss_ALL_zAxis_WORK_POOL_sortCode__isEulerExSDMiss_ALL_exSDRange.dailyEnd_00_3A00_exSDRange.dailyStart_00_1" localSheetId="0">Rodeo!$A$1:$D$4110</definedName>
    <definedName name="fff" hidden="1">{"'vert'!$A$1:$T$117"}</definedName>
    <definedName name="Filename">#REF!</definedName>
    <definedName name="formatMaxDate">#REF!</definedName>
    <definedName name="formatMinDate">#REF!</definedName>
    <definedName name="Free_Replace_2001">'[3]2001_Free_Rep_Essbase'!$D$1:$AE$372</definedName>
    <definedName name="Free_Replace_2002">'[3]2002_Free_Rep_Essbase'!$D$1:$AE$372</definedName>
    <definedName name="HARDLINES">#REF!</definedName>
    <definedName name="HIRE_PATHS">[4]LISTS!$A$2:$A$17</definedName>
    <definedName name="History">#REF!</definedName>
    <definedName name="Home">WIP!#REF!</definedName>
    <definedName name="HOMEFC">WIP!$S$6</definedName>
    <definedName name="HOURS">#REF!</definedName>
    <definedName name="Hours_in_Month">#REF!</definedName>
    <definedName name="HTML_CodePage" hidden="1">1252</definedName>
    <definedName name="HTML_Cont" hidden="1">{"'vert'!$A$1:$T$117"}</definedName>
    <definedName name="HTML_Control" hidden="1">{"'vert'!$A$1:$T$117"}</definedName>
    <definedName name="HTML_Description" hidden="1">""</definedName>
    <definedName name="HTML_Email" hidden="1">""</definedName>
    <definedName name="HTML_Header" hidden="1">"CS holiday scorecard"</definedName>
    <definedName name="HTML_LastUpdate" hidden="1">"10/25/00"</definedName>
    <definedName name="HTML_LineAfter" hidden="1">FALSE</definedName>
    <definedName name="HTML_LineBefore" hidden="1">FALSE</definedName>
    <definedName name="HTML_Name" hidden="1">"emily alford"</definedName>
    <definedName name="HTML_OBDlg2" hidden="1">TRUE</definedName>
    <definedName name="HTML_OBDlg4" hidden="1">TRUE</definedName>
    <definedName name="HTML_OS" hidden="1">0</definedName>
    <definedName name="HTML_PathFile" hidden="1">"I:\dept\cs\us\manager\metrics\secure\holidayscorecard.html.htm"</definedName>
    <definedName name="HTML_Title" hidden="1">"CS holiday scorecard"</definedName>
    <definedName name="Indir">[5]ReportQueries!$I$50:$I$92</definedName>
    <definedName name="intl_mnthly">[6]total_intl!$A$60:$K$73</definedName>
    <definedName name="intl_wkly">[6]total_intl!$A$5:$K$58</definedName>
    <definedName name="LC">[7]ETI!$S:$S</definedName>
    <definedName name="lcr">#REF!</definedName>
    <definedName name="List">#REF!</definedName>
    <definedName name="Login">#REF!</definedName>
    <definedName name="Lookup_Range">#REF!</definedName>
    <definedName name="Matt3amSMan">[5]ReportQueries!$R$6:$R$21</definedName>
    <definedName name="Matt3amWFi">[5]ReportQueries!$T$6:$T$21</definedName>
    <definedName name="Matt3amWOM">[5]ReportQueries!$U$6:$U$21</definedName>
    <definedName name="Matt3amWSh">[5]ReportQueries!$S$6:$S$21</definedName>
    <definedName name="Matt3pm">[5]ReportQueries!$Y$6:$Y$21</definedName>
    <definedName name="Matt630pmManPend">[5]ReportQueries!$J$6:$J$21</definedName>
    <definedName name="Matt7am">[5]ReportQueries!$W$6:$W$21</definedName>
    <definedName name="Matt7amComp">[5]ReportQueries!$H$6:$H$21</definedName>
    <definedName name="Matt7amManP">[5]ReportQueries!$C$6:$C$21</definedName>
    <definedName name="Matt7amManPend">[5]ReportQueries!$C$6:$C$21</definedName>
    <definedName name="Matt7amSMan">[5]ReportQueries!$D$6:$D$21</definedName>
    <definedName name="Matt7amWFi">[5]ReportQueries!$F$6:$F$21</definedName>
    <definedName name="Matt7amWOM">[5]ReportQueries!$G$6:$G$21</definedName>
    <definedName name="Matt7amWSh">[5]ReportQueries!$E$6:$E$21</definedName>
    <definedName name="Matt7pm">[5]ReportQueries!$Z$6:$Z$21</definedName>
    <definedName name="Matt7pmComp">[5]ReportQueries!$O$6:$O$21</definedName>
    <definedName name="Matt7pmWFi">[5]ReportQueries!$M$6:$M$21</definedName>
    <definedName name="Matt7pmWOM">[5]ReportQueries!$N$6:$N$21</definedName>
    <definedName name="Matt7pmWSh">[5]ReportQueries!$L$6:$L$21</definedName>
    <definedName name="maxDate">#REF!</definedName>
    <definedName name="maxHour">#REF!</definedName>
    <definedName name="maxMinute">#REF!</definedName>
    <definedName name="metric1">#REF!</definedName>
    <definedName name="metric2">#REF!</definedName>
    <definedName name="metric3">'[8]Metrics Query'!$A$30:$H$51</definedName>
    <definedName name="metric4">'[8]Metrics Query'!$I$30:$O$51</definedName>
    <definedName name="MHoursETI">[7]ETI!$H:$H</definedName>
    <definedName name="minDate">#REF!</definedName>
    <definedName name="minHour">#REF!</definedName>
    <definedName name="minMinute">#REF!</definedName>
    <definedName name="Month_Print_Area">[9]Master!$AH$1:$AV$39</definedName>
    <definedName name="MoveType">[5]LaborQuery!$B$48:$B$82</definedName>
    <definedName name="MusicBack">[5]ReportQueries!$AU$50:$AU$92</definedName>
    <definedName name="n">[10]ProdQuery3!$B$4:$B$2363</definedName>
    <definedName name="Name">#REF!</definedName>
    <definedName name="Name_Login">#REF!</definedName>
    <definedName name="Name_Roster">#REF!</definedName>
    <definedName name="NetRevenue">#REF!</definedName>
    <definedName name="NewHourly">'[7]New Hourly'!$C$2:$C$3,'[7]New Hourly'!$C$6:$C$7,'[7]New Hourly'!$E$8:$F$8,'[7]New Hourly'!$C$9:$C$10,'[7]New Hourly'!$H$2:$H$19</definedName>
    <definedName name="Oct_Pull">#REF!</definedName>
    <definedName name="P_Index.Cols">'[11]%_INDEX'!$B$4:$BY$4</definedName>
    <definedName name="P_Index.Rows">'[11]%_INDEX'!$B$4:$B$63</definedName>
    <definedName name="P_Plan">'[11]%_PLAN'!$B$3:$BY$64</definedName>
    <definedName name="P_Plan.Cols">'[11]%_PLAN'!$B$3:$BY$3</definedName>
    <definedName name="P_Plan.Rows">'[11]%_PLAN'!$B$3:$B$64</definedName>
    <definedName name="P_WEIGHTED">'[11]%_INDEX'!$B$64:$BY$64</definedName>
    <definedName name="PackHr">[5]ReportQueries!$Z$50:$Z$92</definedName>
    <definedName name="PackVol">[5]ReportQueries!$AF$50:$AF$92</definedName>
    <definedName name="PaidManP">[5]ReportQueries!$BT$6:$BT$21</definedName>
    <definedName name="PaidManPDev">[5]ReportQueries!$BS$6:$BS$21</definedName>
    <definedName name="PaidToManifMean">[5]ReportQueries!$EC$6:$EC$21</definedName>
    <definedName name="Path">'[12]%_PLAN'!$B$203:$C$260</definedName>
    <definedName name="PaymentTerms">[13]Lists!$I$2:$I$10</definedName>
    <definedName name="PICKHC">WIP!$T$3</definedName>
    <definedName name="PICKHCnopull">WIP!$T$3</definedName>
    <definedName name="PlanRange">[5]ReportQueries!$A$25:$AN$26</definedName>
    <definedName name="PlanRates">[14]RateQuery!$B$6:$BY$10</definedName>
    <definedName name="Pooo">#REF!</definedName>
    <definedName name="PPAFE1HC">WIP!$F$8</definedName>
    <definedName name="PPAFE1LL">WIP!$D$8</definedName>
    <definedName name="PPAFE1UL">WIP!$E$8</definedName>
    <definedName name="PPAFE2HC">WIP!$F$9</definedName>
    <definedName name="PPAFE2LL">WIP!$D$9</definedName>
    <definedName name="PPAFE2UL">WIP!$E$9</definedName>
    <definedName name="PPMixHC">WIP!$F$10</definedName>
    <definedName name="PPMixLL">WIP!$D$10</definedName>
    <definedName name="PPMixUL">WIP!$E$10</definedName>
    <definedName name="PPSingleSIOCHC">WIP!$F$14</definedName>
    <definedName name="PPSingleSIOCUL">WIP!$E$14</definedName>
    <definedName name="PPSingleSmallHC">WIP!$F$11</definedName>
    <definedName name="PPSingleSmallLL">WIP!$D$11</definedName>
    <definedName name="PPSingleSmallUL">WIP!$E$11</definedName>
    <definedName name="PPSingleWrapHC">WIP!$F$15</definedName>
    <definedName name="PPSIOCLL">WIP!$D$14</definedName>
    <definedName name="PPSmartPacHC">WIP!$F$12</definedName>
    <definedName name="PPSmartPacLL">WIP!$D$12</definedName>
    <definedName name="PPSmartPacPolyLL">WIP!$D$13</definedName>
    <definedName name="PPSmartPacPolyUL">WIP!$E$13</definedName>
    <definedName name="PPSmartPacUL">WIP!$E$12</definedName>
    <definedName name="PPWrapLL">WIP!$D$15</definedName>
    <definedName name="PPWrapUL">WIP!$E$15</definedName>
    <definedName name="Precharge">[5]ReportQueries!$BW$6:$BW$21</definedName>
    <definedName name="_xlnm.Print_Area">#REF!</definedName>
    <definedName name="Print_Area2">#REF!</definedName>
    <definedName name="Print_Area3">#REF!</definedName>
    <definedName name="ProdWTDArea">[15]ProdQuery3!$B$4:$B$2677</definedName>
    <definedName name="ProdWTDDay">[15]ProdQuery3!$A$4:$A$2677</definedName>
    <definedName name="ProdWTDHr">[15]ProdQuery3!$E$4:$E$2677</definedName>
    <definedName name="ProdWTDIndir">[15]ProdQuery3!$F$4:$F$2677</definedName>
    <definedName name="ProdWTDSub1Hr">[15]ProdQuery3!$L$4:$L$2677</definedName>
    <definedName name="ProdWTDSub1Vol">[15]ProdQuery3!$H$4:$H$2677</definedName>
    <definedName name="ProdWTDSub2Hr">[15]ProdQuery3!$M$4:$M$2677</definedName>
    <definedName name="ProdWTDSub2Vol">[15]ProdQuery3!$I$4:$I$2677</definedName>
    <definedName name="ProdWTDSub3Hr">[15]ProdQuery3!$N$4:$N$2677</definedName>
    <definedName name="ProdWTDVol">[15]ProdQuery3!$G$4:$G$2677</definedName>
    <definedName name="qwqw">[15]ProdQuery3!$F$4:$F$2677</definedName>
    <definedName name="RangeA">[7]EOS!$H$3,[7]EOS!$B$5,[7]EOS!$M$25:$T$30,[7]EOS!$B$19,[7]EOS!$B$24,[7]EOS!$B$39,[7]EOS!$H$50,[7]EOS!$H$54,[7]EOS!$H$58,[7]EOS!$H$62,[7]EOS!$H$68:$S$88,[7]EOS!$G$68:$G$79,[7]EOS!$G$80:$G$82,[7]EOS!$G$85:$G$88,[7]EOS!$B$69,[7]EOS!$B$71,[7]EOS!$B$73,[7]EOS!$B$75,[7]EOS!$B$77,[7]EOS!$B$79,[7]EOS!$B$81,[7]EOS!$B$83,[7]EOS!$L$92,[7]EOS!$L$101,[7]EOS!$L$108,[7]EOS!$L$115,[7]EOS!$L$121,[7]EOS!$L$126,[7]EOS!$L$127</definedName>
    <definedName name="RangeAll">[7]EOS!$B$5,[7]EOS!$H$3,[7]EOS!$B$20,[7]EOS!$B$19,[7]EOS!$B$21,[7]EOS!$B$24,[7]EOS!$B$25,[7]EOS!$B$26,[7]EOS!$B$33,[7]EOS!$B$34,[7]EOS!$B$35,[7]EOS!$B$36,[7]EOS!$M$25:$T$30,[7]EOS!$B$39,[7]EOS!$H$50,[7]EOS!$H$54,[7]EOS!$H$58,[7]EOS!$H$62,[7]EOS!$G$68:$G$82,[7]EOS!$G$85:$G$88,[7]EOS!$H$68:$S$88,[7]EOS!$B$69,[7]EOS!$B$71,[7]EOS!$B$73,[7]EOS!$B$75,[7]EOS!$B$77,[7]EOS!$B$79,[7]EOS!$B$81,[7]EOS!$B$83,[7]EOS!$B$85,[7]EOS!$L$92,[7]EOS!$L$101,[7]EOS!$L$108,[7]EOS!$L$115,[7]EOS!$L$121,[7]EOS!$L$126</definedName>
    <definedName name="RangeT">[2]EOS!$B$5,[2]EOS!$R$14:$T$15,[2]EOS!$F$5,[2]EOS!$A$6,[2]EOS!$A$7,[2]EOS!$B$10:$B$12,[2]EOS!$E$9,[2]EOS!$E$10,[2]EOS!$I$9:$I$12,[2]EOS!$K$9:$K$12,[2]EOS!$M$9:$M$12,[2]EOS!$G$12,[2]EOS!$E$12,[2]EOS!$G$21:$M$25,[2]EOS!$B$27:$B$31,[2]EOS!$E$27:$E$28,[2]EOS!$E$31,[2]EOS!$I$30:$I$31,[2]EOS!$M$28:$M$30,[2]EOS!$K$73,[2]EOS!$K$68,[2]EOS!$K$62,[2]EOS!$K$55,[2]EOS!$K$48,[2]EOS!$K$39,[2]EOS!$Q$20:$Q$25,[2]EOS!$R$4:$T$13,[2]EOS!$I$29</definedName>
    <definedName name="Rate_RFpick">#REF!</definedName>
    <definedName name="Receipts">#REF!</definedName>
    <definedName name="RefundInputs">#REF!</definedName>
    <definedName name="Retrieve_1999_Actuals">#REF!</definedName>
    <definedName name="Retrieve_2000_Actuals">#REF!</definedName>
    <definedName name="Retrieve_2000_Plan">#REF!</definedName>
    <definedName name="Retrieve_Actuals">'[16]Total U.S. Infrastructure'!$C$108:$P$226</definedName>
    <definedName name="retrieve_area">#REF!</definedName>
    <definedName name="Retrieve_Opex">#REF!</definedName>
    <definedName name="Retrieve_Plan">'[16]Total U.S. Infrastructure'!$C$272:$P$387</definedName>
    <definedName name="returns">#REF!</definedName>
    <definedName name="rev_cube">#REF!</definedName>
    <definedName name="Rev_Unit_Shipped">#REF!</definedName>
    <definedName name="Revenue_2001">'[3]2001 Outbound'!$C$1:$D$372</definedName>
    <definedName name="Revenue_2002">'[3]2002 Outbound'!$C$1:$D$372</definedName>
    <definedName name="roster_updated">#REF!</definedName>
    <definedName name="rowcount">#REF!</definedName>
    <definedName name="sencount" hidden="1">1</definedName>
    <definedName name="sep_splits">'[17]ExportSplit Query'!#REF!</definedName>
    <definedName name="Shift">'[18]SOS All'!$C$5</definedName>
    <definedName name="ShipmentCount">#REF!</definedName>
    <definedName name="SHoursETI">[7]ETI!$G:$G</definedName>
    <definedName name="Singles">[15]ProdQuery3!$S$4:$S$2677</definedName>
    <definedName name="Site">#REF!</definedName>
    <definedName name="Size">[7]ETI!$P:$P</definedName>
    <definedName name="SkillCode">#REF!</definedName>
    <definedName name="SkillCode_Badge_Master">#REF!</definedName>
    <definedName name="SoSClear">[2]SOS!$D$20:$D$22,[2]SOS!$I$22:$I$26,[2]SOS!$H$29:$H$48,[2]SOS!$M$33,[2]SOS!$G$29,[2]SOS!$G$37,[2]SOS!$G$38:$G$43,[2]SOS!$G$46,[2]SOS!$G$47,[2]SOS!$G$48</definedName>
    <definedName name="Sub2Hr">[5]ReportQueries!$U$50:$U$92</definedName>
    <definedName name="Sub2Vol">[5]ReportQueries!$Q$50:$Q$92</definedName>
    <definedName name="Sub3Hr">[5]ReportQueries!$V$50:$V$92</definedName>
    <definedName name="Sub3Vol">[5]ReportQueries!$R$50:$R$92</definedName>
    <definedName name="Sub4Hr">[5]ReportQueries!$W$50:$W$92</definedName>
    <definedName name="Sub4Vol">[5]ReportQueries!$S$50:$S$92</definedName>
    <definedName name="Sub5Hr">[5]ReportQueries!$AI$50:$AI$92</definedName>
    <definedName name="Sub5Vol">[5]ReportQueries!$AH$50:$AH$92</definedName>
    <definedName name="TaskList">#REF!</definedName>
    <definedName name="TeamUPH">[19]TeamRates_EachStow!$O$14,[19]TeamRates_EachStow!$AE$14,[19]TeamRates_EachStow!$AU$14,[19]TeamRates_EachStow!$BK$14,[19]TeamRates_EachStow!$CA$14</definedName>
    <definedName name="testus">#REF!</definedName>
    <definedName name="THoursETI">[7]ETI!$K:$K</definedName>
    <definedName name="time_period">[20]Summary!$J$2</definedName>
    <definedName name="total_pack">#REF!</definedName>
    <definedName name="Units">[7]ETI!$Q:$Q</definedName>
    <definedName name="UnitsShipped">#REF!</definedName>
    <definedName name="UnitType">[7]ETI!$O:$O</definedName>
    <definedName name="Updated">#REF!</definedName>
    <definedName name="UploadFolder">#REF!</definedName>
    <definedName name="UploadName">#REF!</definedName>
    <definedName name="UploadString">#REF!</definedName>
    <definedName name="US">#REF!</definedName>
    <definedName name="us_Ops1">#REF!</definedName>
    <definedName name="US_Ship_Revenue">#REF!</definedName>
    <definedName name="US_Shipping_COGS">#REF!</definedName>
    <definedName name="USer">#REF!</definedName>
    <definedName name="USFC">#REF!</definedName>
    <definedName name="USFCRetrieve">#REF!</definedName>
    <definedName name="v?">#REF!</definedName>
    <definedName name="VetCurve1">[7]Entitlement!$B$3</definedName>
    <definedName name="VetCurve10">[7]Entitlement!$B$12</definedName>
    <definedName name="VetCurve2">[7]Entitlement!$B$4</definedName>
    <definedName name="VetCurve3">[7]Entitlement!$B$5</definedName>
    <definedName name="VetCurve4">[7]Entitlement!$B$6</definedName>
    <definedName name="VetCurve5">[7]Entitlement!$B$7</definedName>
    <definedName name="VetCurve6">[7]Entitlement!$B$8</definedName>
    <definedName name="VetCurve7">[7]Entitlement!$B$9</definedName>
    <definedName name="VetCurve8">[7]Entitlement!$B$10</definedName>
    <definedName name="VetCurve9">[7]Entitlement!$B$11</definedName>
    <definedName name="VOLUME">#REF!</definedName>
    <definedName name="W1LC">'[18]SOS All'!$H$37</definedName>
    <definedName name="W2LC">'[18]SOS All'!$H$38</definedName>
    <definedName name="Waterfall" hidden="1">{"'vert'!$A$1:$T$117"}</definedName>
    <definedName name="WeeklyHour">[21]Hours!$D$400:$Y$452</definedName>
    <definedName name="WeeklyUnit">[21]Units!$D$400:$T$452</definedName>
    <definedName name="weeknum">#REF!</definedName>
    <definedName name="WrapBacklog">[5]ReportQueries!$BZ$6:$BZ$21</definedName>
    <definedName name="WTDDD">[15]ProdQuery3!$T$4:$T$2677</definedName>
    <definedName name="WTDEachRecInd">[15]ProdQuery3!$T$4:$T$2677</definedName>
    <definedName name="WTDEachRecInd2">[15]ProdQuery3!$U$4:$U$2677</definedName>
    <definedName name="WTDHrVar">[15]ProdQuery3!$W$4:$W$2677</definedName>
    <definedName name="WTDShipments">[15]ProdQuery3!$X$4:$X$2677</definedName>
    <definedName name="WTransferReceipts">#REF!</definedName>
    <definedName name="WTransfe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 i="46" l="1"/>
  <c r="F4" i="46"/>
  <c r="F5" i="46" s="1"/>
  <c r="C3" i="46"/>
  <c r="C6" i="46"/>
  <c r="E9" i="46" l="1"/>
  <c r="E10" i="46"/>
  <c r="E11" i="46"/>
  <c r="E12" i="46"/>
  <c r="E13" i="46"/>
  <c r="E14" i="46"/>
  <c r="E8" i="46"/>
  <c r="D9" i="46"/>
  <c r="D10" i="46"/>
  <c r="D11" i="46"/>
  <c r="D12" i="46"/>
  <c r="D13" i="46"/>
  <c r="D14" i="46"/>
  <c r="D8" i="46"/>
  <c r="N9" i="46"/>
  <c r="N10" i="46"/>
  <c r="N11" i="46"/>
  <c r="N12" i="46"/>
  <c r="N13" i="46"/>
  <c r="N14" i="46"/>
  <c r="N8" i="46"/>
  <c r="L11" i="46"/>
  <c r="L12" i="46"/>
  <c r="L13" i="46"/>
  <c r="L14" i="46"/>
  <c r="L10" i="46"/>
  <c r="L9" i="46"/>
  <c r="L8" i="46"/>
  <c r="D16" i="46" l="1"/>
  <c r="E16" i="46"/>
  <c r="T3" i="46"/>
  <c r="C10" i="46" l="1"/>
  <c r="C8" i="46" l="1"/>
  <c r="C9" i="46"/>
  <c r="C11" i="46"/>
  <c r="C12" i="46"/>
  <c r="C13" i="46"/>
  <c r="C15" i="46"/>
  <c r="C14" i="46"/>
  <c r="E3" i="52" l="1"/>
  <c r="J16" i="46" s="1"/>
  <c r="E5" i="52"/>
  <c r="O16" i="46" s="1"/>
  <c r="C41" i="52" l="1"/>
  <c r="B41" i="52"/>
  <c r="B42" i="52"/>
  <c r="C42" i="52"/>
  <c r="B43" i="52"/>
  <c r="C43" i="52"/>
  <c r="B44" i="52"/>
  <c r="C44" i="52"/>
  <c r="B45" i="52"/>
  <c r="C45" i="52"/>
  <c r="B46" i="52"/>
  <c r="C46" i="52"/>
  <c r="B47" i="52"/>
  <c r="C47" i="52"/>
  <c r="B48" i="52"/>
  <c r="C48" i="52"/>
  <c r="B49" i="52"/>
  <c r="C49" i="52"/>
  <c r="B50" i="52"/>
  <c r="C50" i="52"/>
  <c r="B51" i="52"/>
  <c r="C51" i="52"/>
  <c r="B52" i="52"/>
  <c r="C52" i="52"/>
  <c r="B53" i="52"/>
  <c r="C53" i="52"/>
  <c r="B54" i="52"/>
  <c r="C54" i="52"/>
  <c r="B55" i="52"/>
  <c r="C55" i="52"/>
  <c r="B56" i="52"/>
  <c r="C56" i="52"/>
  <c r="B57" i="52"/>
  <c r="C57" i="52"/>
  <c r="B58" i="52"/>
  <c r="C58" i="52"/>
  <c r="K9" i="52" l="1"/>
  <c r="J9" i="52"/>
  <c r="I9" i="52"/>
  <c r="H9" i="52"/>
  <c r="G9" i="52"/>
  <c r="F9" i="52"/>
  <c r="E9" i="52"/>
  <c r="D9" i="52"/>
  <c r="C9" i="52"/>
  <c r="B9" i="52"/>
  <c r="K8" i="52"/>
  <c r="J8" i="52"/>
  <c r="I8" i="52"/>
  <c r="H8" i="52"/>
  <c r="G8" i="52"/>
  <c r="F8" i="52"/>
  <c r="E8" i="52"/>
  <c r="D8" i="52"/>
  <c r="C8" i="52"/>
  <c r="B8" i="52"/>
  <c r="K7" i="52"/>
  <c r="J7" i="52"/>
  <c r="I7" i="52"/>
  <c r="H7" i="52"/>
  <c r="G7" i="52"/>
  <c r="F7" i="52"/>
  <c r="E7" i="52"/>
  <c r="D7" i="52"/>
  <c r="C7" i="52"/>
  <c r="B7" i="52"/>
  <c r="K6" i="52"/>
  <c r="J6" i="52"/>
  <c r="I6" i="52"/>
  <c r="H6" i="52"/>
  <c r="G6" i="52"/>
  <c r="F6" i="52"/>
  <c r="E6" i="52"/>
  <c r="D6" i="52"/>
  <c r="C6" i="52"/>
  <c r="B6" i="52"/>
  <c r="K5" i="52"/>
  <c r="J5" i="52"/>
  <c r="I5" i="52"/>
  <c r="H5" i="52"/>
  <c r="G5" i="52"/>
  <c r="F5" i="52"/>
  <c r="D5" i="52"/>
  <c r="C5" i="52"/>
  <c r="B5" i="52"/>
  <c r="K4" i="52"/>
  <c r="J4" i="52"/>
  <c r="I4" i="52"/>
  <c r="H4" i="52"/>
  <c r="G4" i="52"/>
  <c r="F4" i="52"/>
  <c r="E4" i="52"/>
  <c r="M16" i="46" s="1"/>
  <c r="D4" i="52"/>
  <c r="C4" i="52"/>
  <c r="B4" i="52"/>
  <c r="K3" i="52"/>
  <c r="J3" i="52"/>
  <c r="I3" i="52"/>
  <c r="H3" i="52"/>
  <c r="G3" i="52"/>
  <c r="F3" i="52"/>
  <c r="D3" i="52"/>
  <c r="C3" i="52"/>
  <c r="B3" i="52"/>
  <c r="C10" i="52"/>
  <c r="D10" i="52"/>
  <c r="E10" i="52"/>
  <c r="F10" i="52"/>
  <c r="G10" i="52"/>
  <c r="H10" i="52"/>
  <c r="I10" i="52"/>
  <c r="J10" i="52"/>
  <c r="K10" i="52"/>
  <c r="C11" i="52"/>
  <c r="D11" i="52"/>
  <c r="E11" i="52"/>
  <c r="F11" i="52"/>
  <c r="G11" i="52"/>
  <c r="H11" i="52"/>
  <c r="I11" i="52"/>
  <c r="J11" i="52"/>
  <c r="K11" i="52"/>
  <c r="B10" i="52"/>
  <c r="B11" i="52"/>
  <c r="L15" i="46"/>
  <c r="G45" i="52"/>
  <c r="G46" i="52"/>
  <c r="G47" i="52"/>
  <c r="G48" i="52"/>
  <c r="G49" i="52"/>
  <c r="G50" i="52"/>
  <c r="G51" i="52"/>
  <c r="G52" i="52"/>
  <c r="G53" i="52"/>
  <c r="G54" i="52"/>
  <c r="G55" i="52"/>
  <c r="G56" i="52"/>
  <c r="G57" i="52"/>
  <c r="G58" i="52"/>
  <c r="G59" i="52"/>
  <c r="G60" i="52"/>
  <c r="G61" i="52"/>
  <c r="G62" i="52"/>
  <c r="G63" i="52"/>
  <c r="G64" i="52"/>
  <c r="G65" i="52"/>
  <c r="G66" i="52"/>
  <c r="G67" i="52"/>
  <c r="G68" i="52"/>
  <c r="G69" i="52"/>
  <c r="G70" i="52"/>
  <c r="G71" i="52"/>
  <c r="G72" i="52"/>
  <c r="G73" i="52"/>
  <c r="G74" i="52"/>
  <c r="G75" i="52"/>
  <c r="G76" i="52"/>
  <c r="G77" i="52"/>
  <c r="G78" i="52"/>
  <c r="G79" i="52"/>
  <c r="G80" i="52"/>
  <c r="G81" i="52"/>
  <c r="G82" i="52"/>
  <c r="G83" i="52"/>
  <c r="G84" i="52"/>
  <c r="G85" i="52"/>
  <c r="G86" i="52"/>
  <c r="G87" i="52"/>
  <c r="G88" i="52"/>
  <c r="G89" i="52"/>
  <c r="G90" i="52"/>
  <c r="G44" i="52"/>
  <c r="G43" i="52"/>
  <c r="G42" i="52"/>
  <c r="G41" i="52"/>
  <c r="G31" i="52"/>
  <c r="G32" i="52"/>
  <c r="G33" i="52"/>
  <c r="G34" i="52"/>
  <c r="G35" i="52"/>
  <c r="G36" i="52"/>
  <c r="G37" i="52"/>
  <c r="G30" i="52"/>
  <c r="G29" i="52"/>
  <c r="G28" i="52"/>
  <c r="N15" i="46"/>
  <c r="H11" i="59"/>
  <c r="G11" i="59"/>
  <c r="F11" i="59"/>
  <c r="K13" i="46" l="1"/>
  <c r="K10" i="46"/>
  <c r="K9" i="46"/>
  <c r="K14" i="46"/>
  <c r="K15" i="46"/>
  <c r="Q8" i="46"/>
  <c r="Q9" i="46"/>
  <c r="Q13" i="46"/>
  <c r="Q12" i="46"/>
  <c r="Q10" i="46"/>
  <c r="Q15" i="46"/>
  <c r="Q14" i="46"/>
  <c r="Q11" i="46"/>
  <c r="J8" i="46"/>
  <c r="K8" i="46"/>
  <c r="E12" i="52"/>
  <c r="F16" i="46" s="1"/>
  <c r="I8" i="46"/>
  <c r="J13" i="46"/>
  <c r="H11" i="46"/>
  <c r="H10" i="46"/>
  <c r="I14" i="46"/>
  <c r="I11" i="46"/>
  <c r="J11" i="46"/>
  <c r="H9" i="46"/>
  <c r="I10" i="46"/>
  <c r="K11" i="46"/>
  <c r="J10" i="46"/>
  <c r="H8" i="46"/>
  <c r="J14" i="46"/>
  <c r="H12" i="46"/>
  <c r="I13" i="46"/>
  <c r="K12" i="46"/>
  <c r="I9" i="46"/>
  <c r="J9" i="46"/>
  <c r="H13" i="46"/>
  <c r="I12" i="46"/>
  <c r="J12" i="46"/>
  <c r="G27" i="52"/>
  <c r="H7" i="46" s="1"/>
  <c r="J12" i="52"/>
  <c r="H15" i="46"/>
  <c r="I15" i="46"/>
  <c r="J15" i="46"/>
  <c r="H14" i="46"/>
  <c r="G12" i="52"/>
  <c r="H5" i="46" s="1"/>
  <c r="G40" i="52"/>
  <c r="H6" i="46" s="1"/>
  <c r="F10" i="59"/>
  <c r="H10" i="59" s="1"/>
  <c r="F9" i="59"/>
  <c r="H9" i="59" s="1"/>
  <c r="F8" i="59"/>
  <c r="H8" i="59" s="1"/>
  <c r="F7" i="59"/>
  <c r="H7" i="59" s="1"/>
  <c r="F6" i="59"/>
  <c r="H6" i="59" s="1"/>
  <c r="F5" i="59"/>
  <c r="H5" i="59" s="1"/>
  <c r="F4" i="59"/>
  <c r="H4" i="59" s="1"/>
  <c r="H4" i="46" l="1"/>
  <c r="G7" i="59"/>
  <c r="G6" i="59"/>
  <c r="G8" i="59"/>
  <c r="G4" i="59"/>
  <c r="G9" i="59"/>
  <c r="G10" i="59"/>
  <c r="G5" i="59"/>
  <c r="B90" i="52" l="1"/>
  <c r="B65" i="52"/>
  <c r="C65" i="52"/>
  <c r="D65" i="52"/>
  <c r="E65" i="52"/>
  <c r="F65" i="52"/>
  <c r="H65" i="52"/>
  <c r="I65" i="52"/>
  <c r="J65" i="52"/>
  <c r="K65" i="52"/>
  <c r="B66" i="52"/>
  <c r="C66" i="52"/>
  <c r="D66" i="52"/>
  <c r="E66" i="52"/>
  <c r="F66" i="52"/>
  <c r="H66" i="52"/>
  <c r="I66" i="52"/>
  <c r="J66" i="52"/>
  <c r="K66" i="52"/>
  <c r="I37" i="52"/>
  <c r="I30" i="52"/>
  <c r="I31" i="52"/>
  <c r="I32" i="52"/>
  <c r="I33" i="52"/>
  <c r="I34" i="52"/>
  <c r="I35" i="52"/>
  <c r="I36" i="52"/>
  <c r="I29" i="52"/>
  <c r="I28" i="52"/>
  <c r="I43" i="52"/>
  <c r="I44" i="52"/>
  <c r="I45" i="52"/>
  <c r="I46" i="52"/>
  <c r="I47" i="52"/>
  <c r="I48" i="52"/>
  <c r="I49" i="52"/>
  <c r="I50" i="52"/>
  <c r="I51" i="52"/>
  <c r="I52" i="52"/>
  <c r="I53" i="52"/>
  <c r="I54" i="52"/>
  <c r="I55" i="52"/>
  <c r="I56" i="52"/>
  <c r="I57" i="52"/>
  <c r="I58" i="52"/>
  <c r="I59" i="52"/>
  <c r="I60" i="52"/>
  <c r="I61" i="52"/>
  <c r="I62" i="52"/>
  <c r="I63" i="52"/>
  <c r="I64" i="52"/>
  <c r="I67" i="52"/>
  <c r="I68" i="52"/>
  <c r="I69" i="52"/>
  <c r="I70" i="52"/>
  <c r="I71" i="52"/>
  <c r="I72" i="52"/>
  <c r="I73" i="52"/>
  <c r="I74" i="52"/>
  <c r="I75" i="52"/>
  <c r="I76" i="52"/>
  <c r="I77" i="52"/>
  <c r="I78" i="52"/>
  <c r="I79" i="52"/>
  <c r="I80" i="52"/>
  <c r="I81" i="52"/>
  <c r="I82" i="52"/>
  <c r="I83" i="52"/>
  <c r="I84" i="52"/>
  <c r="I85" i="52"/>
  <c r="I86" i="52"/>
  <c r="I87" i="52"/>
  <c r="I88" i="52"/>
  <c r="I89" i="52"/>
  <c r="I90" i="52"/>
  <c r="I42" i="52"/>
  <c r="I41" i="52"/>
  <c r="H30" i="52"/>
  <c r="I40" i="52" l="1"/>
  <c r="I6" i="46" s="1"/>
  <c r="I27" i="52"/>
  <c r="I7" i="46" s="1"/>
  <c r="I12" i="52"/>
  <c r="K37" i="52"/>
  <c r="J37" i="52"/>
  <c r="H37" i="52"/>
  <c r="F37" i="52"/>
  <c r="E37" i="52"/>
  <c r="D37" i="52"/>
  <c r="C37" i="52"/>
  <c r="B37" i="52"/>
  <c r="B34" i="52"/>
  <c r="C34" i="52"/>
  <c r="D34" i="52"/>
  <c r="E34" i="52"/>
  <c r="F34" i="52"/>
  <c r="H34" i="52"/>
  <c r="J34" i="52"/>
  <c r="K34" i="52"/>
  <c r="B35" i="52"/>
  <c r="C35" i="52"/>
  <c r="D35" i="52"/>
  <c r="E35" i="52"/>
  <c r="F35" i="52"/>
  <c r="H35" i="52"/>
  <c r="J35" i="52"/>
  <c r="K35" i="52"/>
  <c r="B36" i="52"/>
  <c r="C36" i="52"/>
  <c r="D36" i="52"/>
  <c r="E36" i="52"/>
  <c r="F36" i="52"/>
  <c r="H36" i="52"/>
  <c r="J36" i="52"/>
  <c r="K36" i="52"/>
  <c r="D42" i="52"/>
  <c r="E42" i="52"/>
  <c r="F42" i="52"/>
  <c r="H42" i="52"/>
  <c r="J42" i="52"/>
  <c r="K42" i="52"/>
  <c r="D43" i="52"/>
  <c r="E43" i="52"/>
  <c r="F43" i="52"/>
  <c r="H43" i="52"/>
  <c r="J43" i="52"/>
  <c r="K43" i="52"/>
  <c r="D44" i="52"/>
  <c r="E44" i="52"/>
  <c r="F44" i="52"/>
  <c r="H44" i="52"/>
  <c r="J44" i="52"/>
  <c r="K44" i="52"/>
  <c r="D45" i="52"/>
  <c r="E45" i="52"/>
  <c r="F45" i="52"/>
  <c r="H45" i="52"/>
  <c r="J45" i="52"/>
  <c r="K45" i="52"/>
  <c r="D46" i="52"/>
  <c r="E46" i="52"/>
  <c r="F46" i="52"/>
  <c r="H46" i="52"/>
  <c r="J46" i="52"/>
  <c r="K46" i="52"/>
  <c r="D47" i="52"/>
  <c r="E47" i="52"/>
  <c r="F47" i="52"/>
  <c r="H47" i="52"/>
  <c r="J47" i="52"/>
  <c r="K47" i="52"/>
  <c r="D48" i="52"/>
  <c r="E48" i="52"/>
  <c r="F48" i="52"/>
  <c r="H48" i="52"/>
  <c r="J48" i="52"/>
  <c r="K48" i="52"/>
  <c r="D49" i="52"/>
  <c r="E49" i="52"/>
  <c r="F49" i="52"/>
  <c r="H49" i="52"/>
  <c r="J49" i="52"/>
  <c r="K49" i="52"/>
  <c r="D50" i="52"/>
  <c r="E50" i="52"/>
  <c r="F50" i="52"/>
  <c r="H50" i="52"/>
  <c r="J50" i="52"/>
  <c r="K50" i="52"/>
  <c r="D51" i="52"/>
  <c r="E51" i="52"/>
  <c r="F51" i="52"/>
  <c r="H51" i="52"/>
  <c r="J51" i="52"/>
  <c r="K51" i="52"/>
  <c r="D52" i="52"/>
  <c r="E52" i="52"/>
  <c r="F52" i="52"/>
  <c r="H52" i="52"/>
  <c r="J52" i="52"/>
  <c r="K52" i="52"/>
  <c r="D53" i="52"/>
  <c r="E53" i="52"/>
  <c r="F53" i="52"/>
  <c r="H53" i="52"/>
  <c r="J53" i="52"/>
  <c r="K53" i="52"/>
  <c r="D54" i="52"/>
  <c r="E54" i="52"/>
  <c r="F54" i="52"/>
  <c r="H54" i="52"/>
  <c r="J54" i="52"/>
  <c r="K54" i="52"/>
  <c r="D55" i="52"/>
  <c r="E55" i="52"/>
  <c r="F55" i="52"/>
  <c r="H55" i="52"/>
  <c r="J55" i="52"/>
  <c r="K55" i="52"/>
  <c r="D56" i="52"/>
  <c r="E56" i="52"/>
  <c r="F56" i="52"/>
  <c r="H56" i="52"/>
  <c r="J56" i="52"/>
  <c r="K56" i="52"/>
  <c r="D57" i="52"/>
  <c r="E57" i="52"/>
  <c r="F57" i="52"/>
  <c r="H57" i="52"/>
  <c r="J57" i="52"/>
  <c r="K57" i="52"/>
  <c r="D58" i="52"/>
  <c r="E58" i="52"/>
  <c r="F58" i="52"/>
  <c r="H58" i="52"/>
  <c r="J58" i="52"/>
  <c r="K58" i="52"/>
  <c r="B59" i="52"/>
  <c r="C59" i="52"/>
  <c r="D59" i="52"/>
  <c r="E59" i="52"/>
  <c r="F59" i="52"/>
  <c r="H59" i="52"/>
  <c r="J59" i="52"/>
  <c r="K59" i="52"/>
  <c r="B60" i="52"/>
  <c r="C60" i="52"/>
  <c r="D60" i="52"/>
  <c r="E60" i="52"/>
  <c r="F60" i="52"/>
  <c r="H60" i="52"/>
  <c r="J60" i="52"/>
  <c r="K60" i="52"/>
  <c r="B61" i="52"/>
  <c r="C61" i="52"/>
  <c r="D61" i="52"/>
  <c r="E61" i="52"/>
  <c r="F61" i="52"/>
  <c r="H61" i="52"/>
  <c r="J61" i="52"/>
  <c r="K61" i="52"/>
  <c r="B62" i="52"/>
  <c r="C62" i="52"/>
  <c r="D62" i="52"/>
  <c r="E62" i="52"/>
  <c r="F62" i="52"/>
  <c r="H62" i="52"/>
  <c r="J62" i="52"/>
  <c r="K62" i="52"/>
  <c r="B63" i="52"/>
  <c r="C63" i="52"/>
  <c r="D63" i="52"/>
  <c r="E63" i="52"/>
  <c r="F63" i="52"/>
  <c r="H63" i="52"/>
  <c r="J63" i="52"/>
  <c r="K63" i="52"/>
  <c r="B64" i="52"/>
  <c r="C64" i="52"/>
  <c r="D64" i="52"/>
  <c r="E64" i="52"/>
  <c r="F64" i="52"/>
  <c r="H64" i="52"/>
  <c r="J64" i="52"/>
  <c r="K64" i="52"/>
  <c r="B67" i="52"/>
  <c r="C67" i="52"/>
  <c r="D67" i="52"/>
  <c r="E67" i="52"/>
  <c r="F67" i="52"/>
  <c r="H67" i="52"/>
  <c r="J67" i="52"/>
  <c r="K67" i="52"/>
  <c r="B68" i="52"/>
  <c r="C68" i="52"/>
  <c r="D68" i="52"/>
  <c r="E68" i="52"/>
  <c r="F68" i="52"/>
  <c r="H68" i="52"/>
  <c r="J68" i="52"/>
  <c r="K68" i="52"/>
  <c r="B69" i="52"/>
  <c r="C69" i="52"/>
  <c r="D69" i="52"/>
  <c r="E69" i="52"/>
  <c r="F69" i="52"/>
  <c r="H69" i="52"/>
  <c r="J69" i="52"/>
  <c r="K69" i="52"/>
  <c r="B70" i="52"/>
  <c r="C70" i="52"/>
  <c r="D70" i="52"/>
  <c r="E70" i="52"/>
  <c r="F70" i="52"/>
  <c r="H70" i="52"/>
  <c r="J70" i="52"/>
  <c r="K70" i="52"/>
  <c r="B71" i="52"/>
  <c r="C71" i="52"/>
  <c r="D71" i="52"/>
  <c r="E71" i="52"/>
  <c r="F71" i="52"/>
  <c r="H71" i="52"/>
  <c r="J71" i="52"/>
  <c r="K71" i="52"/>
  <c r="B72" i="52"/>
  <c r="C72" i="52"/>
  <c r="D72" i="52"/>
  <c r="E72" i="52"/>
  <c r="F72" i="52"/>
  <c r="H72" i="52"/>
  <c r="J72" i="52"/>
  <c r="K72" i="52"/>
  <c r="B73" i="52"/>
  <c r="C73" i="52"/>
  <c r="D73" i="52"/>
  <c r="E73" i="52"/>
  <c r="F73" i="52"/>
  <c r="H73" i="52"/>
  <c r="J73" i="52"/>
  <c r="K73" i="52"/>
  <c r="B74" i="52"/>
  <c r="C74" i="52"/>
  <c r="D74" i="52"/>
  <c r="E74" i="52"/>
  <c r="F74" i="52"/>
  <c r="H74" i="52"/>
  <c r="J74" i="52"/>
  <c r="K74" i="52"/>
  <c r="B75" i="52"/>
  <c r="C75" i="52"/>
  <c r="D75" i="52"/>
  <c r="E75" i="52"/>
  <c r="F75" i="52"/>
  <c r="H75" i="52"/>
  <c r="J75" i="52"/>
  <c r="K75" i="52"/>
  <c r="B76" i="52"/>
  <c r="C76" i="52"/>
  <c r="D76" i="52"/>
  <c r="E76" i="52"/>
  <c r="F76" i="52"/>
  <c r="H76" i="52"/>
  <c r="J76" i="52"/>
  <c r="K76" i="52"/>
  <c r="B77" i="52"/>
  <c r="C77" i="52"/>
  <c r="D77" i="52"/>
  <c r="E77" i="52"/>
  <c r="F77" i="52"/>
  <c r="H77" i="52"/>
  <c r="J77" i="52"/>
  <c r="K77" i="52"/>
  <c r="B78" i="52"/>
  <c r="C78" i="52"/>
  <c r="D78" i="52"/>
  <c r="E78" i="52"/>
  <c r="F78" i="52"/>
  <c r="H78" i="52"/>
  <c r="J78" i="52"/>
  <c r="K78" i="52"/>
  <c r="B79" i="52"/>
  <c r="C79" i="52"/>
  <c r="D79" i="52"/>
  <c r="E79" i="52"/>
  <c r="F79" i="52"/>
  <c r="H79" i="52"/>
  <c r="J79" i="52"/>
  <c r="K79" i="52"/>
  <c r="B80" i="52"/>
  <c r="C80" i="52"/>
  <c r="D80" i="52"/>
  <c r="E80" i="52"/>
  <c r="F80" i="52"/>
  <c r="H80" i="52"/>
  <c r="J80" i="52"/>
  <c r="K80" i="52"/>
  <c r="B81" i="52"/>
  <c r="C81" i="52"/>
  <c r="D81" i="52"/>
  <c r="E81" i="52"/>
  <c r="F81" i="52"/>
  <c r="H81" i="52"/>
  <c r="J81" i="52"/>
  <c r="K81" i="52"/>
  <c r="B82" i="52"/>
  <c r="C82" i="52"/>
  <c r="D82" i="52"/>
  <c r="E82" i="52"/>
  <c r="F82" i="52"/>
  <c r="H82" i="52"/>
  <c r="J82" i="52"/>
  <c r="K82" i="52"/>
  <c r="B83" i="52"/>
  <c r="C83" i="52"/>
  <c r="D83" i="52"/>
  <c r="E83" i="52"/>
  <c r="F83" i="52"/>
  <c r="H83" i="52"/>
  <c r="J83" i="52"/>
  <c r="K83" i="52"/>
  <c r="B84" i="52"/>
  <c r="C84" i="52"/>
  <c r="D84" i="52"/>
  <c r="E84" i="52"/>
  <c r="F84" i="52"/>
  <c r="H84" i="52"/>
  <c r="J84" i="52"/>
  <c r="K84" i="52"/>
  <c r="B85" i="52"/>
  <c r="C85" i="52"/>
  <c r="D85" i="52"/>
  <c r="E85" i="52"/>
  <c r="F85" i="52"/>
  <c r="H85" i="52"/>
  <c r="J85" i="52"/>
  <c r="K85" i="52"/>
  <c r="B86" i="52"/>
  <c r="C86" i="52"/>
  <c r="D86" i="52"/>
  <c r="E86" i="52"/>
  <c r="F86" i="52"/>
  <c r="H86" i="52"/>
  <c r="J86" i="52"/>
  <c r="K86" i="52"/>
  <c r="B87" i="52"/>
  <c r="C87" i="52"/>
  <c r="D87" i="52"/>
  <c r="E87" i="52"/>
  <c r="F87" i="52"/>
  <c r="H87" i="52"/>
  <c r="J87" i="52"/>
  <c r="K87" i="52"/>
  <c r="B88" i="52"/>
  <c r="C88" i="52"/>
  <c r="D88" i="52"/>
  <c r="E88" i="52"/>
  <c r="F88" i="52"/>
  <c r="H88" i="52"/>
  <c r="J88" i="52"/>
  <c r="K88" i="52"/>
  <c r="B89" i="52"/>
  <c r="C89" i="52"/>
  <c r="D89" i="52"/>
  <c r="E89" i="52"/>
  <c r="F89" i="52"/>
  <c r="H89" i="52"/>
  <c r="J89" i="52"/>
  <c r="K89" i="52"/>
  <c r="C90" i="52"/>
  <c r="D90" i="52"/>
  <c r="E90" i="52"/>
  <c r="F90" i="52"/>
  <c r="H90" i="52"/>
  <c r="J90" i="52"/>
  <c r="K90" i="52"/>
  <c r="K41" i="52"/>
  <c r="J41" i="52"/>
  <c r="H41" i="52"/>
  <c r="F41" i="52"/>
  <c r="E41" i="52"/>
  <c r="D41" i="52"/>
  <c r="K33" i="52"/>
  <c r="J33" i="52"/>
  <c r="H33" i="52"/>
  <c r="F33" i="52"/>
  <c r="E33" i="52"/>
  <c r="D33" i="52"/>
  <c r="D30" i="52"/>
  <c r="E30" i="52"/>
  <c r="F30" i="52"/>
  <c r="J30" i="52"/>
  <c r="K30" i="52"/>
  <c r="D31" i="52"/>
  <c r="E31" i="52"/>
  <c r="F31" i="52"/>
  <c r="H31" i="52"/>
  <c r="J31" i="52"/>
  <c r="K31" i="52"/>
  <c r="D32" i="52"/>
  <c r="E32" i="52"/>
  <c r="F32" i="52"/>
  <c r="H32" i="52"/>
  <c r="J32" i="52"/>
  <c r="K32" i="52"/>
  <c r="D29" i="52"/>
  <c r="E29" i="52"/>
  <c r="F29" i="52"/>
  <c r="H29" i="52"/>
  <c r="J29" i="52"/>
  <c r="K29" i="52"/>
  <c r="K28" i="52"/>
  <c r="J28" i="52"/>
  <c r="H28" i="52"/>
  <c r="F28" i="52"/>
  <c r="E28" i="52"/>
  <c r="D28" i="52"/>
  <c r="C33" i="52"/>
  <c r="C30" i="52"/>
  <c r="C31" i="52"/>
  <c r="C32" i="52"/>
  <c r="C29" i="52"/>
  <c r="C28" i="52"/>
  <c r="B33" i="52"/>
  <c r="B32" i="52"/>
  <c r="B31" i="52"/>
  <c r="B30" i="52"/>
  <c r="B29" i="52"/>
  <c r="B28" i="52"/>
  <c r="B15" i="52"/>
  <c r="B16" i="52"/>
  <c r="M9" i="46"/>
  <c r="B17" i="52"/>
  <c r="B18" i="52"/>
  <c r="B19" i="52"/>
  <c r="B20" i="52"/>
  <c r="B21" i="52"/>
  <c r="M14" i="46"/>
  <c r="I4" i="46" l="1"/>
  <c r="I5" i="46"/>
  <c r="C19" i="52"/>
  <c r="C22" i="52"/>
  <c r="C21" i="52"/>
  <c r="C23" i="52"/>
  <c r="F27" i="52"/>
  <c r="J27" i="52"/>
  <c r="J7" i="46" s="1"/>
  <c r="B27" i="52"/>
  <c r="K27" i="52"/>
  <c r="K7" i="46" s="1"/>
  <c r="D27" i="52"/>
  <c r="E27" i="52"/>
  <c r="C27" i="52"/>
  <c r="Q7" i="46" s="1"/>
  <c r="B12" i="52"/>
  <c r="C12" i="52"/>
  <c r="H27" i="52"/>
  <c r="M7" i="46" s="1"/>
  <c r="E40" i="52"/>
  <c r="D40" i="52"/>
  <c r="C40" i="52"/>
  <c r="Q6" i="46" s="1"/>
  <c r="K40" i="52"/>
  <c r="K6" i="46" s="1"/>
  <c r="J40" i="52"/>
  <c r="J6" i="46" s="1"/>
  <c r="H40" i="52"/>
  <c r="M6" i="46" s="1"/>
  <c r="O6" i="46" s="1"/>
  <c r="F40" i="52"/>
  <c r="B39" i="52"/>
  <c r="B26" i="52"/>
  <c r="M13" i="46"/>
  <c r="M12" i="46"/>
  <c r="M11" i="46"/>
  <c r="C18" i="52"/>
  <c r="M10" i="46"/>
  <c r="C17" i="52"/>
  <c r="P9" i="46"/>
  <c r="O9" i="46" l="1"/>
  <c r="P6" i="46"/>
  <c r="M15" i="46"/>
  <c r="B22" i="52"/>
  <c r="B23" i="52"/>
  <c r="D12" i="52"/>
  <c r="Q5" i="46" s="1"/>
  <c r="B40" i="52"/>
  <c r="M8" i="46"/>
  <c r="D17" i="52"/>
  <c r="D15" i="52"/>
  <c r="D16" i="52"/>
  <c r="D19" i="52"/>
  <c r="D20" i="52"/>
  <c r="D21" i="52"/>
  <c r="D22" i="52"/>
  <c r="D23" i="52"/>
  <c r="C20" i="52"/>
  <c r="D18" i="52"/>
  <c r="C16" i="52"/>
  <c r="C15" i="52"/>
  <c r="O15" i="46" l="1"/>
  <c r="P15" i="46"/>
  <c r="M5" i="46"/>
  <c r="M4" i="46" s="1"/>
  <c r="F12" i="52"/>
  <c r="B24" i="52"/>
  <c r="H12" i="52"/>
  <c r="D24" i="52"/>
  <c r="L2" i="46" s="1"/>
  <c r="C24" i="52"/>
  <c r="K12" i="52" l="1"/>
  <c r="O13" i="46" l="1"/>
  <c r="P12" i="46"/>
  <c r="P11" i="46"/>
  <c r="O11" i="46"/>
  <c r="O8" i="46"/>
  <c r="O12" i="46"/>
  <c r="O14" i="46"/>
  <c r="P14" i="46"/>
  <c r="P8" i="46"/>
  <c r="P13" i="46"/>
  <c r="P10" i="46"/>
  <c r="O10" i="46"/>
  <c r="L5" i="46"/>
  <c r="N5" i="46"/>
  <c r="K5" i="46"/>
  <c r="K4" i="46"/>
  <c r="J4" i="46"/>
  <c r="J5" i="46"/>
  <c r="O5" i="46" l="1"/>
  <c r="P5" i="4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71070000}" name="Connection3" type="4" refreshedVersion="7" background="1" saveData="1">
    <webPr sourceData="1" parsePre="1" consecutive="1" xl2000="1" url="https://rodeo-iad.amazon.com/SMF1/CSV/ExSD?isEulerUpgraded=ALL&amp;processPath=&amp;fnSku=&amp;fulfillmentServiceClass=ALL&amp;exSDRange.quickRange=ALL&amp;isEulerPromiseMiss=ALL&amp;zAxis=WORK_POOL&amp;sortCode=&amp;isEulerExSDMiss=ALL&amp;exSDRange.dailyEnd=00%3A00&amp;exSDRange.dailyStart=00%3A00&amp;yAxis=PROCESS_PATH&amp;isReactiveTransfer=ALL&amp;minPickPriority=MIN_PRIORITY&amp;Excel=true&amp;fracs=ALL&amp;shipMethod=&amp;shipmentTypes=ALL&amp;_workPool=on&amp;_workPool=on&amp;_workPool=on&amp;_workPool=on&amp;workPool=ReadyToPick&amp;workPool=ReadyToPickHardCapped&amp;workPool=ReadyToPickUnconstrained&amp;workPool=PickingNotYetPicked&amp;workPool=PickingNotYetPickedPrioritized&amp;workPool=PickingNotYetPickedNotPrioritized&amp;workPool=PickingNotYetPickedHardCapped&amp;workPool=CrossdockNotYetPicked&amp;workPool=PickingPicked&amp;workPool=PickingPickedInProgress&amp;workPool=PickingPickedInTransit&amp;workPool=PickingPickedRouting&amp;workPool=PickingPickedAtDestination&amp;workPool=Inducted&amp;workPool=RebinBuffered&amp;workPool=Sorted&amp;workPool=GiftWrap&amp;workPool=Packing&amp;workPool=Scanned&amp;workPool=ProblemSolving&amp;workPool=ProcessPartial&amp;workPool=SoftwareException&amp;workPool=Crossdock&amp;workPool=PreSort&amp;workPool=TransshipSorted&amp;workPool=Palletized&amp;giftOption=ALL&amp;shipOption="/>
  </connection>
</connections>
</file>

<file path=xl/sharedStrings.xml><?xml version="1.0" encoding="utf-8"?>
<sst xmlns="http://schemas.openxmlformats.org/spreadsheetml/2006/main" count="8564" uniqueCount="666">
  <si>
    <t>PPSmartPac</t>
  </si>
  <si>
    <t>PPSingleSmall</t>
  </si>
  <si>
    <t>PPMix</t>
  </si>
  <si>
    <t>Min</t>
  </si>
  <si>
    <t>PPMultiSlam</t>
  </si>
  <si>
    <t>PPHighQuantityShipment</t>
  </si>
  <si>
    <t>Process Path</t>
  </si>
  <si>
    <t>PickingNotYetPicked</t>
  </si>
  <si>
    <t>PPAFE1</t>
  </si>
  <si>
    <t>PickingPicked</t>
  </si>
  <si>
    <t>PickingPickedAtDestination</t>
  </si>
  <si>
    <t>Scanned</t>
  </si>
  <si>
    <t>PickingPickedInTransit</t>
  </si>
  <si>
    <t>ReadyToPick</t>
  </si>
  <si>
    <t>ProblemSolving</t>
  </si>
  <si>
    <t>PickingPickedRouting</t>
  </si>
  <si>
    <t>PPTransOther</t>
  </si>
  <si>
    <t>PPDamagedGrading</t>
  </si>
  <si>
    <t>Delta</t>
  </si>
  <si>
    <t>PPAFE2</t>
  </si>
  <si>
    <t>PPSmartPacPoly</t>
  </si>
  <si>
    <t>Current</t>
  </si>
  <si>
    <t>HC</t>
  </si>
  <si>
    <t>PickingNotYetPickedNonPickable</t>
  </si>
  <si>
    <t>PPTransLGB3</t>
  </si>
  <si>
    <t>PPTransOAK4</t>
  </si>
  <si>
    <t>PPTransFAT1</t>
  </si>
  <si>
    <t>PPTransIUSA</t>
  </si>
  <si>
    <t>PPTransBFL1</t>
  </si>
  <si>
    <t>PPTransRNO4HazmatMix</t>
  </si>
  <si>
    <t>PPTransBOI2</t>
  </si>
  <si>
    <t>PPTransRNO4</t>
  </si>
  <si>
    <t>https://outboundflow-iad.amazon.com/SMF1/buffer_size_limits</t>
  </si>
  <si>
    <t>Backlog</t>
  </si>
  <si>
    <t>Process to backlog</t>
  </si>
  <si>
    <t>PPSmartpacPoly</t>
  </si>
  <si>
    <t>PPTrans</t>
  </si>
  <si>
    <t>-</t>
  </si>
  <si>
    <t>PPSingleWrap</t>
  </si>
  <si>
    <t>PPRecycle</t>
  </si>
  <si>
    <t>PPRemoveHZMT</t>
  </si>
  <si>
    <t>PPDonate</t>
  </si>
  <si>
    <t>PPLTL</t>
  </si>
  <si>
    <t>Total</t>
  </si>
  <si>
    <t>PPTransSCA7</t>
  </si>
  <si>
    <t>Last Updated</t>
  </si>
  <si>
    <t>Rate</t>
  </si>
  <si>
    <t>Max</t>
  </si>
  <si>
    <t>CE</t>
  </si>
  <si>
    <t>PPSingleSioc</t>
  </si>
  <si>
    <t>PPTransSCK6</t>
  </si>
  <si>
    <t>PPDonateHazmat</t>
  </si>
  <si>
    <t>PPTransSCA5</t>
  </si>
  <si>
    <t>PPLiquidate</t>
  </si>
  <si>
    <t>PPTransSCA3</t>
  </si>
  <si>
    <t>PPSmartpac</t>
  </si>
  <si>
    <t>Vendor Returns</t>
  </si>
  <si>
    <t>PPSingleSIOC</t>
  </si>
  <si>
    <t>FRACSWD01</t>
  </si>
  <si>
    <t>PPTransSBD6</t>
  </si>
  <si>
    <t>PPDisasterRelief</t>
  </si>
  <si>
    <t>PPTransPCW1</t>
  </si>
  <si>
    <t>HardCapped</t>
  </si>
  <si>
    <t>Available Pickable Backlog</t>
  </si>
  <si>
    <t>PPTransSCA2</t>
  </si>
  <si>
    <t>PPTransMLI1</t>
  </si>
  <si>
    <t>PPTransPHX6Hazmat</t>
  </si>
  <si>
    <t>PPTransPHX6HAZGAS</t>
  </si>
  <si>
    <t>PP ID</t>
  </si>
  <si>
    <t>Buffer Limits</t>
  </si>
  <si>
    <t>minimumSize.quantity</t>
  </si>
  <si>
    <t>maximumSize.quantity</t>
  </si>
  <si>
    <t>Multis</t>
  </si>
  <si>
    <t>Singles</t>
  </si>
  <si>
    <t>Work Pool</t>
  </si>
  <si>
    <t>ExSD</t>
  </si>
  <si>
    <t>Quantity</t>
  </si>
  <si>
    <t>PickingNotYetPickedPrioritized</t>
  </si>
  <si>
    <t>ReadyToPickNonPickable</t>
  </si>
  <si>
    <t>ReadyToPickUnconstrained</t>
  </si>
  <si>
    <t>PPFracsOfflineHold</t>
  </si>
  <si>
    <t>PickingNotYetPickedNotPrioritized</t>
  </si>
  <si>
    <t>PPFracsRpLIQN</t>
  </si>
  <si>
    <t>Sorted</t>
  </si>
  <si>
    <t>PPFracsRcVRET</t>
  </si>
  <si>
    <t>UnassignedProcessPath</t>
  </si>
  <si>
    <t>Inducted</t>
  </si>
  <si>
    <t>Packing</t>
  </si>
  <si>
    <t>PickingPickedInProgress</t>
  </si>
  <si>
    <t>Palletized</t>
  </si>
  <si>
    <t>Crossdock</t>
  </si>
  <si>
    <t>PPFracsRcLIQN</t>
  </si>
  <si>
    <t>PPFracsXDSimplePT</t>
  </si>
  <si>
    <t>PPFracsRpVRET</t>
  </si>
  <si>
    <t>PPTransBFI9</t>
  </si>
  <si>
    <t>PPFracsHold</t>
  </si>
  <si>
    <t>PPIP</t>
  </si>
  <si>
    <t>PPIT</t>
  </si>
  <si>
    <t>PPIR</t>
  </si>
  <si>
    <t>PPAD</t>
  </si>
  <si>
    <t>HoW
PNYP</t>
  </si>
  <si>
    <t>PPGrading</t>
  </si>
  <si>
    <t>PPTransBFI9Oxi</t>
  </si>
  <si>
    <t>PPTransBFI9Aero</t>
  </si>
  <si>
    <t>PPTransBFI9Flam</t>
  </si>
  <si>
    <t>DefaultPicking</t>
  </si>
  <si>
    <t>Active</t>
  </si>
  <si>
    <t>PPBinCheckISS1</t>
  </si>
  <si>
    <t>PPConsolidationBatchPick1</t>
  </si>
  <si>
    <t>ConsolidationBatch1Picking</t>
  </si>
  <si>
    <t>PPConsolidationBatchPick2</t>
  </si>
  <si>
    <t>ConsolidationBatch2Picking</t>
  </si>
  <si>
    <t>Paused</t>
  </si>
  <si>
    <t>PPConsolidationFlowPick1</t>
  </si>
  <si>
    <t>ConsolidationFlow1Picking</t>
  </si>
  <si>
    <t>PPConsolidationFlowPick2</t>
  </si>
  <si>
    <t>ConsolidationFlow2Picking</t>
  </si>
  <si>
    <t>PPConsolidationFlowPick3</t>
  </si>
  <si>
    <t>ConsolidationFlow3Picking</t>
  </si>
  <si>
    <t>PPConsolidationPIE</t>
  </si>
  <si>
    <t>ConsolidationPIEPicking</t>
  </si>
  <si>
    <t>PPConsolidationReject</t>
  </si>
  <si>
    <t>ConsolidationRejectPicking</t>
  </si>
  <si>
    <t>PPConsolidationReserve</t>
  </si>
  <si>
    <t>ConsolidationReservePicking</t>
  </si>
  <si>
    <t>PPConsolidationSIOC</t>
  </si>
  <si>
    <t>PPCubiscan</t>
  </si>
  <si>
    <t>FracsWarehousedealPicking</t>
  </si>
  <si>
    <t>PPDestroyHZMT</t>
  </si>
  <si>
    <t>DisasterReliefPicking</t>
  </si>
  <si>
    <t>DONOTPICKPicking</t>
  </si>
  <si>
    <t>PPFracsMultiSLAM</t>
  </si>
  <si>
    <t>FracsRCLIQNPicking</t>
  </si>
  <si>
    <t>FracsRCVRETPicking</t>
  </si>
  <si>
    <t>PPFracsReject</t>
  </si>
  <si>
    <t>FracsRejectPicking</t>
  </si>
  <si>
    <t>FracsRpLIQNPicking</t>
  </si>
  <si>
    <t>FracsRpVRETPicking</t>
  </si>
  <si>
    <t>PPFracsRsveFBA</t>
  </si>
  <si>
    <t>FracsRsvePicking</t>
  </si>
  <si>
    <t>FracsPicking</t>
  </si>
  <si>
    <t>PPGiftwrapHotpick</t>
  </si>
  <si>
    <t>PPHOV</t>
  </si>
  <si>
    <t>PPHOVReceive</t>
  </si>
  <si>
    <t>HOVPicking</t>
  </si>
  <si>
    <t>PPHOVReceiveTest</t>
  </si>
  <si>
    <t>PPInboundProblemSolve</t>
  </si>
  <si>
    <t>PPMixMedium</t>
  </si>
  <si>
    <t>PPMultiWraps</t>
  </si>
  <si>
    <t>PPPalletLarge</t>
  </si>
  <si>
    <t>PPPalletSmall</t>
  </si>
  <si>
    <t>PPPendingResearch</t>
  </si>
  <si>
    <t>PPQA</t>
  </si>
  <si>
    <t>QAPicking</t>
  </si>
  <si>
    <t>PPRc</t>
  </si>
  <si>
    <t>RcPicking</t>
  </si>
  <si>
    <t>PPRebinHotpick</t>
  </si>
  <si>
    <t>PPRp</t>
  </si>
  <si>
    <t>RpPicking</t>
  </si>
  <si>
    <t>PPSameAsinConsolidation</t>
  </si>
  <si>
    <t>SameAsinPicking</t>
  </si>
  <si>
    <t>PPSameDay</t>
  </si>
  <si>
    <t>PPSingleBoxDrop1</t>
  </si>
  <si>
    <t>PPSingleLarge</t>
  </si>
  <si>
    <t>PPSingleMedium</t>
  </si>
  <si>
    <t>PPSingleOAK5A</t>
  </si>
  <si>
    <t>SinglesOAK5APicking</t>
  </si>
  <si>
    <t>PPSinglePackageZero</t>
  </si>
  <si>
    <t>PPSingleSmallRose</t>
  </si>
  <si>
    <t>PPSmartPacLarge</t>
  </si>
  <si>
    <t>PPSpecial</t>
  </si>
  <si>
    <t>SpecialPicking</t>
  </si>
  <si>
    <t>PPTraining</t>
  </si>
  <si>
    <t>TrainingPicking</t>
  </si>
  <si>
    <t>PPTransABD6</t>
  </si>
  <si>
    <t>PPTransBFI4</t>
  </si>
  <si>
    <t>PPTransBNA3</t>
  </si>
  <si>
    <t>PPTransCAE1</t>
  </si>
  <si>
    <t>PPTransCLE3</t>
  </si>
  <si>
    <t>PPTransDEN3</t>
  </si>
  <si>
    <t>PPTransDTW1</t>
  </si>
  <si>
    <t>PPTransGEG1</t>
  </si>
  <si>
    <t>PPTransHCA6</t>
  </si>
  <si>
    <t>PPTransHWA3</t>
  </si>
  <si>
    <t>PPTransKCA1</t>
  </si>
  <si>
    <t>Flow Paused</t>
  </si>
  <si>
    <t>PPTransMDW7</t>
  </si>
  <si>
    <t>PPTransMSP1</t>
  </si>
  <si>
    <t>PPTransOAK3</t>
  </si>
  <si>
    <t>PPTransONT6</t>
  </si>
  <si>
    <t>PPTransPAE2</t>
  </si>
  <si>
    <t>PPTransPCA4</t>
  </si>
  <si>
    <t>PPTransPDX9</t>
  </si>
  <si>
    <t>PPTransPHX6HazmatMix</t>
  </si>
  <si>
    <t>PPTransPSP1</t>
  </si>
  <si>
    <t>PPTransRNO4HazmatFlammable</t>
  </si>
  <si>
    <t>PPTransSCK1</t>
  </si>
  <si>
    <t>PPTransSCO1</t>
  </si>
  <si>
    <t>PPTransSJC7</t>
  </si>
  <si>
    <t>PPTransSLA5</t>
  </si>
  <si>
    <t>PPTransSNA6</t>
  </si>
  <si>
    <t>PPTransSNA7</t>
  </si>
  <si>
    <t>PPTransSNV1</t>
  </si>
  <si>
    <t>PPTransSTL6</t>
  </si>
  <si>
    <t>PPTransTCA1</t>
  </si>
  <si>
    <t>PPTransTCA6</t>
  </si>
  <si>
    <t>PPTransTCA7</t>
  </si>
  <si>
    <t>PPTransTCA9</t>
  </si>
  <si>
    <t>PPTransTNV2</t>
  </si>
  <si>
    <t>PPTransTUS2</t>
  </si>
  <si>
    <t>PPTransUCA1</t>
  </si>
  <si>
    <t>PPTransUCA6</t>
  </si>
  <si>
    <t>PPTransUCA7</t>
  </si>
  <si>
    <t>PPTransUCA8</t>
  </si>
  <si>
    <t>PPTransUCA9</t>
  </si>
  <si>
    <t>PPTransULA6</t>
  </si>
  <si>
    <t>PPTransUSC1</t>
  </si>
  <si>
    <t>PPTransUSF1</t>
  </si>
  <si>
    <t>PPTransUSF3</t>
  </si>
  <si>
    <t>PPTransUSF4</t>
  </si>
  <si>
    <t>PPTransYVR2</t>
  </si>
  <si>
    <t>PPTransYXX2</t>
  </si>
  <si>
    <t>PPTransYYC1</t>
  </si>
  <si>
    <t>PPUIS05</t>
  </si>
  <si>
    <t>PPUIS1</t>
  </si>
  <si>
    <t>PPUIS11</t>
  </si>
  <si>
    <t>PPUIS13</t>
  </si>
  <si>
    <t>PPUIS2</t>
  </si>
  <si>
    <t>PPUIS24</t>
  </si>
  <si>
    <t>PPUIS5</t>
  </si>
  <si>
    <t>PPUIS7</t>
  </si>
  <si>
    <t>PPUIS9</t>
  </si>
  <si>
    <t>PPWoot</t>
  </si>
  <si>
    <t>ProcessPath</t>
  </si>
  <si>
    <t>BatchCount</t>
  </si>
  <si>
    <t>ContainerUsePercent</t>
  </si>
  <si>
    <t>ExSDCountsC29</t>
  </si>
  <si>
    <t>From0Hto2H</t>
  </si>
  <si>
    <t>From16Hto24H</t>
  </si>
  <si>
    <t>fastTrack</t>
  </si>
  <si>
    <t>minPriority</t>
  </si>
  <si>
    <t>premium</t>
  </si>
  <si>
    <t>sameNext</t>
  </si>
  <si>
    <t>standard</t>
  </si>
  <si>
    <t>superSavers</t>
  </si>
  <si>
    <t>From24Hto48H</t>
  </si>
  <si>
    <t>From2Hto4H</t>
  </si>
  <si>
    <t>From4Hto8H</t>
  </si>
  <si>
    <t>From8Hto16H</t>
  </si>
  <si>
    <t>GreaterThan48H</t>
  </si>
  <si>
    <t>LessThan0H</t>
  </si>
  <si>
    <t>ExSDCountsC4</t>
  </si>
  <si>
    <t>NonPrioritizedUnitsCounts</t>
  </si>
  <si>
    <t>PickerCount</t>
  </si>
  <si>
    <t>PickProcess</t>
  </si>
  <si>
    <t>pickRateAverage</t>
  </si>
  <si>
    <t>PrioritizedUnitsCounts</t>
  </si>
  <si>
    <t>Status</t>
  </si>
  <si>
    <t>ToteCount</t>
  </si>
  <si>
    <t>unitRateTarget</t>
  </si>
  <si>
    <t>UnitsInScanner</t>
  </si>
  <si>
    <t>UnitsInTotesCount</t>
  </si>
  <si>
    <t>UnitsPerHour</t>
  </si>
  <si>
    <t>Batch Count</t>
  </si>
  <si>
    <t>Picker Count</t>
  </si>
  <si>
    <t>Units Per Hour</t>
  </si>
  <si>
    <t>RATE AVG</t>
  </si>
  <si>
    <t>Avg Rate</t>
  </si>
  <si>
    <t>PACK:PPRecycle:DEFAULT</t>
  </si>
  <si>
    <t>PACK:PPMix:DEFAULT</t>
  </si>
  <si>
    <t>PPAFE1:NON_STANDARD</t>
  </si>
  <si>
    <t>PACK:PPSingleSmall:DEFAULT</t>
  </si>
  <si>
    <t>PACK:PPDisasterRelief:DEFAULT</t>
  </si>
  <si>
    <t>PACK:PPMultiSlam:DEFAULT</t>
  </si>
  <si>
    <t>PICK:PICK_MANUAL</t>
  </si>
  <si>
    <t>AFE_PACK:PPAFE2:DEFAULT</t>
  </si>
  <si>
    <t>PACK:PPDonate:DEFAULT</t>
  </si>
  <si>
    <t>PPAFE2:NON_STANDARD</t>
  </si>
  <si>
    <t>PICK:PICK_AR</t>
  </si>
  <si>
    <t>PACK:PPLiquidate:DEFAULT</t>
  </si>
  <si>
    <t>PACK:PPRemoveHZMT:DEFAULT</t>
  </si>
  <si>
    <t>AFE_REBIN:PPAFE2:DEFAULT</t>
  </si>
  <si>
    <t>INDUCT:PPAFE2:DEFAULT</t>
  </si>
  <si>
    <t>AFE_PACK:PPAFE1:DEFAULT</t>
  </si>
  <si>
    <t>AFE_REBIN:PPAFE1:DEFAULT</t>
  </si>
  <si>
    <t>REBIN:PPMultiSlam:DEFAULT</t>
  </si>
  <si>
    <t>PACK:PPSmartPac:DEFAULT</t>
  </si>
  <si>
    <t>PACK:PPDonateHazmat:DEFAULT</t>
  </si>
  <si>
    <t>PACK:PPSmartPacPoly:DEFAULT</t>
  </si>
  <si>
    <t>PACK:PPLTL:DEFAULT</t>
  </si>
  <si>
    <t>INDUCT:PPAFE1:DEFAULT</t>
  </si>
  <si>
    <t>RebinBuffered</t>
  </si>
  <si>
    <t>PPConPODTransSellable</t>
  </si>
  <si>
    <t>PPConPODTransUnSellable</t>
  </si>
  <si>
    <t>PPLiquidateDL</t>
  </si>
  <si>
    <t>PACK:PPLiquidateDL:DEFAULT</t>
  </si>
  <si>
    <t>Total Active Pickers:</t>
  </si>
  <si>
    <t>&lt;-VRets</t>
  </si>
  <si>
    <t>Deviation</t>
  </si>
  <si>
    <t>PICK ASK CALCULATOR</t>
  </si>
  <si>
    <t>TRANS STATUS &amp; UPH</t>
  </si>
  <si>
    <t>Pick HC Target:</t>
  </si>
  <si>
    <t>Pick Rate Target:</t>
  </si>
  <si>
    <t>TO</t>
  </si>
  <si>
    <t>Pick Ask:</t>
  </si>
  <si>
    <t>FC:</t>
  </si>
  <si>
    <t>SMF1</t>
  </si>
  <si>
    <t>TUR</t>
  </si>
  <si>
    <t>AR</t>
  </si>
  <si>
    <t>count_cycle</t>
  </si>
  <si>
    <t>count_simple_bin</t>
  </si>
  <si>
    <t>count_simple_record</t>
  </si>
  <si>
    <t>idle_stations</t>
  </si>
  <si>
    <t>inspect</t>
  </si>
  <si>
    <t>percent_utilized</t>
  </si>
  <si>
    <t>pick_arsaw</t>
  </si>
  <si>
    <t>pick_not_arsaw</t>
  </si>
  <si>
    <t>pick_p2r</t>
  </si>
  <si>
    <t>pick_total</t>
  </si>
  <si>
    <t>stow</t>
  </si>
  <si>
    <t>stow_arstow</t>
  </si>
  <si>
    <t>stow_universal</t>
  </si>
  <si>
    <t>total_available</t>
  </si>
  <si>
    <t>total_stations</t>
  </si>
  <si>
    <t>total_utilized</t>
  </si>
  <si>
    <t>warehouse</t>
  </si>
  <si>
    <t>zone</t>
  </si>
  <si>
    <t>paKivaA01</t>
  </si>
  <si>
    <t>paKivaA02</t>
  </si>
  <si>
    <t>paKivaA03</t>
  </si>
  <si>
    <t>paKivaA04</t>
  </si>
  <si>
    <t>BFL1</t>
  </si>
  <si>
    <t>PPTransBHM1</t>
  </si>
  <si>
    <t>PPTransCLT4</t>
  </si>
  <si>
    <t>PPTransBDL3</t>
  </si>
  <si>
    <t>PPTransHOU2</t>
  </si>
  <si>
    <t>PPTransTPA1</t>
  </si>
  <si>
    <t>BOI2</t>
  </si>
  <si>
    <t>SCK6</t>
  </si>
  <si>
    <t>GiftWrap</t>
  </si>
  <si>
    <t>PACK:PPSingleSIOC:DEFAULT</t>
  </si>
  <si>
    <t>PACK:PPWoot:DEFAULT</t>
  </si>
  <si>
    <t>Timestamp</t>
  </si>
  <si>
    <t>Wall</t>
  </si>
  <si>
    <t>NonRDP_Rebin_TotalChutes</t>
  </si>
  <si>
    <t>NonRDP_Rebin_InProgress</t>
  </si>
  <si>
    <t>NonRDP_Rebin_Complete</t>
  </si>
  <si>
    <t>NonRDP_Rebin_Disabled</t>
  </si>
  <si>
    <t>NonRDP_Rebin_BagIncomplete</t>
  </si>
  <si>
    <t>NonRDP_Rebin_BagComplete</t>
  </si>
  <si>
    <t>NonRDP_Pack_TotalChutes</t>
  </si>
  <si>
    <t>NonRDP_Pack_InProgress</t>
  </si>
  <si>
    <t>NonRDP_Pack_Complete</t>
  </si>
  <si>
    <t>NonRDP_Pack_Disabled</t>
  </si>
  <si>
    <t>NonRDP_Pack_BagIncomplete</t>
  </si>
  <si>
    <t>NonRDP_Pack_BagComplete</t>
  </si>
  <si>
    <t>NonRDP_Pack_DirectedPackEnabled</t>
  </si>
  <si>
    <t>NonRDP_Pack_GiftComplete</t>
  </si>
  <si>
    <t>NonRDP_Pack_MCFComplete</t>
  </si>
  <si>
    <t>NonRDP_Pack_ActivePackers</t>
  </si>
  <si>
    <t>NonRDP_Pack_OutOfWorkPackers</t>
  </si>
  <si>
    <t>NonRDP_Pack_InactivePackers</t>
  </si>
  <si>
    <t>NonRDP_Pack_UnstaffedPackers</t>
  </si>
  <si>
    <t>NonRDP_Pack_DirectedPackWallHealthUrl</t>
  </si>
  <si>
    <t>CPT_Rebin_TotalChutes</t>
  </si>
  <si>
    <t>CPT_Rebin_InProgress</t>
  </si>
  <si>
    <t>CPT_Rebin_Complete</t>
  </si>
  <si>
    <t>CPT_Rebin_Disabled</t>
  </si>
  <si>
    <t>CPT_Rebin_BagIncomplete</t>
  </si>
  <si>
    <t>CPT_Rebin_BagComplete</t>
  </si>
  <si>
    <t>CPT_Pack_TotalChutes</t>
  </si>
  <si>
    <t>CPT_Pack_InProgress</t>
  </si>
  <si>
    <t>CPT_Pack_Complete</t>
  </si>
  <si>
    <t>CPT_Pack_Disabled</t>
  </si>
  <si>
    <t>CPT_Pack_BagIncomplete</t>
  </si>
  <si>
    <t>CPT_Pack_BagComplete</t>
  </si>
  <si>
    <t>CPT_Pack_DirectedPackEnabled</t>
  </si>
  <si>
    <t>CPT_Pack_GiftComplete</t>
  </si>
  <si>
    <t>CPT_Pack_MCFComplete</t>
  </si>
  <si>
    <t>CPT_Pack_ActivePackers</t>
  </si>
  <si>
    <t>CPT_Pack_OutOfWorkPackers</t>
  </si>
  <si>
    <t>CPT_Pack_InactivePackers</t>
  </si>
  <si>
    <t>CPT_Pack_UnstaffedPackers</t>
  </si>
  <si>
    <t>CPT_Pack_DirectedPackWallHealthUrl</t>
  </si>
  <si>
    <t>aft-pack-config-IAD.IAD.proxy.amazon.com/wallhealth.html?warehouse=SMF1&amp;wall=PPAFE1:22</t>
  </si>
  <si>
    <t>aft-pack-config-IAD.IAD.proxy.amazon.com/wallhealth.html?warehouse=SMF1&amp;wall=PPAFE1:10</t>
  </si>
  <si>
    <t>aft-pack-config-IAD.IAD.proxy.amazon.com/wallhealth.html?warehouse=SMF1&amp;wall=PPAFE1:07</t>
  </si>
  <si>
    <t>aft-pack-config-IAD.IAD.proxy.amazon.com/wallhealth.html?warehouse=SMF1&amp;wall=PPAFE1:08</t>
  </si>
  <si>
    <t>aft-pack-config-IAD.IAD.proxy.amazon.com/wallhealth.html?warehouse=SMF1&amp;wall=PPAFE1:11</t>
  </si>
  <si>
    <t>aft-pack-config-IAD.IAD.proxy.amazon.com/wallhealth.html?warehouse=SMF1&amp;wall=PPAFE1:06</t>
  </si>
  <si>
    <t>aft-pack-config-IAD.IAD.proxy.amazon.com/wallhealth.html?warehouse=SMF1&amp;wall=PPAFE1:14</t>
  </si>
  <si>
    <t>aft-pack-config-IAD.IAD.proxy.amazon.com/wallhealth.html?warehouse=SMF1&amp;wall=PPAFE1:23</t>
  </si>
  <si>
    <t>aft-pack-config-IAD.IAD.proxy.amazon.com/wallhealth.html?warehouse=SMF1&amp;wall=PPAFE1:17</t>
  </si>
  <si>
    <t>aft-pack-config-IAD.IAD.proxy.amazon.com/wallhealth.html?warehouse=SMF1&amp;wall=PPAFE1:09</t>
  </si>
  <si>
    <t>aft-pack-config-IAD.IAD.proxy.amazon.com/wallhealth.html?warehouse=SMF1&amp;wall=PPAFE1:24</t>
  </si>
  <si>
    <t>aft-pack-config-IAD.IAD.proxy.amazon.com/wallhealth.html?warehouse=SMF1&amp;wall=PPAFE1:21</t>
  </si>
  <si>
    <t>aft-pack-config-IAD.IAD.proxy.amazon.com/wallhealth.html?warehouse=SMF1&amp;wall=PPAFE1:12</t>
  </si>
  <si>
    <t>aft-pack-config-IAD.IAD.proxy.amazon.com/wallhealth.html?warehouse=SMF1&amp;wall=PPAFE1:19</t>
  </si>
  <si>
    <t>aft-pack-config-IAD.IAD.proxy.amazon.com/wallhealth.html?warehouse=SMF1&amp;wall=PPAFE1:16</t>
  </si>
  <si>
    <t>aft-pack-config-IAD.IAD.proxy.amazon.com/wallhealth.html?warehouse=SMF1&amp;wall=PPAFE1:13</t>
  </si>
  <si>
    <t>aft-pack-config-IAD.IAD.proxy.amazon.com/wallhealth.html?warehouse=SMF1&amp;wall=PPAFE1:15</t>
  </si>
  <si>
    <t>aft-pack-config-IAD.IAD.proxy.amazon.com/wallhealth.html?warehouse=SMF1&amp;wall=PPAFE1:05</t>
  </si>
  <si>
    <t>aft-pack-config-IAD.IAD.proxy.amazon.com/wallhealth.html?warehouse=SMF1&amp;wall=PPAFE1:18</t>
  </si>
  <si>
    <t>aft-pack-config-IAD.IAD.proxy.amazon.com/wallhealth.html?warehouse=SMF1&amp;wall=PPAFE1:20</t>
  </si>
  <si>
    <t>Process</t>
  </si>
  <si>
    <t>Station</t>
  </si>
  <si>
    <t>Login</t>
  </si>
  <si>
    <t>PACK</t>
  </si>
  <si>
    <t>71:wsAFE2_71_02</t>
  </si>
  <si>
    <t>oleksgry</t>
  </si>
  <si>
    <t>61:wsAFE2_61_02</t>
  </si>
  <si>
    <t>akauma</t>
  </si>
  <si>
    <t>60:wsAFE2_60_02</t>
  </si>
  <si>
    <t>fernmma</t>
  </si>
  <si>
    <t>67:wsAFE2_67_03</t>
  </si>
  <si>
    <t>jaalihus</t>
  </si>
  <si>
    <t>18:wsAFE1_18_05</t>
  </si>
  <si>
    <t>shyaacoo</t>
  </si>
  <si>
    <t>08:wsAFE1_08_04</t>
  </si>
  <si>
    <t>mgreenep</t>
  </si>
  <si>
    <t>72:wsAFE2_72_01</t>
  </si>
  <si>
    <t>aujunew</t>
  </si>
  <si>
    <t>saraisha</t>
  </si>
  <si>
    <t>59:wsAFE2_59_02</t>
  </si>
  <si>
    <t>cindbrav</t>
  </si>
  <si>
    <t>69:wsAFE2_69_02</t>
  </si>
  <si>
    <t>lebecky</t>
  </si>
  <si>
    <t>08:wsAFE1_08_06</t>
  </si>
  <si>
    <t>maifedae</t>
  </si>
  <si>
    <t>68:wsAFE2_68_03</t>
  </si>
  <si>
    <t>kaygomes</t>
  </si>
  <si>
    <t>16:wsAFE1_16_06</t>
  </si>
  <si>
    <t>nogivevh</t>
  </si>
  <si>
    <t>08:wsAFE1_08_03</t>
  </si>
  <si>
    <t>jasjshiv</t>
  </si>
  <si>
    <t>16:wsAFE1_16_01</t>
  </si>
  <si>
    <t>sgabhije</t>
  </si>
  <si>
    <t>08:wsAFE1_08_02</t>
  </si>
  <si>
    <t>66:wsAFE2_66_03</t>
  </si>
  <si>
    <t>16:wsAFE1_16_04</t>
  </si>
  <si>
    <t>hsahibje</t>
  </si>
  <si>
    <t>12:wsAFE1_12_06</t>
  </si>
  <si>
    <t>jcardeng</t>
  </si>
  <si>
    <t>rufoj</t>
  </si>
  <si>
    <t>67:wsAFE2_67_01</t>
  </si>
  <si>
    <t>rorpajju</t>
  </si>
  <si>
    <t>aemalsaf</t>
  </si>
  <si>
    <t>14:wsAFE1_14_06</t>
  </si>
  <si>
    <t>monivmon</t>
  </si>
  <si>
    <t>12:wsAFE1_12_03</t>
  </si>
  <si>
    <t>raskaras</t>
  </si>
  <si>
    <t>61:wsAFE2_61_03</t>
  </si>
  <si>
    <t>mlozal</t>
  </si>
  <si>
    <t>72:wsAFE2_72_02</t>
  </si>
  <si>
    <t>zsingsu</t>
  </si>
  <si>
    <t>18:wsAFE1_18_06</t>
  </si>
  <si>
    <t>lsharkau</t>
  </si>
  <si>
    <t>14:wsAFE1_14_02</t>
  </si>
  <si>
    <t>diazizay</t>
  </si>
  <si>
    <t>62:wsAFE2_62_02</t>
  </si>
  <si>
    <t>bibbsg</t>
  </si>
  <si>
    <t>59:wsAFE2_59_01</t>
  </si>
  <si>
    <t>16:wsAFE1_16_05</t>
  </si>
  <si>
    <t>pblsw</t>
  </si>
  <si>
    <t>63:wsAFE2_63_02</t>
  </si>
  <si>
    <t>vjatikau</t>
  </si>
  <si>
    <t>10:wsAFE1_10_02</t>
  </si>
  <si>
    <t>gurshgur</t>
  </si>
  <si>
    <t>vdevmafi</t>
  </si>
  <si>
    <t>12:wsAFE1_12_02</t>
  </si>
  <si>
    <t>larryshc</t>
  </si>
  <si>
    <t>06:wsAFE1_06_05</t>
  </si>
  <si>
    <t>marezv</t>
  </si>
  <si>
    <t>12:wsAFE1_12_04</t>
  </si>
  <si>
    <t>isharme</t>
  </si>
  <si>
    <t>69:wsAFE2_69_01</t>
  </si>
  <si>
    <t>mayalopp</t>
  </si>
  <si>
    <t>uromari</t>
  </si>
  <si>
    <t>10:wsAFE1_10_01</t>
  </si>
  <si>
    <t>imesmata</t>
  </si>
  <si>
    <t>61:wsAFE2_61_01</t>
  </si>
  <si>
    <t>68:wsAFE2_68_02</t>
  </si>
  <si>
    <t>18:wsAFE1_18_01</t>
  </si>
  <si>
    <t>jawxiong</t>
  </si>
  <si>
    <t>65:wsAFE2_65_03</t>
  </si>
  <si>
    <t>hijerico</t>
  </si>
  <si>
    <t>60:wsAFE2_60_01</t>
  </si>
  <si>
    <t>10:wsAFE1_10_04</t>
  </si>
  <si>
    <t>nogivpri</t>
  </si>
  <si>
    <t>65:wsAFE2_65_01</t>
  </si>
  <si>
    <t>16:wsAFE1_16_02</t>
  </si>
  <si>
    <t>06:wsAFE1_06_04</t>
  </si>
  <si>
    <t>fsonkum</t>
  </si>
  <si>
    <t>71:wsAFE2_71_01</t>
  </si>
  <si>
    <t>14:wsAFE1_14_05</t>
  </si>
  <si>
    <t>jaciguti</t>
  </si>
  <si>
    <t>64:wsAFE2_64_01</t>
  </si>
  <si>
    <t>bainscha</t>
  </si>
  <si>
    <t>pumit</t>
  </si>
  <si>
    <t>12:wsAFE1_12_05</t>
  </si>
  <si>
    <t>agurmins</t>
  </si>
  <si>
    <t>67:wsAFE2_67_02</t>
  </si>
  <si>
    <t>miltjada</t>
  </si>
  <si>
    <t>65:wsAFE2_65_02</t>
  </si>
  <si>
    <t>yansalga</t>
  </si>
  <si>
    <t>06:wsAFE1_06_01</t>
  </si>
  <si>
    <t>gurkaua</t>
  </si>
  <si>
    <t>08:wsAFE1_08_05</t>
  </si>
  <si>
    <t>sediqmir</t>
  </si>
  <si>
    <t>60:wsAFE2_60_03</t>
  </si>
  <si>
    <t>rupindck</t>
  </si>
  <si>
    <t>66:wsAFE2_66_01</t>
  </si>
  <si>
    <t>bravneel</t>
  </si>
  <si>
    <t>63:wsAFE2_63_01</t>
  </si>
  <si>
    <t>dcbzb</t>
  </si>
  <si>
    <t>alexcihu</t>
  </si>
  <si>
    <t>18:wsAFE1_18_02</t>
  </si>
  <si>
    <t>vmanjinm</t>
  </si>
  <si>
    <t>14:wsAFE1_14_01</t>
  </si>
  <si>
    <t>valanger</t>
  </si>
  <si>
    <t>12:wsAFE1_12_01</t>
  </si>
  <si>
    <t>62:wsAFE2_62_03</t>
  </si>
  <si>
    <t>14:wsAFE1_14_03</t>
  </si>
  <si>
    <t>aliralav</t>
  </si>
  <si>
    <t>16:wsAFE1_16_03</t>
  </si>
  <si>
    <t>hshushub</t>
  </si>
  <si>
    <t>10:wsAFE1_10_06</t>
  </si>
  <si>
    <t>fnjusti</t>
  </si>
  <si>
    <t>snguyenb</t>
  </si>
  <si>
    <t>10:wsAFE1_10_05</t>
  </si>
  <si>
    <t>08:wsAFE1_08_01</t>
  </si>
  <si>
    <t>anchefja</t>
  </si>
  <si>
    <t>06:wsAFE1_06_06</t>
  </si>
  <si>
    <t>yjanelgi</t>
  </si>
  <si>
    <t>70:wsAFE2_70_03</t>
  </si>
  <si>
    <t>qudrazaz</t>
  </si>
  <si>
    <t>10:wsAFE1_10_03</t>
  </si>
  <si>
    <t>REBIN</t>
  </si>
  <si>
    <t>singnba</t>
  </si>
  <si>
    <t>stellaun</t>
  </si>
  <si>
    <t>zsinikhi</t>
  </si>
  <si>
    <t>nonameak</t>
  </si>
  <si>
    <t>momrmm</t>
  </si>
  <si>
    <t>yaostapi</t>
  </si>
  <si>
    <t>hadafarh</t>
  </si>
  <si>
    <t>gurbfsin</t>
  </si>
  <si>
    <t>achekzja</t>
  </si>
  <si>
    <t>ygilhwan</t>
  </si>
  <si>
    <t>nguyedar</t>
  </si>
  <si>
    <t>ssukhwiw</t>
  </si>
  <si>
    <t>zsinsur</t>
  </si>
  <si>
    <t>06B</t>
  </si>
  <si>
    <t>sahorebe</t>
  </si>
  <si>
    <t>sukhsany</t>
  </si>
  <si>
    <t>14A</t>
  </si>
  <si>
    <t>csanjusa</t>
  </si>
  <si>
    <t>08A</t>
  </si>
  <si>
    <t>kairebro</t>
  </si>
  <si>
    <t>08C</t>
  </si>
  <si>
    <t>phakchan</t>
  </si>
  <si>
    <t>18A</t>
  </si>
  <si>
    <t>alnlamar</t>
  </si>
  <si>
    <t>12A</t>
  </si>
  <si>
    <t>balinsi</t>
  </si>
  <si>
    <t>12C</t>
  </si>
  <si>
    <t>ynoomoha</t>
  </si>
  <si>
    <t>14C</t>
  </si>
  <si>
    <t>nhoitran</t>
  </si>
  <si>
    <t>06A</t>
  </si>
  <si>
    <t>10A</t>
  </si>
  <si>
    <t>chanenav</t>
  </si>
  <si>
    <t>18C</t>
  </si>
  <si>
    <t>sinarpau</t>
  </si>
  <si>
    <t>10C</t>
  </si>
  <si>
    <t>geritone</t>
  </si>
  <si>
    <t>16C</t>
  </si>
  <si>
    <t>mvattanp</t>
  </si>
  <si>
    <t>18B</t>
  </si>
  <si>
    <t>14B</t>
  </si>
  <si>
    <t>10B</t>
  </si>
  <si>
    <t>16B</t>
  </si>
  <si>
    <t>sagarnon</t>
  </si>
  <si>
    <t>06C</t>
  </si>
  <si>
    <t>08B</t>
  </si>
  <si>
    <t>16A</t>
  </si>
  <si>
    <t>12B</t>
  </si>
  <si>
    <t>INDUCT</t>
  </si>
  <si>
    <t>gkagurpr</t>
  </si>
  <si>
    <t>darryou</t>
  </si>
  <si>
    <t>vmanjosi</t>
  </si>
  <si>
    <t>singuruv</t>
  </si>
  <si>
    <t>ebbanen</t>
  </si>
  <si>
    <t>bnajaahm</t>
  </si>
  <si>
    <t>yleeam</t>
  </si>
  <si>
    <t>balaorch</t>
  </si>
  <si>
    <t>euritrac</t>
  </si>
  <si>
    <t>rasajmal</t>
  </si>
  <si>
    <t>pchriruf</t>
  </si>
  <si>
    <t>richalug</t>
  </si>
  <si>
    <t>meekandi</t>
  </si>
  <si>
    <t>PPRebinHotPick</t>
  </si>
  <si>
    <t>PPSingleEcoPac</t>
  </si>
  <si>
    <t>PPTransGYR1</t>
  </si>
  <si>
    <t>MSP1</t>
  </si>
  <si>
    <t>SCA3</t>
  </si>
  <si>
    <t>NW</t>
  </si>
  <si>
    <t>PP</t>
  </si>
  <si>
    <t>AFE1</t>
  </si>
  <si>
    <t>AFE2</t>
  </si>
  <si>
    <t>sirajvep</t>
  </si>
  <si>
    <t>khuuvinc</t>
  </si>
  <si>
    <t>wjsingh</t>
  </si>
  <si>
    <t>karalsi</t>
  </si>
  <si>
    <t>72:wsAFE2_72_03</t>
  </si>
  <si>
    <t>18:wsAFE1_18_03</t>
  </si>
  <si>
    <t>70:wsAFE2_70_01</t>
  </si>
  <si>
    <t>colowe</t>
  </si>
  <si>
    <t>lateciha</t>
  </si>
  <si>
    <t>dawelton</t>
  </si>
  <si>
    <t>bmohampa</t>
  </si>
  <si>
    <t>63:wsAFE2_63_03</t>
  </si>
  <si>
    <t>akashdz</t>
  </si>
  <si>
    <t>jussanga</t>
  </si>
  <si>
    <t>Area</t>
  </si>
  <si>
    <t>W</t>
  </si>
  <si>
    <t>A</t>
  </si>
  <si>
    <t>Induct</t>
  </si>
  <si>
    <t>mtmaldon</t>
  </si>
  <si>
    <t>06:wsAFE1_06_03</t>
  </si>
  <si>
    <t>mktho</t>
  </si>
  <si>
    <t>lousplac</t>
  </si>
  <si>
    <t>ulizethg</t>
  </si>
  <si>
    <t>frnaher</t>
  </si>
  <si>
    <t>Rebin</t>
  </si>
  <si>
    <t>BHM1</t>
  </si>
  <si>
    <t>06:wsAFE1_06_07</t>
  </si>
  <si>
    <t>10:wsAFE1_10_07</t>
  </si>
  <si>
    <t>Gambler</t>
  </si>
  <si>
    <t>APU</t>
  </si>
  <si>
    <t>SSF</t>
  </si>
  <si>
    <t>PICKCAP</t>
  </si>
  <si>
    <t>AFE1CAP</t>
  </si>
  <si>
    <t>AFE2CAP</t>
  </si>
  <si>
    <t>aft-pack-config-IAD.IAD.proxy.amazon.com/wallhealth.html?warehouse=SMF1&amp;wall=PPAFE2:57</t>
  </si>
  <si>
    <t>aft-pack-config-IAD.IAD.proxy.amazon.com/wallhealth.html?warehouse=SMF1&amp;wall=PPAFE2:62</t>
  </si>
  <si>
    <t>aft-pack-config-IAD.IAD.proxy.amazon.com/wallhealth.html?warehouse=SMF1&amp;wall=PPAFE2:51</t>
  </si>
  <si>
    <t>aft-pack-config-IAD.IAD.proxy.amazon.com/wallhealth.html?warehouse=SMF1&amp;wall=PPAFE2:64</t>
  </si>
  <si>
    <t>aft-pack-config-IAD.IAD.proxy.amazon.com/wallhealth.html?warehouse=SMF1&amp;wall=PPAFE2:59</t>
  </si>
  <si>
    <t>aft-pack-config-IAD.IAD.proxy.amazon.com/wallhealth.html?warehouse=SMF1&amp;wall=PPAFE2:61</t>
  </si>
  <si>
    <t>aft-pack-config-IAD.IAD.proxy.amazon.com/wallhealth.html?warehouse=SMF1&amp;wall=PPAFE2:69</t>
  </si>
  <si>
    <t>aft-pack-config-IAD.IAD.proxy.amazon.com/wallhealth.html?warehouse=SMF1&amp;wall=PPAFE2:52</t>
  </si>
  <si>
    <t>aft-pack-config-IAD.IAD.proxy.amazon.com/wallhealth.html?warehouse=SMF1&amp;wall=PPAFE2:70</t>
  </si>
  <si>
    <t>aft-pack-config-IAD.IAD.proxy.amazon.com/wallhealth.html?warehouse=SMF1&amp;wall=PPAFE2:67</t>
  </si>
  <si>
    <t>aft-pack-config-IAD.IAD.proxy.amazon.com/wallhealth.html?warehouse=SMF1&amp;wall=PPAFE2:58</t>
  </si>
  <si>
    <t>aft-pack-config-IAD.IAD.proxy.amazon.com/wallhealth.html?warehouse=SMF1&amp;wall=PPAFE2:60</t>
  </si>
  <si>
    <t>aft-pack-config-IAD.IAD.proxy.amazon.com/wallhealth.html?warehouse=SMF1&amp;wall=PPAFE2:55</t>
  </si>
  <si>
    <t>aft-pack-config-IAD.IAD.proxy.amazon.com/wallhealth.html?warehouse=SMF1&amp;wall=PPAFE2:72</t>
  </si>
  <si>
    <t>aft-pack-config-IAD.IAD.proxy.amazon.com/wallhealth.html?warehouse=SMF1&amp;wall=PPAFE2:71</t>
  </si>
  <si>
    <t>aft-pack-config-IAD.IAD.proxy.amazon.com/wallhealth.html?warehouse=SMF1&amp;wall=PPAFE2:53</t>
  </si>
  <si>
    <t>aft-pack-config-IAD.IAD.proxy.amazon.com/wallhealth.html?warehouse=SMF1&amp;wall=PPAFE2:68</t>
  </si>
  <si>
    <t>aft-pack-config-IAD.IAD.proxy.amazon.com/wallhealth.html?warehouse=SMF1&amp;wall=PPAFE2:63</t>
  </si>
  <si>
    <t>aft-pack-config-IAD.IAD.proxy.amazon.com/wallhealth.html?warehouse=SMF1&amp;wall=PPAFE2:56</t>
  </si>
  <si>
    <t>aft-pack-config-IAD.IAD.proxy.amazon.com/wallhealth.html?warehouse=SMF1&amp;wall=PPAFE2:54</t>
  </si>
  <si>
    <t>aft-pack-config-IAD.IAD.proxy.amazon.com/wallhealth.html?warehouse=SMF1&amp;wall=PPAFE2:66</t>
  </si>
  <si>
    <t>aft-pack-config-IAD.IAD.proxy.amazon.com/wallhealth.html?warehouse=SMF1&amp;wall=PPAFE2:65</t>
  </si>
  <si>
    <t>68:wsAFE2_68_01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</si>
</sst>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_(* \(#,##0\);_(* &quot;-&quot;_);_(@_)"/>
    <numFmt numFmtId="44" formatCode="_(&quot;$&quot;* #,##0.00_);_(&quot;$&quot;* \(#,##0.00\);_(&quot;$&quot;* &quot;-&quot;??_);_(@_)"/>
    <numFmt numFmtId="43" formatCode="_(* #,##0.00_);_(* \(#,##0.00\);_(* &quot;-&quot;??_);_(@_)"/>
    <numFmt numFmtId="164" formatCode="_(* #,##0_);_(* \(#,##0\);_(* &quot;-&quot;??_);_(@_)"/>
    <numFmt numFmtId="165" formatCode="0.0%"/>
    <numFmt numFmtId="166" formatCode="0.0"/>
    <numFmt numFmtId="167" formatCode="m/d\ h:mm"/>
    <numFmt numFmtId="168" formatCode="0.0,&quot;k&quot;"/>
  </numFmts>
  <fonts count="42"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b/>
      <sz val="14"/>
      <color theme="1"/>
      <name val="Calibri"/>
      <family val="2"/>
      <scheme val="minor"/>
    </font>
    <font>
      <sz val="11"/>
      <color theme="1"/>
      <name val="Calibri"/>
      <family val="2"/>
      <scheme val="minor"/>
    </font>
    <font>
      <sz val="11"/>
      <color rgb="FF9C0006"/>
      <name val="Calibri"/>
      <family val="2"/>
      <scheme val="minor"/>
    </font>
    <font>
      <b/>
      <sz val="14"/>
      <color theme="0"/>
      <name val="Calibri"/>
      <family val="2"/>
      <scheme val="minor"/>
    </font>
    <font>
      <b/>
      <sz val="20"/>
      <color theme="0"/>
      <name val="Calibri"/>
      <family val="2"/>
      <scheme val="minor"/>
    </font>
    <font>
      <b/>
      <sz val="16"/>
      <color theme="0"/>
      <name val="Calibri"/>
      <family val="2"/>
      <scheme val="minor"/>
    </font>
    <font>
      <sz val="11"/>
      <color rgb="FFFF0000"/>
      <name val="Calibri"/>
      <family val="2"/>
      <scheme val="minor"/>
    </font>
    <font>
      <sz val="11"/>
      <color indexed="8"/>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rgb="FF000000"/>
      <name val="Calibri"/>
      <family val="2"/>
    </font>
    <font>
      <sz val="10"/>
      <color indexed="64"/>
      <name val="Arial"/>
      <family val="2"/>
    </font>
    <font>
      <b/>
      <sz val="16"/>
      <color theme="1"/>
      <name val="Calibri"/>
      <family val="2"/>
      <scheme val="minor"/>
    </font>
    <font>
      <b/>
      <sz val="18"/>
      <color theme="0"/>
      <name val="Calibri"/>
      <family val="2"/>
      <scheme val="minor"/>
    </font>
    <font>
      <sz val="16"/>
      <color theme="0"/>
      <name val="Calibri"/>
      <family val="2"/>
      <scheme val="minor"/>
    </font>
    <font>
      <b/>
      <sz val="18"/>
      <color rgb="FF006100"/>
      <name val="Calibri"/>
      <family val="2"/>
      <scheme val="minor"/>
    </font>
    <font>
      <b/>
      <sz val="14"/>
      <name val="Calibri"/>
      <family val="2"/>
      <scheme val="minor"/>
    </font>
    <font>
      <b/>
      <sz val="12"/>
      <name val="Calibri"/>
      <family val="2"/>
      <scheme val="minor"/>
    </font>
    <font>
      <sz val="11"/>
      <color theme="2" tint="-0.499984740745262"/>
      <name val="Calibri"/>
      <family val="2"/>
      <scheme val="minor"/>
    </font>
    <font>
      <b/>
      <sz val="12"/>
      <color rgb="FF000000"/>
      <name val="Calibri"/>
      <family val="2"/>
    </font>
    <font>
      <sz val="10"/>
      <color rgb="FF000000"/>
      <name val="Calibri"/>
      <family val="2"/>
    </font>
    <font>
      <b/>
      <sz val="9"/>
      <color rgb="FF000000"/>
      <name val="Calibri"/>
      <family val="2"/>
    </font>
    <font>
      <u/>
      <sz val="11"/>
      <color theme="10"/>
      <name val="Calibri"/>
      <family val="2"/>
      <scheme val="minor"/>
    </font>
    <font>
      <b/>
      <sz val="12"/>
      <color rgb="FF006100"/>
      <name val="Calibri"/>
      <family val="2"/>
      <scheme val="minor"/>
    </font>
    <font>
      <b/>
      <sz val="12"/>
      <color theme="1"/>
      <name val="Calibri"/>
      <family val="2"/>
      <scheme val="minor"/>
    </font>
    <font>
      <b/>
      <sz val="12"/>
      <color theme="0"/>
      <name val="Calibri"/>
      <family val="2"/>
      <scheme val="minor"/>
    </font>
    <font>
      <sz val="14"/>
      <color theme="0"/>
      <name val="Calibri"/>
      <family val="2"/>
      <scheme val="minor"/>
    </font>
    <font>
      <b/>
      <sz val="16"/>
      <name val="Calibri"/>
      <family val="2"/>
      <scheme val="minor"/>
    </font>
    <font>
      <b/>
      <sz val="17"/>
      <color theme="1"/>
      <name val="Calibri"/>
      <family val="2"/>
      <scheme val="minor"/>
    </font>
  </fonts>
  <fills count="49">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C7CE"/>
      </patternFill>
    </fill>
    <fill>
      <patternFill patternType="solid">
        <fgColor rgb="FFC6EF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499984740745262"/>
        <bgColor indexed="64"/>
      </patternFill>
    </fill>
    <fill>
      <patternFill patternType="solid">
        <fgColor theme="3"/>
        <bgColor indexed="64"/>
      </patternFill>
    </fill>
    <fill>
      <patternFill patternType="solid">
        <fgColor theme="4"/>
        <bgColor indexed="64"/>
      </patternFill>
    </fill>
    <fill>
      <patternFill patternType="solid">
        <fgColor theme="6" tint="-0.249977111117893"/>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1"/>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1" tint="4.9989318521683403E-2"/>
        <bgColor indexed="64"/>
      </patternFill>
    </fill>
    <fill>
      <patternFill patternType="solid">
        <fgColor theme="0" tint="-4.9989318521683403E-2"/>
        <bgColor indexed="64"/>
      </patternFill>
    </fill>
  </fills>
  <borders count="65">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medium">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right style="medium">
        <color indexed="64"/>
      </right>
      <top style="medium">
        <color indexed="64"/>
      </top>
      <bottom style="thin">
        <color indexed="64"/>
      </bottom>
      <diagonal/>
    </border>
    <border>
      <left/>
      <right style="thick">
        <color indexed="64"/>
      </right>
      <top style="medium">
        <color indexed="64"/>
      </top>
      <bottom style="medium">
        <color indexed="64"/>
      </bottom>
      <diagonal/>
    </border>
    <border>
      <left style="thick">
        <color indexed="64"/>
      </left>
      <right style="medium">
        <color indexed="64"/>
      </right>
      <top style="medium">
        <color indexed="64"/>
      </top>
      <bottom/>
      <diagonal/>
    </border>
    <border>
      <left style="thick">
        <color indexed="64"/>
      </left>
      <right style="medium">
        <color indexed="64"/>
      </right>
      <top/>
      <bottom style="medium">
        <color indexed="64"/>
      </bottom>
      <diagonal/>
    </border>
    <border>
      <left style="medium">
        <color indexed="64"/>
      </left>
      <right style="thick">
        <color indexed="64"/>
      </right>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s>
  <cellStyleXfs count="49">
    <xf numFmtId="0" fontId="0" fillId="0" borderId="0"/>
    <xf numFmtId="43" fontId="5" fillId="0" borderId="0" applyFont="0" applyFill="0" applyBorder="0" applyAlignment="0" applyProtection="0"/>
    <xf numFmtId="9" fontId="5" fillId="0" borderId="0" applyFont="0" applyFill="0" applyBorder="0" applyAlignment="0" applyProtection="0"/>
    <xf numFmtId="0" fontId="6" fillId="5" borderId="0" applyNumberFormat="0" applyBorder="0" applyAlignment="0" applyProtection="0"/>
    <xf numFmtId="0" fontId="11" fillId="0" borderId="0"/>
    <xf numFmtId="9" fontId="11" fillId="0" borderId="0" applyFont="0" applyFill="0" applyBorder="0" applyAlignment="0" applyProtection="0"/>
    <xf numFmtId="0" fontId="12" fillId="0" borderId="0" applyNumberFormat="0" applyFill="0" applyBorder="0" applyAlignment="0" applyProtection="0"/>
    <xf numFmtId="0" fontId="13" fillId="0" borderId="27" applyNumberFormat="0" applyFill="0" applyAlignment="0" applyProtection="0"/>
    <xf numFmtId="0" fontId="14" fillId="0" borderId="28" applyNumberFormat="0" applyFill="0" applyAlignment="0" applyProtection="0"/>
    <xf numFmtId="0" fontId="15" fillId="0" borderId="29" applyNumberFormat="0" applyFill="0" applyAlignment="0" applyProtection="0"/>
    <xf numFmtId="0" fontId="15" fillId="0" borderId="0" applyNumberFormat="0" applyFill="0" applyBorder="0" applyAlignment="0" applyProtection="0"/>
    <xf numFmtId="0" fontId="16" fillId="6" borderId="0" applyNumberFormat="0" applyBorder="0" applyAlignment="0" applyProtection="0"/>
    <xf numFmtId="0" fontId="17" fillId="7" borderId="0" applyNumberFormat="0" applyBorder="0" applyAlignment="0" applyProtection="0"/>
    <xf numFmtId="0" fontId="18" fillId="8" borderId="30" applyNumberFormat="0" applyAlignment="0" applyProtection="0"/>
    <xf numFmtId="0" fontId="19" fillId="9" borderId="31" applyNumberFormat="0" applyAlignment="0" applyProtection="0"/>
    <xf numFmtId="0" fontId="20" fillId="9" borderId="30" applyNumberFormat="0" applyAlignment="0" applyProtection="0"/>
    <xf numFmtId="0" fontId="21" fillId="0" borderId="32" applyNumberFormat="0" applyFill="0" applyAlignment="0" applyProtection="0"/>
    <xf numFmtId="0" fontId="2" fillId="10" borderId="33" applyNumberFormat="0" applyAlignment="0" applyProtection="0"/>
    <xf numFmtId="0" fontId="10" fillId="0" borderId="0" applyNumberFormat="0" applyFill="0" applyBorder="0" applyAlignment="0" applyProtection="0"/>
    <xf numFmtId="0" fontId="5" fillId="11" borderId="34" applyNumberFormat="0" applyFont="0" applyAlignment="0" applyProtection="0"/>
    <xf numFmtId="0" fontId="22" fillId="0" borderId="0" applyNumberFormat="0" applyFill="0" applyBorder="0" applyAlignment="0" applyProtection="0"/>
    <xf numFmtId="0" fontId="1" fillId="0" borderId="35" applyNumberFormat="0" applyFill="0" applyAlignment="0" applyProtection="0"/>
    <xf numFmtId="0" fontId="3"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3"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3"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3"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3" fillId="28"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3" fillId="32"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24" fillId="0" borderId="0"/>
    <xf numFmtId="0" fontId="35" fillId="0" borderId="0" applyNumberFormat="0" applyFill="0" applyBorder="0" applyAlignment="0" applyProtection="0"/>
    <xf numFmtId="44" fontId="5" fillId="0" borderId="0" applyFont="0" applyFill="0" applyBorder="0" applyAlignment="0" applyProtection="0"/>
  </cellStyleXfs>
  <cellXfs count="234">
    <xf numFmtId="0" fontId="0" fillId="0" borderId="0" xfId="0"/>
    <xf numFmtId="22" fontId="0" fillId="0" borderId="0" xfId="0" applyNumberFormat="1"/>
    <xf numFmtId="1" fontId="0" fillId="4" borderId="4" xfId="0" applyNumberFormat="1" applyFill="1" applyBorder="1" applyAlignment="1" applyProtection="1">
      <alignment horizontal="center"/>
      <protection locked="0"/>
    </xf>
    <xf numFmtId="1" fontId="0" fillId="3" borderId="2" xfId="0" applyNumberFormat="1" applyFill="1" applyBorder="1" applyAlignment="1">
      <alignment horizontal="center"/>
    </xf>
    <xf numFmtId="0" fontId="1" fillId="2" borderId="22" xfId="0" applyFont="1" applyFill="1" applyBorder="1" applyAlignment="1">
      <alignment horizontal="center"/>
    </xf>
    <xf numFmtId="1" fontId="0" fillId="3" borderId="4" xfId="0" applyNumberFormat="1" applyFill="1" applyBorder="1" applyAlignment="1">
      <alignment horizontal="center"/>
    </xf>
    <xf numFmtId="1" fontId="0" fillId="3" borderId="24" xfId="0" applyNumberFormat="1" applyFill="1" applyBorder="1" applyAlignment="1">
      <alignment horizontal="center"/>
    </xf>
    <xf numFmtId="1" fontId="0" fillId="3" borderId="17" xfId="0" applyNumberFormat="1" applyFill="1" applyBorder="1" applyAlignment="1">
      <alignment horizontal="center"/>
    </xf>
    <xf numFmtId="0" fontId="0" fillId="2" borderId="0" xfId="0" applyFill="1"/>
    <xf numFmtId="0" fontId="1" fillId="41" borderId="20" xfId="0" applyFont="1" applyFill="1" applyBorder="1"/>
    <xf numFmtId="0" fontId="1" fillId="41" borderId="12" xfId="0" applyFont="1" applyFill="1" applyBorder="1"/>
    <xf numFmtId="0" fontId="1" fillId="41" borderId="37" xfId="0" applyFont="1" applyFill="1" applyBorder="1"/>
    <xf numFmtId="0" fontId="1" fillId="41" borderId="14" xfId="0" applyFont="1" applyFill="1" applyBorder="1"/>
    <xf numFmtId="0" fontId="1" fillId="41" borderId="13" xfId="0" applyFont="1" applyFill="1" applyBorder="1"/>
    <xf numFmtId="0" fontId="1" fillId="41" borderId="47" xfId="0" applyFont="1" applyFill="1" applyBorder="1"/>
    <xf numFmtId="0" fontId="0" fillId="2" borderId="48" xfId="0" applyFill="1" applyBorder="1"/>
    <xf numFmtId="0" fontId="0" fillId="0" borderId="48" xfId="0" applyBorder="1"/>
    <xf numFmtId="41" fontId="0" fillId="2" borderId="0" xfId="1" applyNumberFormat="1" applyFont="1" applyFill="1" applyBorder="1"/>
    <xf numFmtId="0" fontId="1" fillId="41" borderId="49" xfId="0" applyFont="1" applyFill="1" applyBorder="1"/>
    <xf numFmtId="0" fontId="0" fillId="2" borderId="50" xfId="0" applyFill="1" applyBorder="1"/>
    <xf numFmtId="0" fontId="1" fillId="41" borderId="43" xfId="0" applyFont="1" applyFill="1" applyBorder="1"/>
    <xf numFmtId="0" fontId="0" fillId="2" borderId="42" xfId="0" applyFill="1" applyBorder="1"/>
    <xf numFmtId="0" fontId="0" fillId="0" borderId="42" xfId="0" applyBorder="1"/>
    <xf numFmtId="164" fontId="0" fillId="2" borderId="0" xfId="1" applyNumberFormat="1" applyFont="1" applyFill="1" applyBorder="1"/>
    <xf numFmtId="0" fontId="1" fillId="41" borderId="51" xfId="0" applyFont="1" applyFill="1" applyBorder="1"/>
    <xf numFmtId="0" fontId="0" fillId="2" borderId="40" xfId="0" applyFill="1" applyBorder="1"/>
    <xf numFmtId="9" fontId="0" fillId="2" borderId="0" xfId="2" applyFont="1" applyFill="1" applyBorder="1"/>
    <xf numFmtId="9" fontId="0" fillId="2" borderId="0" xfId="0" applyNumberFormat="1" applyFill="1"/>
    <xf numFmtId="0" fontId="1" fillId="41" borderId="52" xfId="0" applyFont="1" applyFill="1" applyBorder="1"/>
    <xf numFmtId="0" fontId="0" fillId="2" borderId="53" xfId="0" applyFill="1" applyBorder="1"/>
    <xf numFmtId="0" fontId="0" fillId="0" borderId="26" xfId="0" applyBorder="1"/>
    <xf numFmtId="0" fontId="1" fillId="41" borderId="48" xfId="0" applyFont="1" applyFill="1" applyBorder="1"/>
    <xf numFmtId="1" fontId="0" fillId="0" borderId="17" xfId="0" applyNumberFormat="1" applyBorder="1"/>
    <xf numFmtId="1" fontId="0" fillId="0" borderId="24" xfId="0" applyNumberFormat="1" applyBorder="1"/>
    <xf numFmtId="1" fontId="0" fillId="0" borderId="2" xfId="0" applyNumberFormat="1" applyBorder="1"/>
    <xf numFmtId="0" fontId="1" fillId="41" borderId="21" xfId="0" applyFont="1" applyFill="1" applyBorder="1"/>
    <xf numFmtId="0" fontId="1" fillId="42" borderId="40" xfId="0" applyFont="1" applyFill="1" applyBorder="1"/>
    <xf numFmtId="0" fontId="1" fillId="42" borderId="11" xfId="0" applyFont="1" applyFill="1" applyBorder="1"/>
    <xf numFmtId="0" fontId="1" fillId="42" borderId="14" xfId="0" applyFont="1" applyFill="1" applyBorder="1"/>
    <xf numFmtId="0" fontId="1" fillId="42" borderId="37" xfId="0" applyFont="1" applyFill="1" applyBorder="1"/>
    <xf numFmtId="0" fontId="1" fillId="42" borderId="13" xfId="0" applyFont="1" applyFill="1" applyBorder="1"/>
    <xf numFmtId="0" fontId="1" fillId="42" borderId="12" xfId="0" applyFont="1" applyFill="1" applyBorder="1"/>
    <xf numFmtId="1" fontId="0" fillId="0" borderId="1" xfId="0" applyNumberFormat="1" applyBorder="1"/>
    <xf numFmtId="1" fontId="0" fillId="0" borderId="15" xfId="0" applyNumberFormat="1" applyBorder="1"/>
    <xf numFmtId="1" fontId="0" fillId="0" borderId="16" xfId="0" applyNumberFormat="1" applyBorder="1"/>
    <xf numFmtId="1" fontId="0" fillId="0" borderId="18" xfId="0" applyNumberFormat="1" applyBorder="1"/>
    <xf numFmtId="1" fontId="0" fillId="0" borderId="45" xfId="0" applyNumberFormat="1" applyBorder="1"/>
    <xf numFmtId="1" fontId="0" fillId="0" borderId="19" xfId="0" applyNumberFormat="1" applyBorder="1"/>
    <xf numFmtId="1" fontId="0" fillId="0" borderId="46" xfId="0" applyNumberFormat="1" applyBorder="1"/>
    <xf numFmtId="1" fontId="0" fillId="0" borderId="36" xfId="0" applyNumberFormat="1" applyBorder="1"/>
    <xf numFmtId="1" fontId="0" fillId="0" borderId="56" xfId="0" applyNumberFormat="1" applyBorder="1"/>
    <xf numFmtId="1" fontId="0" fillId="0" borderId="44" xfId="0" applyNumberFormat="1" applyBorder="1"/>
    <xf numFmtId="1" fontId="0" fillId="0" borderId="55" xfId="0" applyNumberFormat="1" applyBorder="1"/>
    <xf numFmtId="1" fontId="0" fillId="0" borderId="38" xfId="0" applyNumberFormat="1" applyBorder="1"/>
    <xf numFmtId="1" fontId="0" fillId="0" borderId="23" xfId="0" applyNumberFormat="1" applyBorder="1"/>
    <xf numFmtId="1" fontId="0" fillId="0" borderId="3" xfId="0" applyNumberFormat="1" applyBorder="1"/>
    <xf numFmtId="1" fontId="0" fillId="0" borderId="54" xfId="0" applyNumberFormat="1" applyBorder="1"/>
    <xf numFmtId="0" fontId="0" fillId="0" borderId="0" xfId="0" applyAlignment="1">
      <alignment horizontal="center"/>
    </xf>
    <xf numFmtId="0" fontId="2" fillId="43" borderId="19" xfId="0" applyFont="1" applyFill="1" applyBorder="1" applyAlignment="1">
      <alignment horizontal="center"/>
    </xf>
    <xf numFmtId="0" fontId="2" fillId="43" borderId="50" xfId="0" applyFont="1" applyFill="1" applyBorder="1" applyAlignment="1">
      <alignment horizontal="center"/>
    </xf>
    <xf numFmtId="0" fontId="2" fillId="44" borderId="18" xfId="0" applyFont="1" applyFill="1" applyBorder="1" applyAlignment="1">
      <alignment horizontal="left" vertical="center"/>
    </xf>
    <xf numFmtId="0" fontId="2" fillId="44" borderId="53" xfId="0" applyFont="1" applyFill="1" applyBorder="1" applyAlignment="1">
      <alignment horizontal="left" vertical="center"/>
    </xf>
    <xf numFmtId="0" fontId="0" fillId="0" borderId="37" xfId="0" applyBorder="1"/>
    <xf numFmtId="0" fontId="1" fillId="42" borderId="50" xfId="0" applyFont="1" applyFill="1" applyBorder="1"/>
    <xf numFmtId="0" fontId="1" fillId="41" borderId="58" xfId="0" applyFont="1" applyFill="1" applyBorder="1"/>
    <xf numFmtId="0" fontId="1" fillId="42" borderId="57" xfId="0" applyFont="1" applyFill="1" applyBorder="1"/>
    <xf numFmtId="0" fontId="1" fillId="0" borderId="0" xfId="0" applyFont="1"/>
    <xf numFmtId="0" fontId="0" fillId="36" borderId="0" xfId="0" applyFill="1" applyProtection="1">
      <protection locked="0"/>
    </xf>
    <xf numFmtId="0" fontId="7" fillId="37" borderId="20" xfId="0" applyFont="1" applyFill="1" applyBorder="1" applyAlignment="1" applyProtection="1">
      <alignment horizontal="center" vertical="center"/>
      <protection locked="0"/>
    </xf>
    <xf numFmtId="167" fontId="26" fillId="38" borderId="39" xfId="0" applyNumberFormat="1" applyFont="1" applyFill="1" applyBorder="1" applyAlignment="1" applyProtection="1">
      <alignment horizontal="center" vertical="center"/>
      <protection locked="0"/>
    </xf>
    <xf numFmtId="0" fontId="37" fillId="40" borderId="5" xfId="0" applyFont="1" applyFill="1" applyBorder="1" applyAlignment="1" applyProtection="1">
      <alignment horizontal="center" vertical="center" wrapText="1"/>
      <protection locked="0"/>
    </xf>
    <xf numFmtId="0" fontId="37" fillId="40" borderId="6" xfId="0" applyFont="1" applyFill="1" applyBorder="1" applyAlignment="1" applyProtection="1">
      <alignment horizontal="center" vertical="center" wrapText="1"/>
      <protection locked="0"/>
    </xf>
    <xf numFmtId="0" fontId="37" fillId="40" borderId="12" xfId="0" applyFont="1" applyFill="1" applyBorder="1" applyAlignment="1" applyProtection="1">
      <alignment horizontal="center" vertical="center" wrapText="1"/>
      <protection locked="0"/>
    </xf>
    <xf numFmtId="0" fontId="37" fillId="40" borderId="13" xfId="0" applyFont="1" applyFill="1" applyBorder="1" applyAlignment="1" applyProtection="1">
      <alignment horizontal="center" vertical="center" wrapText="1"/>
      <protection locked="0"/>
    </xf>
    <xf numFmtId="0" fontId="25" fillId="40" borderId="41" xfId="0" applyFont="1" applyFill="1" applyBorder="1" applyAlignment="1" applyProtection="1">
      <alignment horizontal="center" vertical="center"/>
      <protection locked="0"/>
    </xf>
    <xf numFmtId="0" fontId="25" fillId="40" borderId="26" xfId="0" applyFont="1" applyFill="1" applyBorder="1" applyAlignment="1" applyProtection="1">
      <alignment horizontal="center" vertical="center"/>
      <protection locked="0"/>
    </xf>
    <xf numFmtId="0" fontId="25" fillId="40" borderId="10" xfId="0" applyFont="1" applyFill="1" applyBorder="1" applyAlignment="1" applyProtection="1">
      <alignment horizontal="center" vertical="center"/>
      <protection locked="0"/>
    </xf>
    <xf numFmtId="0" fontId="25" fillId="40" borderId="37" xfId="0" applyFont="1" applyFill="1" applyBorder="1" applyAlignment="1" applyProtection="1">
      <alignment horizontal="center" vertical="center"/>
      <protection locked="0"/>
    </xf>
    <xf numFmtId="0" fontId="4" fillId="40" borderId="25" xfId="0" applyFont="1" applyFill="1" applyBorder="1" applyAlignment="1" applyProtection="1">
      <alignment horizontal="center" vertical="center" wrapText="1"/>
      <protection locked="0"/>
    </xf>
    <xf numFmtId="0" fontId="8" fillId="37" borderId="12" xfId="0" applyFont="1" applyFill="1" applyBorder="1" applyProtection="1">
      <protection locked="0"/>
    </xf>
    <xf numFmtId="0" fontId="8" fillId="39" borderId="8" xfId="0" applyFont="1" applyFill="1" applyBorder="1" applyProtection="1">
      <protection locked="0"/>
    </xf>
    <xf numFmtId="0" fontId="8" fillId="39" borderId="5" xfId="0" applyFont="1" applyFill="1" applyBorder="1" applyProtection="1">
      <protection locked="0"/>
    </xf>
    <xf numFmtId="0" fontId="26" fillId="37" borderId="25" xfId="0" applyFont="1" applyFill="1" applyBorder="1" applyAlignment="1" applyProtection="1">
      <alignment vertical="center"/>
      <protection locked="0"/>
    </xf>
    <xf numFmtId="0" fontId="4" fillId="40" borderId="8" xfId="0" applyFont="1" applyFill="1" applyBorder="1" applyAlignment="1" applyProtection="1">
      <alignment horizontal="center" vertical="center"/>
      <protection locked="0"/>
    </xf>
    <xf numFmtId="0" fontId="4" fillId="4" borderId="0" xfId="0" applyFont="1" applyFill="1" applyAlignment="1" applyProtection="1">
      <alignment horizontal="center"/>
      <protection locked="0"/>
    </xf>
    <xf numFmtId="0" fontId="4" fillId="4" borderId="8" xfId="0" applyFont="1" applyFill="1" applyBorder="1" applyAlignment="1" applyProtection="1">
      <alignment horizontal="center"/>
      <protection locked="0"/>
    </xf>
    <xf numFmtId="0" fontId="31" fillId="36" borderId="0" xfId="0" applyFont="1" applyFill="1" applyProtection="1">
      <protection locked="0"/>
    </xf>
    <xf numFmtId="0" fontId="4" fillId="40" borderId="25" xfId="0" applyFont="1" applyFill="1" applyBorder="1" applyAlignment="1" applyProtection="1">
      <alignment horizontal="center" vertical="center"/>
      <protection locked="0"/>
    </xf>
    <xf numFmtId="0" fontId="4" fillId="4" borderId="25" xfId="0" applyFont="1" applyFill="1" applyBorder="1" applyAlignment="1" applyProtection="1">
      <alignment horizontal="center"/>
      <protection locked="0"/>
    </xf>
    <xf numFmtId="0" fontId="4" fillId="4" borderId="10" xfId="0" applyFont="1" applyFill="1" applyBorder="1" applyAlignment="1" applyProtection="1">
      <alignment horizontal="center"/>
      <protection locked="0"/>
    </xf>
    <xf numFmtId="0" fontId="0" fillId="0" borderId="0" xfId="0" applyProtection="1">
      <protection locked="0"/>
    </xf>
    <xf numFmtId="168" fontId="7" fillId="37" borderId="12" xfId="1" applyNumberFormat="1" applyFont="1" applyFill="1" applyBorder="1" applyAlignment="1" applyProtection="1">
      <alignment horizontal="center"/>
    </xf>
    <xf numFmtId="168" fontId="7" fillId="37" borderId="14" xfId="1" applyNumberFormat="1" applyFont="1" applyFill="1" applyBorder="1" applyAlignment="1" applyProtection="1">
      <alignment horizontal="center"/>
    </xf>
    <xf numFmtId="168" fontId="7" fillId="37" borderId="25" xfId="1" applyNumberFormat="1" applyFont="1" applyFill="1" applyBorder="1" applyAlignment="1" applyProtection="1">
      <alignment horizontal="center"/>
    </xf>
    <xf numFmtId="168" fontId="7" fillId="37" borderId="41" xfId="1" applyNumberFormat="1" applyFont="1" applyFill="1" applyBorder="1" applyAlignment="1" applyProtection="1">
      <alignment horizontal="center"/>
    </xf>
    <xf numFmtId="164" fontId="27" fillId="37" borderId="7" xfId="0" quotePrefix="1" applyNumberFormat="1" applyFont="1" applyFill="1" applyBorder="1" applyAlignment="1">
      <alignment horizontal="center"/>
    </xf>
    <xf numFmtId="164" fontId="9" fillId="37" borderId="39" xfId="0" quotePrefix="1" applyNumberFormat="1" applyFont="1" applyFill="1" applyBorder="1" applyAlignment="1">
      <alignment horizontal="center"/>
    </xf>
    <xf numFmtId="164" fontId="27" fillId="37" borderId="20" xfId="0" quotePrefix="1" applyNumberFormat="1" applyFont="1" applyFill="1" applyBorder="1" applyAlignment="1">
      <alignment horizontal="center"/>
    </xf>
    <xf numFmtId="164" fontId="27" fillId="37" borderId="0" xfId="0" quotePrefix="1" applyNumberFormat="1" applyFont="1" applyFill="1" applyAlignment="1">
      <alignment horizontal="center"/>
    </xf>
    <xf numFmtId="164" fontId="27" fillId="37" borderId="8" xfId="0" quotePrefix="1" applyNumberFormat="1" applyFont="1" applyFill="1" applyBorder="1" applyAlignment="1">
      <alignment horizontal="center"/>
    </xf>
    <xf numFmtId="168" fontId="7" fillId="39" borderId="8" xfId="0" applyNumberFormat="1" applyFont="1" applyFill="1" applyBorder="1" applyAlignment="1">
      <alignment horizontal="center"/>
    </xf>
    <xf numFmtId="168" fontId="7" fillId="39" borderId="0" xfId="0" applyNumberFormat="1" applyFont="1" applyFill="1" applyAlignment="1">
      <alignment horizontal="center"/>
    </xf>
    <xf numFmtId="168" fontId="7" fillId="39" borderId="9" xfId="0" applyNumberFormat="1" applyFont="1" applyFill="1" applyBorder="1" applyAlignment="1">
      <alignment horizontal="center"/>
    </xf>
    <xf numFmtId="164" fontId="9" fillId="39" borderId="13" xfId="0" applyNumberFormat="1" applyFont="1" applyFill="1" applyBorder="1" applyAlignment="1">
      <alignment horizontal="center" vertical="center"/>
    </xf>
    <xf numFmtId="164" fontId="28" fillId="6" borderId="37" xfId="11" applyNumberFormat="1" applyFont="1" applyBorder="1" applyAlignment="1" applyProtection="1">
      <alignment horizontal="center" vertical="center"/>
    </xf>
    <xf numFmtId="164" fontId="9" fillId="39" borderId="37" xfId="0" applyNumberFormat="1" applyFont="1" applyFill="1" applyBorder="1" applyAlignment="1">
      <alignment horizontal="center" vertical="center"/>
    </xf>
    <xf numFmtId="164" fontId="9" fillId="39" borderId="14" xfId="0" applyNumberFormat="1" applyFont="1" applyFill="1" applyBorder="1" applyAlignment="1">
      <alignment horizontal="center" vertical="center"/>
    </xf>
    <xf numFmtId="165" fontId="36" fillId="6" borderId="12" xfId="2" applyNumberFormat="1" applyFont="1" applyFill="1" applyBorder="1" applyAlignment="1" applyProtection="1">
      <alignment horizontal="center" vertical="center"/>
    </xf>
    <xf numFmtId="166" fontId="29" fillId="2" borderId="37" xfId="0" applyNumberFormat="1" applyFont="1" applyFill="1" applyBorder="1" applyAlignment="1">
      <alignment horizontal="center" vertical="center"/>
    </xf>
    <xf numFmtId="168" fontId="7" fillId="39" borderId="5" xfId="0" applyNumberFormat="1" applyFont="1" applyFill="1" applyBorder="1" applyAlignment="1">
      <alignment horizontal="center"/>
    </xf>
    <xf numFmtId="168" fontId="7" fillId="39" borderId="6" xfId="0" applyNumberFormat="1" applyFont="1" applyFill="1" applyBorder="1" applyAlignment="1">
      <alignment horizontal="center"/>
    </xf>
    <xf numFmtId="168" fontId="7" fillId="39" borderId="7" xfId="0" applyNumberFormat="1" applyFont="1" applyFill="1" applyBorder="1" applyAlignment="1">
      <alignment horizontal="center"/>
    </xf>
    <xf numFmtId="164" fontId="9" fillId="39" borderId="7" xfId="0" quotePrefix="1" applyNumberFormat="1" applyFont="1" applyFill="1" applyBorder="1" applyAlignment="1">
      <alignment horizontal="center"/>
    </xf>
    <xf numFmtId="164" fontId="9" fillId="39" borderId="20" xfId="0" applyNumberFormat="1" applyFont="1" applyFill="1" applyBorder="1" applyAlignment="1">
      <alignment horizontal="center"/>
    </xf>
    <xf numFmtId="164" fontId="9" fillId="39" borderId="5" xfId="0" quotePrefix="1" applyNumberFormat="1" applyFont="1" applyFill="1" applyBorder="1" applyAlignment="1">
      <alignment horizontal="center"/>
    </xf>
    <xf numFmtId="164" fontId="27" fillId="39" borderId="20" xfId="0" quotePrefix="1" applyNumberFormat="1" applyFont="1" applyFill="1" applyBorder="1" applyAlignment="1">
      <alignment horizontal="center"/>
    </xf>
    <xf numFmtId="165" fontId="36" fillId="6" borderId="14" xfId="2" applyNumberFormat="1" applyFont="1" applyFill="1" applyBorder="1" applyAlignment="1" applyProtection="1">
      <alignment horizontal="center" vertical="center"/>
    </xf>
    <xf numFmtId="168" fontId="39" fillId="39" borderId="20" xfId="0" quotePrefix="1" applyNumberFormat="1" applyFont="1" applyFill="1" applyBorder="1" applyAlignment="1">
      <alignment horizontal="center"/>
    </xf>
    <xf numFmtId="168" fontId="39" fillId="37" borderId="39" xfId="0" applyNumberFormat="1" applyFont="1" applyFill="1" applyBorder="1" applyAlignment="1">
      <alignment horizontal="center"/>
    </xf>
    <xf numFmtId="9" fontId="4" fillId="2" borderId="8" xfId="2" applyFont="1" applyFill="1" applyBorder="1" applyAlignment="1" applyProtection="1">
      <alignment horizontal="center"/>
    </xf>
    <xf numFmtId="9" fontId="4" fillId="2" borderId="0" xfId="2" applyFont="1" applyFill="1" applyBorder="1" applyAlignment="1" applyProtection="1">
      <alignment horizontal="center"/>
    </xf>
    <xf numFmtId="9" fontId="4" fillId="2" borderId="9" xfId="2" applyFont="1" applyFill="1" applyBorder="1" applyAlignment="1" applyProtection="1">
      <alignment horizontal="center"/>
    </xf>
    <xf numFmtId="164" fontId="29" fillId="2" borderId="20" xfId="11" applyNumberFormat="1" applyFont="1" applyFill="1" applyBorder="1" applyAlignment="1" applyProtection="1">
      <alignment horizontal="center" vertical="center"/>
    </xf>
    <xf numFmtId="164" fontId="4" fillId="0" borderId="20" xfId="1" applyNumberFormat="1" applyFont="1" applyBorder="1" applyAlignment="1" applyProtection="1">
      <alignment horizontal="center" vertical="center"/>
    </xf>
    <xf numFmtId="165" fontId="30" fillId="2" borderId="6" xfId="2" applyNumberFormat="1" applyFont="1" applyFill="1" applyBorder="1" applyAlignment="1" applyProtection="1">
      <alignment horizontal="center" vertical="center"/>
    </xf>
    <xf numFmtId="166" fontId="30" fillId="2" borderId="20" xfId="0" applyNumberFormat="1" applyFont="1" applyFill="1" applyBorder="1" applyAlignment="1">
      <alignment horizontal="center"/>
    </xf>
    <xf numFmtId="164" fontId="29" fillId="2" borderId="39" xfId="11" applyNumberFormat="1" applyFont="1" applyFill="1" applyBorder="1" applyAlignment="1" applyProtection="1">
      <alignment horizontal="center" vertical="center"/>
    </xf>
    <xf numFmtId="164" fontId="4" fillId="0" borderId="39" xfId="1" applyNumberFormat="1" applyFont="1" applyBorder="1" applyAlignment="1" applyProtection="1">
      <alignment horizontal="center" vertical="center"/>
    </xf>
    <xf numFmtId="165" fontId="30" fillId="2" borderId="0" xfId="2" applyNumberFormat="1" applyFont="1" applyFill="1" applyBorder="1" applyAlignment="1" applyProtection="1">
      <alignment horizontal="center" vertical="center"/>
    </xf>
    <xf numFmtId="9" fontId="4" fillId="2" borderId="25" xfId="2" applyFont="1" applyFill="1" applyBorder="1" applyAlignment="1" applyProtection="1">
      <alignment horizontal="center"/>
    </xf>
    <xf numFmtId="9" fontId="4" fillId="2" borderId="41" xfId="2" applyFont="1" applyFill="1" applyBorder="1" applyAlignment="1" applyProtection="1">
      <alignment horizontal="center"/>
    </xf>
    <xf numFmtId="164" fontId="29" fillId="2" borderId="26" xfId="11" applyNumberFormat="1" applyFont="1" applyFill="1" applyBorder="1" applyAlignment="1" applyProtection="1">
      <alignment horizontal="center" vertical="center"/>
    </xf>
    <xf numFmtId="164" fontId="4" fillId="0" borderId="26" xfId="1" applyNumberFormat="1" applyFont="1" applyBorder="1" applyAlignment="1" applyProtection="1">
      <alignment horizontal="center" vertical="center"/>
    </xf>
    <xf numFmtId="165" fontId="30" fillId="2" borderId="10" xfId="2" applyNumberFormat="1" applyFont="1" applyFill="1" applyBorder="1" applyAlignment="1" applyProtection="1">
      <alignment horizontal="center" vertical="center"/>
    </xf>
    <xf numFmtId="0" fontId="9" fillId="37" borderId="14" xfId="0" applyFont="1" applyFill="1" applyBorder="1" applyAlignment="1">
      <alignment horizontal="center" vertical="center"/>
    </xf>
    <xf numFmtId="0" fontId="9" fillId="39" borderId="14" xfId="0" applyFont="1" applyFill="1" applyBorder="1" applyAlignment="1">
      <alignment horizontal="center" vertical="center"/>
    </xf>
    <xf numFmtId="0" fontId="9" fillId="39" borderId="6" xfId="0" applyFont="1" applyFill="1" applyBorder="1" applyAlignment="1">
      <alignment horizontal="center" vertical="center"/>
    </xf>
    <xf numFmtId="166" fontId="30" fillId="2" borderId="39" xfId="0" applyNumberFormat="1" applyFont="1" applyFill="1" applyBorder="1" applyAlignment="1">
      <alignment horizontal="center"/>
    </xf>
    <xf numFmtId="0" fontId="0" fillId="46" borderId="25" xfId="0" applyFill="1" applyBorder="1"/>
    <xf numFmtId="0" fontId="0" fillId="46" borderId="20" xfId="0" applyFill="1" applyBorder="1"/>
    <xf numFmtId="0" fontId="0" fillId="46" borderId="8" xfId="0" applyFill="1" applyBorder="1"/>
    <xf numFmtId="0" fontId="0" fillId="46" borderId="39" xfId="0" applyFill="1" applyBorder="1"/>
    <xf numFmtId="0" fontId="4" fillId="40" borderId="5" xfId="0" applyFont="1" applyFill="1" applyBorder="1" applyAlignment="1" applyProtection="1">
      <alignment horizontal="center" vertical="center"/>
      <protection locked="0"/>
    </xf>
    <xf numFmtId="0" fontId="4" fillId="4" borderId="5" xfId="0" quotePrefix="1" applyFont="1" applyFill="1" applyBorder="1" applyAlignment="1" applyProtection="1">
      <alignment horizontal="center"/>
      <protection locked="0"/>
    </xf>
    <xf numFmtId="0" fontId="4" fillId="4" borderId="6" xfId="0" applyFont="1" applyFill="1" applyBorder="1" applyAlignment="1" applyProtection="1">
      <alignment horizontal="center"/>
      <protection locked="0"/>
    </xf>
    <xf numFmtId="9" fontId="4" fillId="2" borderId="5" xfId="2" applyFont="1" applyFill="1" applyBorder="1" applyAlignment="1" applyProtection="1">
      <alignment horizontal="center"/>
    </xf>
    <xf numFmtId="9" fontId="4" fillId="2" borderId="6" xfId="2" applyFont="1" applyFill="1" applyBorder="1" applyAlignment="1" applyProtection="1">
      <alignment horizontal="center"/>
    </xf>
    <xf numFmtId="9" fontId="4" fillId="2" borderId="7" xfId="2" applyFont="1" applyFill="1" applyBorder="1" applyAlignment="1" applyProtection="1">
      <alignment horizontal="center"/>
    </xf>
    <xf numFmtId="165" fontId="30" fillId="2" borderId="7" xfId="2" applyNumberFormat="1" applyFont="1" applyFill="1" applyBorder="1" applyAlignment="1" applyProtection="1">
      <alignment horizontal="center" vertical="center"/>
    </xf>
    <xf numFmtId="9" fontId="4" fillId="2" borderId="10" xfId="2" applyFont="1" applyFill="1" applyBorder="1" applyAlignment="1" applyProtection="1">
      <alignment horizontal="center"/>
    </xf>
    <xf numFmtId="165" fontId="30" fillId="2" borderId="41" xfId="2" applyNumberFormat="1" applyFont="1" applyFill="1" applyBorder="1" applyAlignment="1" applyProtection="1">
      <alignment horizontal="center" vertical="center"/>
    </xf>
    <xf numFmtId="0" fontId="4" fillId="4" borderId="5" xfId="0" applyFont="1" applyFill="1" applyBorder="1" applyAlignment="1" applyProtection="1">
      <alignment horizontal="center"/>
      <protection locked="0"/>
    </xf>
    <xf numFmtId="168" fontId="7" fillId="37" borderId="8" xfId="0" applyNumberFormat="1" applyFont="1" applyFill="1" applyBorder="1" applyAlignment="1">
      <alignment horizontal="center" vertical="center"/>
    </xf>
    <xf numFmtId="168" fontId="7" fillId="37" borderId="0" xfId="0" applyNumberFormat="1" applyFont="1" applyFill="1" applyAlignment="1">
      <alignment horizontal="center" vertical="center"/>
    </xf>
    <xf numFmtId="168" fontId="7" fillId="37" borderId="9" xfId="0" applyNumberFormat="1" applyFont="1" applyFill="1" applyBorder="1" applyAlignment="1">
      <alignment horizontal="center" vertical="center"/>
    </xf>
    <xf numFmtId="164" fontId="9" fillId="37" borderId="9" xfId="1" applyNumberFormat="1" applyFont="1" applyFill="1" applyBorder="1" applyAlignment="1" applyProtection="1">
      <alignment horizontal="center" vertical="center"/>
    </xf>
    <xf numFmtId="164" fontId="9" fillId="37" borderId="39" xfId="1" applyNumberFormat="1" applyFont="1" applyFill="1" applyBorder="1" applyAlignment="1" applyProtection="1">
      <alignment vertical="center"/>
    </xf>
    <xf numFmtId="164" fontId="9" fillId="37" borderId="8" xfId="1" applyNumberFormat="1" applyFont="1" applyFill="1" applyBorder="1" applyAlignment="1" applyProtection="1">
      <alignment vertical="center"/>
    </xf>
    <xf numFmtId="0" fontId="38" fillId="37" borderId="8" xfId="0" applyFont="1" applyFill="1" applyBorder="1" applyAlignment="1">
      <alignment vertical="center"/>
    </xf>
    <xf numFmtId="1" fontId="4" fillId="4" borderId="5" xfId="0" applyNumberFormat="1" applyFont="1" applyFill="1" applyBorder="1" applyAlignment="1" applyProtection="1">
      <alignment horizontal="center"/>
      <protection locked="0"/>
    </xf>
    <xf numFmtId="1" fontId="4" fillId="4" borderId="25" xfId="0" applyNumberFormat="1" applyFont="1" applyFill="1" applyBorder="1" applyAlignment="1" applyProtection="1">
      <alignment horizontal="center"/>
      <protection locked="0"/>
    </xf>
    <xf numFmtId="0" fontId="4" fillId="40" borderId="20" xfId="0" applyFont="1" applyFill="1" applyBorder="1" applyAlignment="1" applyProtection="1">
      <alignment horizontal="center" vertical="center"/>
      <protection locked="0"/>
    </xf>
    <xf numFmtId="0" fontId="25" fillId="40" borderId="7" xfId="0" applyFont="1" applyFill="1" applyBorder="1" applyAlignment="1" applyProtection="1">
      <alignment horizontal="center" vertical="center" wrapText="1"/>
      <protection locked="0"/>
    </xf>
    <xf numFmtId="0" fontId="7" fillId="37" borderId="8" xfId="0" applyFont="1" applyFill="1" applyBorder="1" applyAlignment="1">
      <alignment vertical="center"/>
    </xf>
    <xf numFmtId="0" fontId="0" fillId="45" borderId="0" xfId="0" applyFill="1" applyProtection="1">
      <protection locked="0"/>
    </xf>
    <xf numFmtId="0" fontId="4" fillId="45" borderId="0" xfId="0" applyFont="1" applyFill="1" applyAlignment="1" applyProtection="1">
      <alignment horizontal="center" vertical="center"/>
      <protection locked="0"/>
    </xf>
    <xf numFmtId="0" fontId="0" fillId="36" borderId="5" xfId="0" applyFill="1" applyBorder="1" applyAlignment="1" applyProtection="1">
      <alignment horizontal="center"/>
      <protection locked="0"/>
    </xf>
    <xf numFmtId="166" fontId="30" fillId="2" borderId="26" xfId="0" applyNumberFormat="1" applyFont="1" applyFill="1" applyBorder="1" applyAlignment="1">
      <alignment horizontal="center"/>
    </xf>
    <xf numFmtId="0" fontId="25" fillId="4" borderId="37" xfId="0" applyFont="1" applyFill="1" applyBorder="1" applyAlignment="1" applyProtection="1">
      <alignment horizontal="center" vertical="center"/>
      <protection locked="0"/>
    </xf>
    <xf numFmtId="0" fontId="0" fillId="36" borderId="13" xfId="0" applyFill="1" applyBorder="1" applyProtection="1">
      <protection locked="0"/>
    </xf>
    <xf numFmtId="0" fontId="1" fillId="48" borderId="10" xfId="0" applyFont="1" applyFill="1" applyBorder="1" applyAlignment="1" applyProtection="1">
      <alignment horizontal="right" vertical="center"/>
      <protection locked="0"/>
    </xf>
    <xf numFmtId="0" fontId="4" fillId="45" borderId="0" xfId="0" applyFont="1" applyFill="1" applyAlignment="1" applyProtection="1">
      <alignment horizontal="center"/>
      <protection locked="0"/>
    </xf>
    <xf numFmtId="0" fontId="9" fillId="43" borderId="0" xfId="0" applyFont="1" applyFill="1" applyAlignment="1" applyProtection="1">
      <alignment horizontal="right" vertical="center"/>
      <protection locked="0"/>
    </xf>
    <xf numFmtId="0" fontId="25" fillId="40" borderId="12" xfId="0" applyFont="1" applyFill="1" applyBorder="1" applyAlignment="1" applyProtection="1">
      <alignment vertical="center"/>
      <protection locked="0"/>
    </xf>
    <xf numFmtId="0" fontId="35" fillId="36" borderId="6" xfId="47" applyFill="1" applyBorder="1" applyAlignment="1" applyProtection="1">
      <alignment wrapText="1"/>
      <protection locked="0"/>
    </xf>
    <xf numFmtId="0" fontId="25" fillId="40" borderId="59" xfId="0" applyFont="1" applyFill="1" applyBorder="1" applyAlignment="1" applyProtection="1">
      <alignment horizontal="center" vertical="center"/>
      <protection locked="0"/>
    </xf>
    <xf numFmtId="164" fontId="0" fillId="45" borderId="5" xfId="1" applyNumberFormat="1" applyFont="1" applyFill="1" applyBorder="1" applyAlignment="1" applyProtection="1">
      <alignment horizontal="center"/>
    </xf>
    <xf numFmtId="164" fontId="0" fillId="45" borderId="60" xfId="1" applyNumberFormat="1" applyFont="1" applyFill="1" applyBorder="1" applyAlignment="1" applyProtection="1">
      <alignment horizontal="center"/>
    </xf>
    <xf numFmtId="164" fontId="0" fillId="45" borderId="25" xfId="1" applyNumberFormat="1" applyFont="1" applyFill="1" applyBorder="1" applyAlignment="1" applyProtection="1">
      <alignment horizontal="center"/>
    </xf>
    <xf numFmtId="164" fontId="0" fillId="45" borderId="61" xfId="1" applyNumberFormat="1" applyFont="1" applyFill="1" applyBorder="1" applyAlignment="1" applyProtection="1">
      <alignment horizontal="center"/>
    </xf>
    <xf numFmtId="164" fontId="0" fillId="45" borderId="62" xfId="1" applyNumberFormat="1" applyFont="1" applyFill="1" applyBorder="1" applyAlignment="1" applyProtection="1">
      <alignment horizontal="center"/>
    </xf>
    <xf numFmtId="164" fontId="1" fillId="40" borderId="63" xfId="1" applyNumberFormat="1" applyFont="1" applyFill="1" applyBorder="1" applyAlignment="1" applyProtection="1">
      <alignment horizontal="center" vertical="center"/>
      <protection locked="0"/>
    </xf>
    <xf numFmtId="164" fontId="1" fillId="40" borderId="64" xfId="1" applyNumberFormat="1" applyFont="1" applyFill="1" applyBorder="1" applyAlignment="1" applyProtection="1">
      <alignment horizontal="center" vertical="center"/>
      <protection locked="0"/>
    </xf>
    <xf numFmtId="164" fontId="4" fillId="45" borderId="0" xfId="1" applyNumberFormat="1" applyFont="1" applyFill="1" applyBorder="1" applyAlignment="1" applyProtection="1">
      <alignment horizontal="center" vertical="center"/>
      <protection locked="0"/>
    </xf>
    <xf numFmtId="164" fontId="4" fillId="45" borderId="0" xfId="1" applyNumberFormat="1" applyFont="1" applyFill="1" applyBorder="1" applyAlignment="1" applyProtection="1">
      <alignment horizontal="center"/>
      <protection locked="0"/>
    </xf>
    <xf numFmtId="1" fontId="25" fillId="40" borderId="20" xfId="0" applyNumberFormat="1" applyFont="1" applyFill="1" applyBorder="1" applyAlignment="1" applyProtection="1">
      <alignment horizontal="center" vertical="center"/>
      <protection locked="0"/>
    </xf>
    <xf numFmtId="10" fontId="0" fillId="0" borderId="0" xfId="0" applyNumberFormat="1"/>
    <xf numFmtId="0" fontId="40" fillId="4" borderId="0" xfId="0" applyFont="1" applyFill="1" applyAlignment="1" applyProtection="1">
      <alignment horizontal="center" vertical="center"/>
      <protection locked="0"/>
    </xf>
    <xf numFmtId="0" fontId="0" fillId="43" borderId="0" xfId="0" applyFill="1" applyProtection="1">
      <protection locked="0"/>
    </xf>
    <xf numFmtId="0" fontId="25" fillId="40" borderId="12" xfId="0" applyFont="1" applyFill="1" applyBorder="1" applyAlignment="1" applyProtection="1">
      <alignment horizontal="center" vertical="center"/>
      <protection locked="0"/>
    </xf>
    <xf numFmtId="0" fontId="25" fillId="40" borderId="13" xfId="0" applyFont="1" applyFill="1" applyBorder="1" applyAlignment="1" applyProtection="1">
      <alignment horizontal="center" vertical="center"/>
      <protection locked="0"/>
    </xf>
    <xf numFmtId="0" fontId="25" fillId="45" borderId="13" xfId="0" applyFont="1" applyFill="1" applyBorder="1" applyAlignment="1">
      <alignment horizontal="center" vertical="center"/>
    </xf>
    <xf numFmtId="0" fontId="0" fillId="43" borderId="0" xfId="0" applyFill="1" applyAlignment="1">
      <alignment horizontal="center" vertical="center"/>
    </xf>
    <xf numFmtId="0" fontId="0" fillId="43" borderId="0" xfId="0" applyFill="1"/>
    <xf numFmtId="0" fontId="1" fillId="42" borderId="48" xfId="0" applyFont="1" applyFill="1" applyBorder="1" applyAlignment="1">
      <alignment horizontal="center" vertical="center"/>
    </xf>
    <xf numFmtId="0" fontId="1" fillId="42" borderId="50" xfId="0" applyFont="1" applyFill="1" applyBorder="1" applyAlignment="1">
      <alignment horizontal="center" vertical="center"/>
    </xf>
    <xf numFmtId="0" fontId="25" fillId="40" borderId="12" xfId="0" applyFont="1" applyFill="1" applyBorder="1" applyAlignment="1">
      <alignment horizontal="center" vertical="center"/>
    </xf>
    <xf numFmtId="0" fontId="25" fillId="40" borderId="14" xfId="0" applyFont="1" applyFill="1" applyBorder="1" applyAlignment="1">
      <alignment horizontal="center" vertical="center"/>
    </xf>
    <xf numFmtId="44" fontId="25" fillId="40" borderId="12" xfId="48" applyFont="1" applyFill="1" applyBorder="1" applyAlignment="1" applyProtection="1">
      <alignment horizontal="center" vertical="center"/>
    </xf>
    <xf numFmtId="44" fontId="25" fillId="40" borderId="14" xfId="48" applyFont="1" applyFill="1" applyBorder="1" applyAlignment="1" applyProtection="1">
      <alignment horizontal="center" vertical="center"/>
    </xf>
    <xf numFmtId="44" fontId="25" fillId="40" borderId="13" xfId="48" applyFont="1" applyFill="1" applyBorder="1" applyAlignment="1" applyProtection="1">
      <alignment horizontal="center" vertical="center"/>
    </xf>
    <xf numFmtId="0" fontId="25" fillId="40" borderId="13" xfId="0" applyFont="1" applyFill="1" applyBorder="1" applyAlignment="1">
      <alignment horizontal="center" vertical="center"/>
    </xf>
    <xf numFmtId="0" fontId="25" fillId="40" borderId="12" xfId="0" applyFont="1" applyFill="1" applyBorder="1" applyAlignment="1" applyProtection="1">
      <alignment horizontal="center" vertical="center"/>
      <protection locked="0"/>
    </xf>
    <xf numFmtId="0" fontId="25" fillId="40" borderId="14" xfId="0" applyFont="1" applyFill="1" applyBorder="1" applyAlignment="1" applyProtection="1">
      <alignment horizontal="center" vertical="center"/>
      <protection locked="0"/>
    </xf>
    <xf numFmtId="0" fontId="25" fillId="40" borderId="13" xfId="0" applyFont="1" applyFill="1" applyBorder="1" applyAlignment="1" applyProtection="1">
      <alignment horizontal="center" vertical="center"/>
      <protection locked="0"/>
    </xf>
    <xf numFmtId="0" fontId="7" fillId="37" borderId="12" xfId="0" applyFont="1" applyFill="1" applyBorder="1" applyAlignment="1" applyProtection="1">
      <alignment horizontal="center" vertical="center"/>
      <protection locked="0"/>
    </xf>
    <xf numFmtId="0" fontId="7" fillId="37" borderId="14" xfId="0" applyFont="1" applyFill="1" applyBorder="1" applyAlignment="1" applyProtection="1">
      <alignment horizontal="center" vertical="center"/>
      <protection locked="0"/>
    </xf>
    <xf numFmtId="0" fontId="7" fillId="37" borderId="13" xfId="0" applyFont="1" applyFill="1" applyBorder="1" applyAlignment="1" applyProtection="1">
      <alignment horizontal="center" vertical="center"/>
      <protection locked="0"/>
    </xf>
    <xf numFmtId="0" fontId="1" fillId="45" borderId="12" xfId="0" applyFont="1" applyFill="1" applyBorder="1" applyAlignment="1">
      <alignment horizontal="center" vertical="center"/>
    </xf>
    <xf numFmtId="0" fontId="1" fillId="45" borderId="14" xfId="0" applyFont="1" applyFill="1" applyBorder="1" applyAlignment="1">
      <alignment horizontal="center" vertical="center"/>
    </xf>
    <xf numFmtId="0" fontId="1" fillId="45" borderId="13" xfId="0" applyFont="1" applyFill="1" applyBorder="1" applyAlignment="1">
      <alignment horizontal="center" vertical="center"/>
    </xf>
    <xf numFmtId="0" fontId="41" fillId="45" borderId="12" xfId="0" applyFont="1" applyFill="1" applyBorder="1" applyAlignment="1">
      <alignment horizontal="center" vertical="center" wrapText="1"/>
    </xf>
    <xf numFmtId="0" fontId="41" fillId="45" borderId="14" xfId="0" applyFont="1" applyFill="1" applyBorder="1" applyAlignment="1">
      <alignment horizontal="center" vertical="center" wrapText="1"/>
    </xf>
    <xf numFmtId="0" fontId="41" fillId="45" borderId="13" xfId="0" applyFont="1" applyFill="1" applyBorder="1" applyAlignment="1">
      <alignment horizontal="center" vertical="center" wrapText="1"/>
    </xf>
    <xf numFmtId="0" fontId="25" fillId="45" borderId="12" xfId="0" applyFont="1" applyFill="1" applyBorder="1" applyAlignment="1">
      <alignment horizontal="center" vertical="center"/>
    </xf>
    <xf numFmtId="0" fontId="25" fillId="45" borderId="14" xfId="0" applyFont="1" applyFill="1" applyBorder="1" applyAlignment="1">
      <alignment horizontal="center" vertical="center"/>
    </xf>
    <xf numFmtId="0" fontId="25" fillId="45" borderId="13" xfId="0" applyFont="1" applyFill="1" applyBorder="1" applyAlignment="1">
      <alignment horizontal="center" vertical="center"/>
    </xf>
    <xf numFmtId="0" fontId="7" fillId="47" borderId="6" xfId="0" applyFont="1" applyFill="1" applyBorder="1" applyAlignment="1" applyProtection="1">
      <alignment horizontal="center"/>
      <protection locked="0"/>
    </xf>
    <xf numFmtId="0" fontId="7" fillId="47" borderId="7" xfId="0" applyFont="1" applyFill="1" applyBorder="1" applyAlignment="1" applyProtection="1">
      <alignment horizontal="center"/>
      <protection locked="0"/>
    </xf>
    <xf numFmtId="0" fontId="25" fillId="40" borderId="5" xfId="0" applyFont="1" applyFill="1" applyBorder="1" applyAlignment="1" applyProtection="1">
      <alignment horizontal="center" vertical="center" wrapText="1"/>
      <protection locked="0"/>
    </xf>
    <xf numFmtId="0" fontId="25" fillId="40" borderId="25" xfId="0" applyFont="1" applyFill="1" applyBorder="1" applyAlignment="1" applyProtection="1">
      <alignment horizontal="center" vertical="center"/>
      <protection locked="0"/>
    </xf>
    <xf numFmtId="0" fontId="37" fillId="48" borderId="8" xfId="0" applyFont="1" applyFill="1" applyBorder="1" applyAlignment="1" applyProtection="1">
      <alignment horizontal="center" vertical="center" wrapText="1"/>
      <protection locked="0"/>
    </xf>
    <xf numFmtId="0" fontId="37" fillId="48" borderId="9" xfId="0" applyFont="1" applyFill="1" applyBorder="1" applyAlignment="1" applyProtection="1">
      <alignment horizontal="center" vertical="center" wrapText="1"/>
      <protection locked="0"/>
    </xf>
    <xf numFmtId="0" fontId="37" fillId="48" borderId="8" xfId="0" applyFont="1" applyFill="1" applyBorder="1" applyAlignment="1" applyProtection="1">
      <alignment horizontal="center" vertical="center"/>
      <protection locked="0"/>
    </xf>
    <xf numFmtId="0" fontId="37" fillId="48" borderId="9" xfId="0" applyFont="1" applyFill="1" applyBorder="1" applyAlignment="1" applyProtection="1">
      <alignment horizontal="center" vertical="center"/>
      <protection locked="0"/>
    </xf>
    <xf numFmtId="164" fontId="25" fillId="4" borderId="12" xfId="1" applyNumberFormat="1" applyFont="1" applyFill="1" applyBorder="1" applyAlignment="1" applyProtection="1">
      <alignment horizontal="center"/>
      <protection locked="0"/>
    </xf>
    <xf numFmtId="164" fontId="25" fillId="4" borderId="13" xfId="1" applyNumberFormat="1" applyFont="1" applyFill="1" applyBorder="1" applyAlignment="1" applyProtection="1">
      <alignment horizontal="center"/>
      <protection locked="0"/>
    </xf>
    <xf numFmtId="0" fontId="38" fillId="47" borderId="5" xfId="0" applyFont="1" applyFill="1" applyBorder="1" applyAlignment="1" applyProtection="1">
      <alignment horizontal="center" vertical="center"/>
      <protection locked="0"/>
    </xf>
    <xf numFmtId="0" fontId="38" fillId="47" borderId="6" xfId="0" applyFont="1" applyFill="1" applyBorder="1" applyAlignment="1" applyProtection="1">
      <alignment horizontal="center" vertical="center"/>
      <protection locked="0"/>
    </xf>
    <xf numFmtId="0" fontId="38" fillId="47" borderId="7" xfId="0" applyFont="1" applyFill="1" applyBorder="1" applyAlignment="1" applyProtection="1">
      <alignment horizontal="center" vertical="center"/>
      <protection locked="0"/>
    </xf>
    <xf numFmtId="0" fontId="0" fillId="0" borderId="0" xfId="0" applyAlignment="1">
      <alignment horizontal="center" vertical="center"/>
    </xf>
    <xf numFmtId="0" fontId="2" fillId="43" borderId="5" xfId="0" applyFont="1" applyFill="1" applyBorder="1" applyAlignment="1">
      <alignment horizontal="center"/>
    </xf>
    <xf numFmtId="0" fontId="2" fillId="43" borderId="6" xfId="0" applyFont="1" applyFill="1" applyBorder="1" applyAlignment="1">
      <alignment horizontal="center"/>
    </xf>
    <xf numFmtId="0" fontId="2" fillId="43" borderId="7" xfId="0" applyFont="1" applyFill="1" applyBorder="1" applyAlignment="1">
      <alignment horizontal="center"/>
    </xf>
  </cellXfs>
  <cellStyles count="49">
    <cellStyle name="20% - Accent1" xfId="23" builtinId="30" customBuiltin="1"/>
    <cellStyle name="20% - Accent2" xfId="27" builtinId="34" customBuiltin="1"/>
    <cellStyle name="20% - Accent3" xfId="31" builtinId="38" customBuiltin="1"/>
    <cellStyle name="20% - Accent4" xfId="35" builtinId="42" customBuiltin="1"/>
    <cellStyle name="20% - Accent5" xfId="39" builtinId="46" customBuiltin="1"/>
    <cellStyle name="20% - Accent6" xfId="43" builtinId="50" customBuiltin="1"/>
    <cellStyle name="40% - Accent1" xfId="24" builtinId="31" customBuiltin="1"/>
    <cellStyle name="40% - Accent2" xfId="28" builtinId="35" customBuiltin="1"/>
    <cellStyle name="40% - Accent3" xfId="32" builtinId="39" customBuiltin="1"/>
    <cellStyle name="40% - Accent4" xfId="36" builtinId="43" customBuiltin="1"/>
    <cellStyle name="40% - Accent5" xfId="40" builtinId="47" customBuiltin="1"/>
    <cellStyle name="40% - Accent6" xfId="44" builtinId="51" customBuiltin="1"/>
    <cellStyle name="60% - Accent1" xfId="25" builtinId="32" customBuiltin="1"/>
    <cellStyle name="60% - Accent2" xfId="29" builtinId="36" customBuiltin="1"/>
    <cellStyle name="60% - Accent3" xfId="33" builtinId="40" customBuiltin="1"/>
    <cellStyle name="60% - Accent4" xfId="37" builtinId="44" customBuiltin="1"/>
    <cellStyle name="60% - Accent5" xfId="41" builtinId="48" customBuiltin="1"/>
    <cellStyle name="60% - Accent6" xfId="45" builtinId="52" customBuiltin="1"/>
    <cellStyle name="Accent1" xfId="22" builtinId="29" customBuiltin="1"/>
    <cellStyle name="Accent2" xfId="26" builtinId="33" customBuiltin="1"/>
    <cellStyle name="Accent3" xfId="30" builtinId="37" customBuiltin="1"/>
    <cellStyle name="Accent4" xfId="34" builtinId="41" customBuiltin="1"/>
    <cellStyle name="Accent5" xfId="38" builtinId="45" customBuiltin="1"/>
    <cellStyle name="Accent6" xfId="42" builtinId="49" customBuiltin="1"/>
    <cellStyle name="Bad" xfId="3" builtinId="27" customBuiltin="1"/>
    <cellStyle name="Calculation" xfId="15" builtinId="22" customBuiltin="1"/>
    <cellStyle name="Check Cell" xfId="17" builtinId="23" customBuiltin="1"/>
    <cellStyle name="Comma" xfId="1" builtinId="3"/>
    <cellStyle name="Currency" xfId="48" builtinId="4"/>
    <cellStyle name="Explanatory Text" xfId="20" builtinId="53" customBuiltin="1"/>
    <cellStyle name="Good" xfId="11" builtinId="26" customBuiltin="1"/>
    <cellStyle name="Heading 1" xfId="7" builtinId="16" customBuiltin="1"/>
    <cellStyle name="Heading 2" xfId="8" builtinId="17" customBuiltin="1"/>
    <cellStyle name="Heading 3" xfId="9" builtinId="18" customBuiltin="1"/>
    <cellStyle name="Heading 4" xfId="10" builtinId="19" customBuiltin="1"/>
    <cellStyle name="Hyperlink" xfId="47" builtinId="8"/>
    <cellStyle name="Input" xfId="13" builtinId="20" customBuiltin="1"/>
    <cellStyle name="Linked Cell" xfId="16" builtinId="24" customBuiltin="1"/>
    <cellStyle name="Neutral" xfId="12" builtinId="28" customBuiltin="1"/>
    <cellStyle name="Normal" xfId="0" builtinId="0"/>
    <cellStyle name="Normal 2" xfId="46" xr:uid="{95C30E96-34EC-41B7-BC59-6FAC77E3DB2F}"/>
    <cellStyle name="Normal 3" xfId="4" xr:uid="{668A8CFA-E494-46C3-9FFE-B70270FB06C8}"/>
    <cellStyle name="Note" xfId="19" builtinId="10" customBuiltin="1"/>
    <cellStyle name="Output" xfId="14" builtinId="21" customBuiltin="1"/>
    <cellStyle name="Percent" xfId="2" builtinId="5"/>
    <cellStyle name="Percent 2" xfId="5" xr:uid="{D80D38A6-8AFC-42C3-96BD-E67AEB2CE4C4}"/>
    <cellStyle name="Title" xfId="6" builtinId="15" customBuiltin="1"/>
    <cellStyle name="Total" xfId="21" builtinId="25" customBuiltin="1"/>
    <cellStyle name="Warning Text" xfId="18" builtinId="11" customBuiltin="1"/>
  </cellStyles>
  <dxfs count="69">
    <dxf>
      <fill>
        <patternFill>
          <bgColor theme="2"/>
        </patternFill>
      </fill>
    </dxf>
    <dxf>
      <fill>
        <patternFill>
          <bgColor theme="2"/>
        </patternFill>
      </fill>
    </dxf>
    <dxf>
      <fill>
        <patternFill>
          <bgColor theme="2"/>
        </patternFill>
      </fill>
    </dxf>
    <dxf>
      <fill>
        <patternFill>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ill>
        <patternFill>
          <bgColor rgb="FFD9E1F2"/>
        </patternFill>
      </fill>
    </dxf>
    <dxf>
      <font>
        <color rgb="FF002060"/>
      </font>
      <fill>
        <patternFill>
          <bgColor theme="8" tint="0.79998168889431442"/>
        </patternFill>
      </fill>
    </dxf>
    <dxf>
      <font>
        <color rgb="FF9C6500"/>
      </font>
      <fill>
        <patternFill>
          <bgColor rgb="FFFFEB9C"/>
        </patternFill>
      </fill>
    </dxf>
    <dxf>
      <font>
        <color rgb="FFC00000"/>
      </font>
      <fill>
        <patternFill>
          <bgColor rgb="FFFFC7C7"/>
        </patternFill>
      </fill>
    </dxf>
    <dxf>
      <font>
        <b/>
        <i val="0"/>
        <color theme="9" tint="-0.499984740745262"/>
      </font>
      <fill>
        <patternFill>
          <bgColor theme="9"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2" tint="-0.499984740745262"/>
        </patternFill>
      </fill>
    </dxf>
    <dxf>
      <fill>
        <patternFill>
          <bgColor theme="2" tint="-0.499984740745262"/>
        </patternFill>
      </fill>
    </dxf>
    <dxf>
      <fill>
        <patternFill>
          <bgColor rgb="FFC6EFCE"/>
        </patternFill>
      </fill>
    </dxf>
    <dxf>
      <fill>
        <patternFill>
          <bgColor rgb="FFFFC7CE"/>
        </patternFill>
      </fill>
    </dxf>
    <dxf>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D9E1F2"/>
        </patternFill>
      </fill>
    </dxf>
    <dxf>
      <fill>
        <patternFill>
          <bgColor rgb="FFC6EFCE"/>
        </patternFill>
      </fill>
    </dxf>
    <dxf>
      <fill>
        <patternFill>
          <bgColor rgb="FFFFC7CE"/>
        </patternFill>
      </fill>
    </dxf>
    <dxf>
      <fill>
        <patternFill>
          <bgColor rgb="FFD9E1F2"/>
        </patternFill>
      </fill>
    </dxf>
    <dxf>
      <fill>
        <patternFill>
          <bgColor rgb="FFD9E1F2"/>
        </patternFill>
      </fill>
    </dxf>
    <dxf>
      <fill>
        <patternFill>
          <bgColor rgb="FFFFC7CE"/>
        </patternFill>
      </fill>
    </dxf>
    <dxf>
      <fill>
        <patternFill>
          <bgColor rgb="FFD9E1F2"/>
        </patternFill>
      </fill>
    </dxf>
    <dxf>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2060"/>
      </font>
      <fill>
        <patternFill>
          <bgColor theme="8" tint="0.59996337778862885"/>
        </patternFill>
      </fill>
    </dxf>
    <dxf>
      <font>
        <color theme="9" tint="-0.499984740745262"/>
      </font>
      <fill>
        <patternFill>
          <bgColor theme="9" tint="0.59996337778862885"/>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s>
  <tableStyles count="0" defaultTableStyle="TableStyleMedium2" defaultPivotStyle="PivotStyleLight16"/>
  <colors>
    <mruColors>
      <color rgb="FFD9E1F2"/>
      <color rgb="FFCCE5FF"/>
      <color rgb="FFFFC7CE"/>
      <color rgb="FFC6EFCE"/>
      <color rgb="FFFF5050"/>
      <color rgb="FF578F7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5.xml"/><Relationship Id="rId26" Type="http://schemas.openxmlformats.org/officeDocument/2006/relationships/externalLink" Target="externalLinks/externalLink13.xml"/><Relationship Id="rId39" Type="http://schemas.openxmlformats.org/officeDocument/2006/relationships/calcChain" Target="calcChain.xml"/><Relationship Id="rId21" Type="http://schemas.openxmlformats.org/officeDocument/2006/relationships/externalLink" Target="externalLinks/externalLink8.xml"/><Relationship Id="rId34" Type="http://schemas.openxmlformats.org/officeDocument/2006/relationships/externalLink" Target="externalLinks/externalLink21.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externalLink" Target="externalLinks/externalLink7.xml"/><Relationship Id="rId29" Type="http://schemas.openxmlformats.org/officeDocument/2006/relationships/externalLink" Target="externalLinks/externalLink16.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1.xml"/><Relationship Id="rId32" Type="http://schemas.openxmlformats.org/officeDocument/2006/relationships/externalLink" Target="externalLinks/externalLink19.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externalLink" Target="externalLinks/externalLink10.xml"/><Relationship Id="rId28" Type="http://schemas.openxmlformats.org/officeDocument/2006/relationships/externalLink" Target="externalLinks/externalLink15.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externalLink" Target="externalLinks/externalLink6.xml"/><Relationship Id="rId31" Type="http://schemas.openxmlformats.org/officeDocument/2006/relationships/externalLink" Target="externalLinks/externalLink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externalLink" Target="externalLinks/externalLink9.xml"/><Relationship Id="rId27" Type="http://schemas.openxmlformats.org/officeDocument/2006/relationships/externalLink" Target="externalLinks/externalLink14.xml"/><Relationship Id="rId30" Type="http://schemas.openxmlformats.org/officeDocument/2006/relationships/externalLink" Target="externalLinks/externalLink17.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externalLink" Target="externalLinks/externalLink12.xml"/><Relationship Id="rId33" Type="http://schemas.openxmlformats.org/officeDocument/2006/relationships/externalLink" Target="externalLinks/externalLink20.xml"/><Relationship Id="rId38"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3</xdr:row>
          <xdr:rowOff>28575</xdr:rowOff>
        </xdr:from>
        <xdr:to>
          <xdr:col>1</xdr:col>
          <xdr:colOff>647700</xdr:colOff>
          <xdr:row>4</xdr:row>
          <xdr:rowOff>295275</xdr:rowOff>
        </xdr:to>
        <xdr:sp macro="" textlink="">
          <xdr:nvSpPr>
            <xdr:cNvPr id="80898" name="Button 2" hidden="1">
              <a:extLst>
                <a:ext uri="{63B3BB69-23CF-44E3-9099-C40C66FF867C}">
                  <a14:compatExt spid="_x0000_s80898"/>
                </a:ext>
                <a:ext uri="{FF2B5EF4-FFF2-40B4-BE49-F238E27FC236}">
                  <a16:creationId xmlns:a16="http://schemas.microsoft.com/office/drawing/2014/main" id="{00000000-0008-0000-0200-000002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Update WIP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5</xdr:row>
          <xdr:rowOff>0</xdr:rowOff>
        </xdr:from>
        <xdr:to>
          <xdr:col>1</xdr:col>
          <xdr:colOff>647700</xdr:colOff>
          <xdr:row>6</xdr:row>
          <xdr:rowOff>314325</xdr:rowOff>
        </xdr:to>
        <xdr:sp macro="" textlink="">
          <xdr:nvSpPr>
            <xdr:cNvPr id="80900" name="Button 4" hidden="1">
              <a:extLst>
                <a:ext uri="{63B3BB69-23CF-44E3-9099-C40C66FF867C}">
                  <a14:compatExt spid="_x0000_s80900"/>
                </a:ext>
                <a:ext uri="{FF2B5EF4-FFF2-40B4-BE49-F238E27FC236}">
                  <a16:creationId xmlns:a16="http://schemas.microsoft.com/office/drawing/2014/main" id="{00000000-0008-0000-0200-0000043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Calibri"/>
                  <a:ea typeface="Calibri"/>
                  <a:cs typeface="Calibri"/>
                </a:rPr>
                <a:t>Auto Update</a:t>
              </a:r>
            </a:p>
            <a:p>
              <a:pPr algn="ctr" rtl="0">
                <a:defRPr sz="1000"/>
              </a:pPr>
              <a:r>
                <a:rPr lang="en-US" sz="900" b="1" i="0" u="none" strike="noStrike" baseline="0">
                  <a:solidFill>
                    <a:srgbClr val="000000"/>
                  </a:solidFill>
                  <a:latin typeface="Calibri"/>
                  <a:ea typeface="Calibri"/>
                  <a:cs typeface="Calibri"/>
                </a:rPr>
                <a:t>(1.5 Mins)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647700</xdr:colOff>
          <xdr:row>5</xdr:row>
          <xdr:rowOff>0</xdr:rowOff>
        </xdr:from>
        <xdr:to>
          <xdr:col>1</xdr:col>
          <xdr:colOff>1247775</xdr:colOff>
          <xdr:row>6</xdr:row>
          <xdr:rowOff>314325</xdr:rowOff>
        </xdr:to>
        <xdr:sp macro="" textlink="">
          <xdr:nvSpPr>
            <xdr:cNvPr id="80901" name="Button 5" hidden="1">
              <a:extLst>
                <a:ext uri="{63B3BB69-23CF-44E3-9099-C40C66FF867C}">
                  <a14:compatExt spid="_x0000_s80901"/>
                </a:ext>
                <a:ext uri="{FF2B5EF4-FFF2-40B4-BE49-F238E27FC236}">
                  <a16:creationId xmlns:a16="http://schemas.microsoft.com/office/drawing/2014/main" id="{00000000-0008-0000-0200-000005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Stop Auto 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647700</xdr:colOff>
          <xdr:row>3</xdr:row>
          <xdr:rowOff>28575</xdr:rowOff>
        </xdr:from>
        <xdr:to>
          <xdr:col>1</xdr:col>
          <xdr:colOff>1247775</xdr:colOff>
          <xdr:row>4</xdr:row>
          <xdr:rowOff>295275</xdr:rowOff>
        </xdr:to>
        <xdr:sp macro="" textlink="">
          <xdr:nvSpPr>
            <xdr:cNvPr id="80902" name="Button 6" hidden="1">
              <a:extLst>
                <a:ext uri="{63B3BB69-23CF-44E3-9099-C40C66FF867C}">
                  <a14:compatExt spid="_x0000_s80902"/>
                </a:ext>
                <a:ext uri="{FF2B5EF4-FFF2-40B4-BE49-F238E27FC236}">
                  <a16:creationId xmlns:a16="http://schemas.microsoft.com/office/drawing/2014/main" id="{00000000-0008-0000-0200-000006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Update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781050</xdr:colOff>
          <xdr:row>15</xdr:row>
          <xdr:rowOff>19050</xdr:rowOff>
        </xdr:from>
        <xdr:to>
          <xdr:col>2</xdr:col>
          <xdr:colOff>123825</xdr:colOff>
          <xdr:row>16</xdr:row>
          <xdr:rowOff>0</xdr:rowOff>
        </xdr:to>
        <xdr:sp macro="" textlink="">
          <xdr:nvSpPr>
            <xdr:cNvPr id="80903" name="Button 7" hidden="1">
              <a:extLst>
                <a:ext uri="{63B3BB69-23CF-44E3-9099-C40C66FF867C}">
                  <a14:compatExt spid="_x0000_s80903"/>
                </a:ext>
                <a:ext uri="{FF2B5EF4-FFF2-40B4-BE49-F238E27FC236}">
                  <a16:creationId xmlns:a16="http://schemas.microsoft.com/office/drawing/2014/main" id="{00000000-0008-0000-0200-000007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19050</xdr:rowOff>
        </xdr:from>
        <xdr:to>
          <xdr:col>1</xdr:col>
          <xdr:colOff>742950</xdr:colOff>
          <xdr:row>16</xdr:row>
          <xdr:rowOff>0</xdr:rowOff>
        </xdr:to>
        <xdr:sp macro="" textlink="">
          <xdr:nvSpPr>
            <xdr:cNvPr id="80907" name="Button 11" hidden="1">
              <a:extLst>
                <a:ext uri="{63B3BB69-23CF-44E3-9099-C40C66FF867C}">
                  <a14:compatExt spid="_x0000_s80907"/>
                </a:ext>
                <a:ext uri="{FF2B5EF4-FFF2-40B4-BE49-F238E27FC236}">
                  <a16:creationId xmlns:a16="http://schemas.microsoft.com/office/drawing/2014/main" id="{00000000-0008-0000-0200-00000B3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ea typeface="Calibri"/>
                  <a:cs typeface="Calibri"/>
                </a:rPr>
                <a:t>Buffer Lims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1</xdr:row>
          <xdr:rowOff>9525</xdr:rowOff>
        </xdr:from>
        <xdr:to>
          <xdr:col>6</xdr:col>
          <xdr:colOff>476250</xdr:colOff>
          <xdr:row>1</xdr:row>
          <xdr:rowOff>228600</xdr:rowOff>
        </xdr:to>
        <xdr:sp macro="" textlink="">
          <xdr:nvSpPr>
            <xdr:cNvPr id="80911" name="Button 15" hidden="1">
              <a:extLst>
                <a:ext uri="{63B3BB69-23CF-44E3-9099-C40C66FF867C}">
                  <a14:compatExt spid="_x0000_s80911"/>
                </a:ext>
                <a:ext uri="{FF2B5EF4-FFF2-40B4-BE49-F238E27FC236}">
                  <a16:creationId xmlns:a16="http://schemas.microsoft.com/office/drawing/2014/main" id="{00000000-0008-0000-0200-00000F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Pick Console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0</xdr:rowOff>
        </xdr:from>
        <xdr:to>
          <xdr:col>1</xdr:col>
          <xdr:colOff>752475</xdr:colOff>
          <xdr:row>15</xdr:row>
          <xdr:rowOff>0</xdr:rowOff>
        </xdr:to>
        <xdr:sp macro="" textlink="">
          <xdr:nvSpPr>
            <xdr:cNvPr id="80914" name="Button 18" hidden="1">
              <a:extLst>
                <a:ext uri="{63B3BB69-23CF-44E3-9099-C40C66FF867C}">
                  <a14:compatExt spid="_x0000_s80914"/>
                </a:ext>
                <a:ext uri="{FF2B5EF4-FFF2-40B4-BE49-F238E27FC236}">
                  <a16:creationId xmlns:a16="http://schemas.microsoft.com/office/drawing/2014/main" id="{00000000-0008-0000-0200-0000123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SWITCH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ruongbe/Desktop/FLOW/Flow%20Files/Flow%20File%205.4.202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nt\dept-na\SMF1\Public\Inbound\Inbound%20OneNote\Week%201%20Launch%20PLan\Copy%20of%2005.01.19-SMF1%20SOS%20EOS%20Hourly%20v10.32-a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am-rno-dc01\Data\WINNT\Profiles\bhoemann\Local%20Settings\Temporary%20Internet%20Files\OLK17\Free%20Replacements\Free_Replace_JP.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ant\dept-na\dept\finance\Ops_Finance\FC_Finance\Labor_Planning\Labor_Plans\IND1_Labor_Model_3.0.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phl1-nfs\dc\public\metrics\MetricsReports\DailyReports.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sc-nfs-1\metrics\erp-metrics\reports\dc_metrics\intl_productivity.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mygar/Desktop/9.3.2020%20SMF1%20SOS%20Hourly%20JA-OB.xlsb"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F:\Data\Trans%20Review\aUG%20Trans%20Review.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am-rno-fp01\Data\Manager%20Daily%20Update\DPR\DPR%20&amp;%20Calm%20Report\WTD%20CALM.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phl1-nfs\dc\public\metrics\MetricsReports\WeeklySummaries.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ant\dept-na\Dept\Finance\Ops_Finance\FC_Finance\Process_Path_Reporting\2005\OP3\PHL4_Process_Paths_2005.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ant\dept-na\dept\Finance\Ops_Finance\FC_Finance\Process_Path_Reporting\2005\OP3\Extra%20File%20Versions\SDF_Process_Paths_2005-stefan.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ant\dept-na\Dept\WINNT\Profiles\mlanfear\Desktop\CircuitInfo2.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ant\dept-na\Documents%20and%20Settings\bdant\Local%20Settings\Temporary%20Internet%20Files\OLK17\WeeklySummaries-today9-2.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phl1-nfs\dc\public\metrics\MetricsReports\WeeklySummariesrme.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ant\dept-na\Dept\Documents%20and%20Settings\larson\Local%20Settings\Temporary%20Internet%20Files\OLK13\Monthly_Infrastructure_01.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toaster3\logistics\transportation\Finance\trans%20review\TransReview_Dec01.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ant\dept-na\Users\escalae\Desktop\SOS\SOS_EOS%20Template.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ant\dept-na\Users\jasonhow\Intraday_IB_Report.xlsm"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ant\dept-na\Users\jasonhow\SDF_IB_Prod_Test.xlsm"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ant\dept-na\Documents%20and%20Settings\edumont\Local%20Settings\Temporary%20Internet%20Files\OLK260\JP%20Productivity%20by%20Path%202004.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irect Plan"/>
      <sheetName val="PDP Plan"/>
      <sheetName val="PSP Plan"/>
      <sheetName val="Flow"/>
      <sheetName val="Vol planning"/>
      <sheetName val="Charge_BL_TCAP trend"/>
      <sheetName val="BL trend data"/>
      <sheetName val="Cognex costbenefits"/>
      <sheetName val="UIT.VETs.VTOs"/>
      <sheetName val="Handoff"/>
      <sheetName val="Flow SD"/>
      <sheetName val="12.15 tracker"/>
      <sheetName val="Shift Volume"/>
      <sheetName val="Wash - TOT Feedback"/>
      <sheetName val="CPT Miss Tracker"/>
      <sheetName val="Indirect Staffing"/>
      <sheetName val="Bottoms Up Planner"/>
      <sheetName val="Pause Schedule"/>
      <sheetName val="Break WI plans"/>
      <sheetName val="Break HC Balance"/>
      <sheetName val="Delphi"/>
      <sheetName val="Performance to OP"/>
      <sheetName val="B3 Target"/>
      <sheetName val="BL Estimator"/>
      <sheetName val=" links"/>
      <sheetName val="FPP trend"/>
      <sheetName val="Risk"/>
      <sheetName val="Performance"/>
      <sheetName val="Background"/>
      <sheetName val="Notes"/>
      <sheetName val="SMooF1 Dashboard"/>
      <sheetName val="Hand-Off"/>
      <sheetName val="Load Balancer"/>
      <sheetName val="PDP (MET 11X5)"/>
      <sheetName val="HC by Shift"/>
      <sheetName val="EOS Bridge"/>
      <sheetName val="B3 Historical - NS"/>
      <sheetName val="Rodeo"/>
      <sheetName val="Print"/>
      <sheetName val="Break schedule"/>
      <sheetName val="New Break"/>
      <sheetName val="SOS"/>
      <sheetName val="ALPS CE"/>
      <sheetName val="ALPS Trans"/>
      <sheetName val="Roster"/>
      <sheetName val="PPRLink"/>
      <sheetName val="PPRLink_Backup"/>
      <sheetName val="PPRFH19"/>
      <sheetName val="PPRFH20"/>
      <sheetName val="PPRFH21"/>
      <sheetName val="PPRFH22"/>
      <sheetName val="PPRFH23"/>
      <sheetName val="PPRFH00"/>
      <sheetName val="PPRFH01"/>
      <sheetName val="PPRFH02"/>
      <sheetName val="PPRFH03"/>
      <sheetName val="PPRFH04"/>
      <sheetName val="PPRFH05"/>
      <sheetName val="PPRFH06"/>
      <sheetName val="PPRFS20"/>
      <sheetName val="PPRFS21"/>
      <sheetName val="PPRFS22"/>
      <sheetName val="PPRFS23"/>
      <sheetName val="PPRFS00"/>
      <sheetName val="PPRFS01"/>
      <sheetName val="PPRFS02"/>
      <sheetName val="PPRFS03"/>
      <sheetName val="PPRFS04"/>
      <sheetName val="PPRFS05"/>
      <sheetName val="PPRFS06"/>
      <sheetName val="LoadBalancer ShipRate"/>
      <sheetName val="Flow File 5.4.202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18">
          <cell r="B18">
            <v>0</v>
          </cell>
        </row>
      </sheetData>
      <sheetData sheetId="17"/>
      <sheetData sheetId="18"/>
      <sheetData sheetId="19"/>
      <sheetData sheetId="20"/>
      <sheetData sheetId="21"/>
      <sheetData sheetId="22">
        <row r="31">
          <cell r="B31">
            <v>58.494223428141851</v>
          </cell>
        </row>
      </sheetData>
      <sheetData sheetId="23"/>
      <sheetData sheetId="24"/>
      <sheetData sheetId="25"/>
      <sheetData sheetId="26"/>
      <sheetData sheetId="27">
        <row r="18">
          <cell r="D18" t="str">
            <v/>
          </cell>
        </row>
      </sheetData>
      <sheetData sheetId="28">
        <row r="30">
          <cell r="F30">
            <v>0</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row r="20">
          <cell r="I20" t="str">
            <v>AFE</v>
          </cell>
        </row>
        <row r="21">
          <cell r="I21">
            <v>0</v>
          </cell>
        </row>
        <row r="22">
          <cell r="D22"/>
          <cell r="I22">
            <v>0</v>
          </cell>
        </row>
        <row r="23">
          <cell r="D23"/>
          <cell r="I23">
            <v>0</v>
          </cell>
        </row>
        <row r="24">
          <cell r="D24"/>
          <cell r="I24"/>
        </row>
        <row r="25">
          <cell r="I25"/>
        </row>
        <row r="26">
          <cell r="I26"/>
        </row>
        <row r="27">
          <cell r="I27"/>
        </row>
        <row r="32">
          <cell r="G32"/>
        </row>
        <row r="42">
          <cell r="H42"/>
        </row>
        <row r="43">
          <cell r="H43"/>
        </row>
        <row r="44">
          <cell r="H44"/>
        </row>
        <row r="45">
          <cell r="H45"/>
        </row>
        <row r="46">
          <cell r="H46"/>
        </row>
        <row r="47">
          <cell r="H47"/>
        </row>
        <row r="48">
          <cell r="H48"/>
        </row>
      </sheetData>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S"/>
      <sheetName val="New Hourly"/>
      <sheetName val="Hourly"/>
      <sheetName val="EOS"/>
      <sheetName val="URL"/>
      <sheetName val="Roster"/>
      <sheetName val="AC"/>
      <sheetName val="FPP"/>
      <sheetName val="LP"/>
      <sheetName val="PPR"/>
      <sheetName val="1"/>
      <sheetName val="2"/>
      <sheetName val="3"/>
      <sheetName val="4"/>
      <sheetName val="5"/>
      <sheetName val="6"/>
      <sheetName val="7"/>
      <sheetName val="8"/>
      <sheetName val="9"/>
      <sheetName val="10"/>
      <sheetName val="11"/>
      <sheetName val="1R"/>
      <sheetName val="2R"/>
      <sheetName val="3R"/>
      <sheetName val="4R"/>
      <sheetName val="5R"/>
      <sheetName val="6R"/>
      <sheetName val="7R"/>
      <sheetName val="8R"/>
      <sheetName val="9R"/>
      <sheetName val="10R"/>
      <sheetName val="11R"/>
      <sheetName val="12R"/>
      <sheetName val="12"/>
      <sheetName val="ShiftCodes"/>
      <sheetName val="R"/>
      <sheetName val="ALPSIB"/>
      <sheetName val="ALPSt"/>
      <sheetName val="ALPSv"/>
      <sheetName val="ALPSOB"/>
      <sheetName val="Copy of 05.01"/>
    </sheetNames>
    <sheetDataSet>
      <sheetData sheetId="0">
        <row r="20">
          <cell r="D20"/>
        </row>
        <row r="21">
          <cell r="D21">
            <v>248942</v>
          </cell>
        </row>
        <row r="22">
          <cell r="D22"/>
          <cell r="I22">
            <v>1</v>
          </cell>
        </row>
        <row r="23">
          <cell r="I23"/>
        </row>
        <row r="24">
          <cell r="I24"/>
        </row>
        <row r="25">
          <cell r="I25"/>
        </row>
        <row r="26">
          <cell r="I26">
            <v>1</v>
          </cell>
        </row>
        <row r="29">
          <cell r="G29">
            <v>0</v>
          </cell>
          <cell r="H29"/>
        </row>
        <row r="30">
          <cell r="H30"/>
        </row>
        <row r="31">
          <cell r="H31"/>
        </row>
        <row r="32">
          <cell r="H32"/>
        </row>
        <row r="33">
          <cell r="H33"/>
          <cell r="M33">
            <v>116</v>
          </cell>
        </row>
        <row r="34">
          <cell r="H34"/>
        </row>
        <row r="35">
          <cell r="H35"/>
        </row>
        <row r="36">
          <cell r="H36"/>
        </row>
        <row r="37">
          <cell r="G37">
            <v>0</v>
          </cell>
          <cell r="H37"/>
        </row>
        <row r="38">
          <cell r="G38">
            <v>2</v>
          </cell>
          <cell r="H38"/>
        </row>
        <row r="39">
          <cell r="G39">
            <v>0</v>
          </cell>
          <cell r="H39"/>
        </row>
        <row r="40">
          <cell r="G40">
            <v>0</v>
          </cell>
          <cell r="H40"/>
        </row>
        <row r="41">
          <cell r="G41">
            <v>0</v>
          </cell>
          <cell r="H41"/>
        </row>
        <row r="42">
          <cell r="G42">
            <v>3</v>
          </cell>
          <cell r="H42"/>
        </row>
        <row r="43">
          <cell r="G43">
            <v>1</v>
          </cell>
          <cell r="H43"/>
        </row>
        <row r="44">
          <cell r="H44"/>
        </row>
        <row r="45">
          <cell r="H45"/>
        </row>
        <row r="46">
          <cell r="G46">
            <v>4</v>
          </cell>
          <cell r="H46"/>
        </row>
        <row r="47">
          <cell r="G47">
            <v>4</v>
          </cell>
          <cell r="H47"/>
        </row>
        <row r="48">
          <cell r="G48">
            <v>11</v>
          </cell>
          <cell r="H48"/>
        </row>
      </sheetData>
      <sheetData sheetId="1"/>
      <sheetData sheetId="2"/>
      <sheetData sheetId="3">
        <row r="4">
          <cell r="R4"/>
          <cell r="S4"/>
          <cell r="T4"/>
        </row>
        <row r="5">
          <cell r="B5"/>
          <cell r="F5"/>
          <cell r="R5"/>
          <cell r="S5"/>
          <cell r="T5"/>
        </row>
        <row r="6">
          <cell r="A6"/>
          <cell r="R6"/>
          <cell r="S6"/>
          <cell r="T6"/>
        </row>
        <row r="7">
          <cell r="A7"/>
          <cell r="R7"/>
          <cell r="S7"/>
          <cell r="T7"/>
        </row>
        <row r="8">
          <cell r="R8"/>
          <cell r="S8"/>
          <cell r="T8"/>
        </row>
        <row r="9">
          <cell r="E9"/>
          <cell r="I9"/>
          <cell r="K9"/>
          <cell r="M9"/>
          <cell r="R9"/>
          <cell r="S9"/>
          <cell r="T9"/>
        </row>
        <row r="10">
          <cell r="B10"/>
          <cell r="E10"/>
          <cell r="I10"/>
          <cell r="K10"/>
          <cell r="M10"/>
          <cell r="R10"/>
          <cell r="S10"/>
          <cell r="T10"/>
        </row>
        <row r="11">
          <cell r="B11"/>
          <cell r="I11"/>
          <cell r="K11"/>
          <cell r="M11"/>
          <cell r="R11"/>
          <cell r="S11"/>
          <cell r="T11"/>
        </row>
        <row r="12">
          <cell r="B12"/>
          <cell r="E12"/>
          <cell r="G12"/>
          <cell r="I12"/>
          <cell r="K12"/>
          <cell r="M12"/>
          <cell r="R12"/>
          <cell r="S12"/>
          <cell r="T12"/>
        </row>
        <row r="13">
          <cell r="R13"/>
          <cell r="S13"/>
          <cell r="T13"/>
        </row>
        <row r="14">
          <cell r="R14"/>
          <cell r="S14"/>
          <cell r="T14"/>
        </row>
        <row r="15">
          <cell r="R15"/>
          <cell r="S15"/>
          <cell r="T15"/>
        </row>
        <row r="17">
          <cell r="M17">
            <v>0</v>
          </cell>
        </row>
        <row r="20">
          <cell r="Q20"/>
        </row>
        <row r="21">
          <cell r="G21"/>
          <cell r="H21"/>
          <cell r="I21"/>
          <cell r="J21"/>
          <cell r="K21"/>
          <cell r="L21"/>
          <cell r="M21"/>
          <cell r="Q21"/>
        </row>
        <row r="22">
          <cell r="G22"/>
          <cell r="H22"/>
          <cell r="I22"/>
          <cell r="J22"/>
          <cell r="K22"/>
          <cell r="L22"/>
          <cell r="M22"/>
          <cell r="Q22"/>
        </row>
        <row r="23">
          <cell r="G23"/>
          <cell r="H23"/>
          <cell r="I23"/>
          <cell r="J23"/>
          <cell r="K23"/>
          <cell r="L23"/>
          <cell r="M23"/>
          <cell r="Q23"/>
        </row>
        <row r="24">
          <cell r="G24"/>
          <cell r="H24"/>
          <cell r="I24"/>
          <cell r="J24"/>
          <cell r="K24"/>
          <cell r="L24"/>
          <cell r="M24"/>
          <cell r="Q24"/>
        </row>
        <row r="25">
          <cell r="G25"/>
          <cell r="H25"/>
          <cell r="I25"/>
          <cell r="J25"/>
          <cell r="K25"/>
          <cell r="L25"/>
          <cell r="M25"/>
          <cell r="Q25"/>
        </row>
        <row r="27">
          <cell r="B27"/>
          <cell r="E27"/>
        </row>
        <row r="28">
          <cell r="B28"/>
          <cell r="E28"/>
          <cell r="M28"/>
        </row>
        <row r="29">
          <cell r="B29"/>
          <cell r="I29"/>
          <cell r="M29"/>
        </row>
        <row r="30">
          <cell r="B30"/>
          <cell r="I30"/>
          <cell r="M30"/>
        </row>
        <row r="31">
          <cell r="B31"/>
          <cell r="E31"/>
          <cell r="I31"/>
        </row>
        <row r="39">
          <cell r="K39"/>
        </row>
        <row r="48">
          <cell r="K48"/>
        </row>
        <row r="55">
          <cell r="K55"/>
        </row>
        <row r="62">
          <cell r="K62"/>
        </row>
        <row r="68">
          <cell r="K68"/>
        </row>
        <row r="73">
          <cell r="K73"/>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raphs"/>
      <sheetName val="Data"/>
      <sheetName val="2002_Free_Rep_Agg"/>
      <sheetName val="2002_Free_Rep_Essbase"/>
      <sheetName val="2002 Outbound"/>
      <sheetName val="2001_Free_Rep_Agg"/>
      <sheetName val="2001_Free_Rep_Essbase"/>
      <sheetName val="2001 Outbound"/>
      <sheetName val="2002 Plan"/>
      <sheetName val="Weeks"/>
    </sheetNames>
    <sheetDataSet>
      <sheetData sheetId="0" refreshError="1"/>
      <sheetData sheetId="1" refreshError="1"/>
      <sheetData sheetId="2" refreshError="1"/>
      <sheetData sheetId="3" refreshError="1">
        <row r="1">
          <cell r="C1" t="str">
            <v>All Owners</v>
          </cell>
          <cell r="D1" t="str">
            <v>FY2002</v>
          </cell>
        </row>
        <row r="2">
          <cell r="D2" t="str">
            <v>All Owners</v>
          </cell>
        </row>
        <row r="3">
          <cell r="D3" t="str">
            <v>Amazon.co.jp</v>
          </cell>
        </row>
        <row r="4">
          <cell r="D4" t="str">
            <v>Product</v>
          </cell>
        </row>
        <row r="5">
          <cell r="D5" t="str">
            <v>JP DCs</v>
          </cell>
        </row>
        <row r="6">
          <cell r="E6" t="str">
            <v>Free Rep Units</v>
          </cell>
          <cell r="F6" t="str">
            <v>Free Rep Units</v>
          </cell>
          <cell r="G6" t="str">
            <v>Free Rep Units</v>
          </cell>
          <cell r="H6" t="str">
            <v>Free Rep Units</v>
          </cell>
          <cell r="I6" t="str">
            <v>Free Rep Units</v>
          </cell>
          <cell r="J6" t="str">
            <v>Free Rep Units</v>
          </cell>
          <cell r="K6" t="str">
            <v>Free Rep Units</v>
          </cell>
          <cell r="L6" t="str">
            <v>Free Rep Units</v>
          </cell>
          <cell r="M6" t="str">
            <v>Free Rep Units</v>
          </cell>
          <cell r="N6" t="str">
            <v>Free Rep Units</v>
          </cell>
          <cell r="O6" t="str">
            <v>Free Rep Units</v>
          </cell>
          <cell r="P6" t="str">
            <v>Free Rep Units</v>
          </cell>
          <cell r="Q6" t="str">
            <v>Free Rep Units</v>
          </cell>
          <cell r="R6" t="str">
            <v>Free Rep Units</v>
          </cell>
          <cell r="S6" t="str">
            <v>Free Rep Cost (Local Currency)</v>
          </cell>
          <cell r="T6" t="str">
            <v>Free Rep Cost (Local Currency)</v>
          </cell>
          <cell r="U6" t="str">
            <v>Free Rep Cost (Local Currency)</v>
          </cell>
          <cell r="V6" t="str">
            <v>Free Rep Cost (Local Currency)</v>
          </cell>
          <cell r="W6" t="str">
            <v>Free Rep Cost (Local Currency)</v>
          </cell>
          <cell r="X6" t="str">
            <v>Free Rep Cost (Local Currency)</v>
          </cell>
          <cell r="Y6" t="str">
            <v>Free Rep Cost (Local Currency)</v>
          </cell>
          <cell r="Z6" t="str">
            <v>Free Rep Cost (Local Currency)</v>
          </cell>
          <cell r="AA6" t="str">
            <v>Free Rep Cost (Local Currency)</v>
          </cell>
          <cell r="AB6" t="str">
            <v>Free Rep Cost (Local Currency)</v>
          </cell>
          <cell r="AC6" t="str">
            <v>Free Rep Cost (Local Currency)</v>
          </cell>
          <cell r="AD6" t="str">
            <v>Free Rep Cost (Local Currency)</v>
          </cell>
          <cell r="AE6" t="str">
            <v>Free Rep Cost (Local Currency)</v>
          </cell>
        </row>
        <row r="7">
          <cell r="D7" t="str">
            <v>Units Shipped</v>
          </cell>
          <cell r="E7" t="str">
            <v>Other</v>
          </cell>
          <cell r="F7" t="str">
            <v>Lost Shipment: Delivery Scan Confirmed</v>
          </cell>
          <cell r="G7" t="str">
            <v>Defective</v>
          </cell>
          <cell r="H7" t="str">
            <v>Damaged Due to Carrier Handling</v>
          </cell>
          <cell r="I7" t="str">
            <v>Wrong Item Received/Switcheroo</v>
          </cell>
          <cell r="J7" t="str">
            <v>Item Missing from Shipment</v>
          </cell>
          <cell r="K7" t="str">
            <v>Lost Shipment: No Delivery Scan</v>
          </cell>
          <cell r="L7" t="str">
            <v>Bought wrong item due to catalog error</v>
          </cell>
          <cell r="M7" t="str">
            <v>Shipped to wrong address</v>
          </cell>
          <cell r="N7" t="str">
            <v>Delivery Problem</v>
          </cell>
          <cell r="O7" t="str">
            <v>Damaged due to FC Handling</v>
          </cell>
          <cell r="P7" t="str">
            <v>Shipment in Cleanup: Item not Received</v>
          </cell>
          <cell r="Q7" t="str">
            <v>Policy Exception/Customer Error</v>
          </cell>
          <cell r="R7" t="str">
            <v>Wrong Address: Items not Returned</v>
          </cell>
          <cell r="S7" t="str">
            <v>Other</v>
          </cell>
          <cell r="T7" t="str">
            <v>Lost Shipment: Delivery Scan Confirmed</v>
          </cell>
          <cell r="U7" t="str">
            <v>Defective</v>
          </cell>
          <cell r="V7" t="str">
            <v>Damaged Due to Carrier Handling</v>
          </cell>
          <cell r="W7" t="str">
            <v>Wrong Item Received/Switcheroo</v>
          </cell>
          <cell r="X7" t="str">
            <v>Item Missing from Shipment</v>
          </cell>
          <cell r="Y7" t="str">
            <v>Lost Shipment: No Delivery Scan</v>
          </cell>
          <cell r="Z7" t="str">
            <v>Bought wrong item due to catalog error</v>
          </cell>
          <cell r="AA7" t="str">
            <v>Shipped to wrong address</v>
          </cell>
          <cell r="AB7" t="str">
            <v>Delivery Problem</v>
          </cell>
          <cell r="AC7" t="str">
            <v>Damaged due to FC Handling</v>
          </cell>
          <cell r="AD7" t="str">
            <v>Shipment in Cleanup: Item not Received</v>
          </cell>
          <cell r="AE7" t="str">
            <v>Policy Exception/Customer Error</v>
          </cell>
        </row>
        <row r="8">
          <cell r="D8" t="str">
            <v>01-Jan</v>
          </cell>
          <cell r="E8" t="str">
            <v>0</v>
          </cell>
          <cell r="F8" t="str">
            <v>0</v>
          </cell>
          <cell r="G8" t="str">
            <v>0</v>
          </cell>
          <cell r="H8" t="str">
            <v>0</v>
          </cell>
          <cell r="I8" t="str">
            <v>0</v>
          </cell>
          <cell r="J8" t="str">
            <v>0</v>
          </cell>
          <cell r="K8" t="str">
            <v>0</v>
          </cell>
          <cell r="L8" t="str">
            <v>0</v>
          </cell>
          <cell r="M8" t="str">
            <v>0</v>
          </cell>
          <cell r="N8" t="str">
            <v>0</v>
          </cell>
          <cell r="O8" t="str">
            <v>0</v>
          </cell>
          <cell r="P8" t="str">
            <v>0</v>
          </cell>
          <cell r="Q8" t="str">
            <v>0</v>
          </cell>
          <cell r="R8" t="str">
            <v>0</v>
          </cell>
          <cell r="S8" t="str">
            <v>0</v>
          </cell>
          <cell r="T8" t="str">
            <v>0</v>
          </cell>
          <cell r="U8" t="str">
            <v>0</v>
          </cell>
          <cell r="V8" t="str">
            <v>0</v>
          </cell>
          <cell r="W8" t="str">
            <v>0</v>
          </cell>
          <cell r="X8" t="str">
            <v>0</v>
          </cell>
          <cell r="Y8" t="str">
            <v>0</v>
          </cell>
          <cell r="Z8" t="str">
            <v>0</v>
          </cell>
          <cell r="AA8" t="str">
            <v>0</v>
          </cell>
          <cell r="AB8" t="str">
            <v>0</v>
          </cell>
          <cell r="AC8" t="str">
            <v>0</v>
          </cell>
          <cell r="AD8" t="str">
            <v>0</v>
          </cell>
          <cell r="AE8" t="str">
            <v>0</v>
          </cell>
        </row>
        <row r="9">
          <cell r="D9" t="str">
            <v>02-Jan</v>
          </cell>
          <cell r="E9" t="str">
            <v>0</v>
          </cell>
          <cell r="F9" t="str">
            <v>0</v>
          </cell>
          <cell r="G9" t="str">
            <v>0</v>
          </cell>
          <cell r="H9" t="str">
            <v>0</v>
          </cell>
          <cell r="I9" t="str">
            <v>0</v>
          </cell>
          <cell r="J9" t="str">
            <v>0</v>
          </cell>
          <cell r="K9" t="str">
            <v>0</v>
          </cell>
          <cell r="L9" t="str">
            <v>0</v>
          </cell>
          <cell r="M9" t="str">
            <v>0</v>
          </cell>
          <cell r="N9" t="str">
            <v>0</v>
          </cell>
          <cell r="O9" t="str">
            <v>0</v>
          </cell>
          <cell r="P9" t="str">
            <v>0</v>
          </cell>
          <cell r="Q9" t="str">
            <v>0</v>
          </cell>
          <cell r="R9" t="str">
            <v>0</v>
          </cell>
          <cell r="S9" t="str">
            <v>0</v>
          </cell>
          <cell r="T9" t="str">
            <v>0</v>
          </cell>
          <cell r="U9" t="str">
            <v>0</v>
          </cell>
          <cell r="V9" t="str">
            <v>0</v>
          </cell>
          <cell r="W9" t="str">
            <v>0</v>
          </cell>
          <cell r="X9" t="str">
            <v>0</v>
          </cell>
          <cell r="Y9" t="str">
            <v>0</v>
          </cell>
          <cell r="Z9" t="str">
            <v>0</v>
          </cell>
          <cell r="AA9" t="str">
            <v>0</v>
          </cell>
          <cell r="AB9" t="str">
            <v>0</v>
          </cell>
          <cell r="AC9" t="str">
            <v>0</v>
          </cell>
          <cell r="AD9" t="str">
            <v>0</v>
          </cell>
          <cell r="AE9" t="str">
            <v>0</v>
          </cell>
        </row>
        <row r="10">
          <cell r="D10" t="str">
            <v>03-Jan</v>
          </cell>
          <cell r="E10" t="str">
            <v>0</v>
          </cell>
          <cell r="F10">
            <v>1</v>
          </cell>
          <cell r="G10">
            <v>8</v>
          </cell>
          <cell r="H10" t="str">
            <v>0</v>
          </cell>
          <cell r="I10">
            <v>2</v>
          </cell>
          <cell r="J10">
            <v>1</v>
          </cell>
          <cell r="K10">
            <v>2</v>
          </cell>
          <cell r="L10" t="str">
            <v>0</v>
          </cell>
          <cell r="M10" t="str">
            <v>0</v>
          </cell>
          <cell r="N10" t="str">
            <v>0</v>
          </cell>
          <cell r="O10" t="str">
            <v>0</v>
          </cell>
          <cell r="P10" t="str">
            <v>0</v>
          </cell>
          <cell r="Q10" t="str">
            <v>0</v>
          </cell>
          <cell r="R10" t="str">
            <v>0</v>
          </cell>
          <cell r="S10" t="str">
            <v>0</v>
          </cell>
          <cell r="T10">
            <v>433</v>
          </cell>
          <cell r="U10">
            <v>35296</v>
          </cell>
          <cell r="V10" t="str">
            <v>0</v>
          </cell>
          <cell r="W10">
            <v>3325</v>
          </cell>
          <cell r="X10">
            <v>2850</v>
          </cell>
          <cell r="Y10">
            <v>6451</v>
          </cell>
          <cell r="Z10" t="str">
            <v>0</v>
          </cell>
          <cell r="AA10" t="str">
            <v>0</v>
          </cell>
          <cell r="AB10" t="str">
            <v>0</v>
          </cell>
          <cell r="AC10" t="str">
            <v>0</v>
          </cell>
          <cell r="AD10" t="str">
            <v>0</v>
          </cell>
          <cell r="AE10" t="str">
            <v>0</v>
          </cell>
        </row>
        <row r="11">
          <cell r="D11" t="str">
            <v>04-Jan</v>
          </cell>
          <cell r="E11" t="str">
            <v>0</v>
          </cell>
          <cell r="F11">
            <v>4</v>
          </cell>
          <cell r="G11">
            <v>10</v>
          </cell>
          <cell r="H11">
            <v>4</v>
          </cell>
          <cell r="I11" t="str">
            <v>0</v>
          </cell>
          <cell r="J11">
            <v>1</v>
          </cell>
          <cell r="K11">
            <v>2</v>
          </cell>
          <cell r="L11" t="str">
            <v>0</v>
          </cell>
          <cell r="M11" t="str">
            <v>0</v>
          </cell>
          <cell r="N11" t="str">
            <v>0</v>
          </cell>
          <cell r="O11" t="str">
            <v>0</v>
          </cell>
          <cell r="P11" t="str">
            <v>0</v>
          </cell>
          <cell r="Q11" t="str">
            <v>0</v>
          </cell>
          <cell r="R11" t="str">
            <v>0</v>
          </cell>
          <cell r="S11" t="str">
            <v>0</v>
          </cell>
          <cell r="T11">
            <v>8559</v>
          </cell>
          <cell r="U11">
            <v>23159</v>
          </cell>
          <cell r="V11">
            <v>4608</v>
          </cell>
          <cell r="W11" t="str">
            <v>0</v>
          </cell>
          <cell r="X11">
            <v>2126</v>
          </cell>
          <cell r="Y11">
            <v>2569</v>
          </cell>
          <cell r="Z11" t="str">
            <v>0</v>
          </cell>
          <cell r="AA11" t="str">
            <v>0</v>
          </cell>
          <cell r="AB11" t="str">
            <v>0</v>
          </cell>
          <cell r="AC11" t="str">
            <v>0</v>
          </cell>
          <cell r="AD11" t="str">
            <v>0</v>
          </cell>
          <cell r="AE11" t="str">
            <v>0</v>
          </cell>
        </row>
        <row r="12">
          <cell r="D12" t="str">
            <v>05-Jan</v>
          </cell>
          <cell r="E12" t="str">
            <v>0</v>
          </cell>
          <cell r="F12">
            <v>4</v>
          </cell>
          <cell r="G12">
            <v>10</v>
          </cell>
          <cell r="H12">
            <v>7</v>
          </cell>
          <cell r="I12">
            <v>12</v>
          </cell>
          <cell r="J12" t="str">
            <v>0</v>
          </cell>
          <cell r="K12">
            <v>8</v>
          </cell>
          <cell r="L12" t="str">
            <v>0</v>
          </cell>
          <cell r="M12" t="str">
            <v>0</v>
          </cell>
          <cell r="N12" t="str">
            <v>0</v>
          </cell>
          <cell r="O12" t="str">
            <v>0</v>
          </cell>
          <cell r="P12" t="str">
            <v>0</v>
          </cell>
          <cell r="Q12" t="str">
            <v>0</v>
          </cell>
          <cell r="R12" t="str">
            <v>0</v>
          </cell>
          <cell r="S12" t="str">
            <v>0</v>
          </cell>
          <cell r="T12">
            <v>4334</v>
          </cell>
          <cell r="U12">
            <v>12051</v>
          </cell>
          <cell r="V12">
            <v>8893</v>
          </cell>
          <cell r="W12">
            <v>14559</v>
          </cell>
          <cell r="X12" t="str">
            <v>0</v>
          </cell>
          <cell r="Y12">
            <v>9248</v>
          </cell>
          <cell r="Z12" t="str">
            <v>0</v>
          </cell>
          <cell r="AA12" t="str">
            <v>0</v>
          </cell>
          <cell r="AB12" t="str">
            <v>0</v>
          </cell>
          <cell r="AC12" t="str">
            <v>0</v>
          </cell>
          <cell r="AD12" t="str">
            <v>0</v>
          </cell>
          <cell r="AE12" t="str">
            <v>0</v>
          </cell>
        </row>
        <row r="13">
          <cell r="D13" t="str">
            <v>06-Jan</v>
          </cell>
          <cell r="E13" t="str">
            <v>0</v>
          </cell>
          <cell r="F13">
            <v>2</v>
          </cell>
          <cell r="G13">
            <v>8</v>
          </cell>
          <cell r="H13">
            <v>1</v>
          </cell>
          <cell r="I13">
            <v>7</v>
          </cell>
          <cell r="J13" t="str">
            <v>0</v>
          </cell>
          <cell r="K13" t="str">
            <v>0</v>
          </cell>
          <cell r="L13" t="str">
            <v>0</v>
          </cell>
          <cell r="M13" t="str">
            <v>0</v>
          </cell>
          <cell r="N13" t="str">
            <v>0</v>
          </cell>
          <cell r="O13">
            <v>1</v>
          </cell>
          <cell r="P13" t="str">
            <v>0</v>
          </cell>
          <cell r="Q13" t="str">
            <v>0</v>
          </cell>
          <cell r="R13" t="str">
            <v>0</v>
          </cell>
          <cell r="S13" t="str">
            <v>0</v>
          </cell>
          <cell r="T13">
            <v>2001</v>
          </cell>
          <cell r="U13">
            <v>13362</v>
          </cell>
          <cell r="V13">
            <v>579</v>
          </cell>
          <cell r="W13">
            <v>41298</v>
          </cell>
          <cell r="X13" t="str">
            <v>0</v>
          </cell>
          <cell r="Y13" t="str">
            <v>0</v>
          </cell>
          <cell r="Z13" t="str">
            <v>0</v>
          </cell>
          <cell r="AA13" t="str">
            <v>0</v>
          </cell>
          <cell r="AB13" t="str">
            <v>0</v>
          </cell>
          <cell r="AC13">
            <v>1507</v>
          </cell>
          <cell r="AD13" t="str">
            <v>0</v>
          </cell>
          <cell r="AE13" t="str">
            <v>0</v>
          </cell>
        </row>
        <row r="14">
          <cell r="D14" t="str">
            <v>07-Jan</v>
          </cell>
          <cell r="E14" t="str">
            <v>0</v>
          </cell>
          <cell r="F14">
            <v>2</v>
          </cell>
          <cell r="G14">
            <v>5</v>
          </cell>
          <cell r="H14">
            <v>1</v>
          </cell>
          <cell r="I14">
            <v>3</v>
          </cell>
          <cell r="J14" t="str">
            <v>0</v>
          </cell>
          <cell r="K14">
            <v>1</v>
          </cell>
          <cell r="L14" t="str">
            <v>0</v>
          </cell>
          <cell r="M14" t="str">
            <v>0</v>
          </cell>
          <cell r="N14" t="str">
            <v>0</v>
          </cell>
          <cell r="O14">
            <v>1</v>
          </cell>
          <cell r="P14" t="str">
            <v>0</v>
          </cell>
          <cell r="Q14" t="str">
            <v>0</v>
          </cell>
          <cell r="R14" t="str">
            <v>0</v>
          </cell>
          <cell r="S14" t="str">
            <v>0</v>
          </cell>
          <cell r="T14">
            <v>3532</v>
          </cell>
          <cell r="U14">
            <v>21321</v>
          </cell>
          <cell r="V14">
            <v>2100</v>
          </cell>
          <cell r="W14">
            <v>5102</v>
          </cell>
          <cell r="X14" t="str">
            <v>0</v>
          </cell>
          <cell r="Y14">
            <v>1216</v>
          </cell>
          <cell r="Z14" t="str">
            <v>0</v>
          </cell>
          <cell r="AA14" t="str">
            <v>0</v>
          </cell>
          <cell r="AB14" t="str">
            <v>0</v>
          </cell>
          <cell r="AC14">
            <v>1140</v>
          </cell>
          <cell r="AD14" t="str">
            <v>0</v>
          </cell>
          <cell r="AE14" t="str">
            <v>0</v>
          </cell>
        </row>
        <row r="15">
          <cell r="D15" t="str">
            <v>08-Jan</v>
          </cell>
          <cell r="E15" t="str">
            <v>0</v>
          </cell>
          <cell r="F15">
            <v>3</v>
          </cell>
          <cell r="G15">
            <v>9</v>
          </cell>
          <cell r="H15">
            <v>4</v>
          </cell>
          <cell r="I15">
            <v>9</v>
          </cell>
          <cell r="J15" t="str">
            <v>0</v>
          </cell>
          <cell r="K15">
            <v>11</v>
          </cell>
          <cell r="L15" t="str">
            <v>0</v>
          </cell>
          <cell r="M15" t="str">
            <v>0</v>
          </cell>
          <cell r="N15" t="str">
            <v>0</v>
          </cell>
          <cell r="O15">
            <v>1</v>
          </cell>
          <cell r="P15" t="str">
            <v>0</v>
          </cell>
          <cell r="Q15" t="str">
            <v>0</v>
          </cell>
          <cell r="R15" t="str">
            <v>0</v>
          </cell>
          <cell r="S15" t="str">
            <v>0</v>
          </cell>
          <cell r="T15">
            <v>3634</v>
          </cell>
          <cell r="U15">
            <v>15660</v>
          </cell>
          <cell r="V15">
            <v>12443</v>
          </cell>
          <cell r="W15">
            <v>15266</v>
          </cell>
          <cell r="X15" t="str">
            <v>0</v>
          </cell>
          <cell r="Y15">
            <v>10964</v>
          </cell>
          <cell r="Z15" t="str">
            <v>0</v>
          </cell>
          <cell r="AA15" t="str">
            <v>0</v>
          </cell>
          <cell r="AB15" t="str">
            <v>0</v>
          </cell>
          <cell r="AC15">
            <v>3572</v>
          </cell>
          <cell r="AD15" t="str">
            <v>0</v>
          </cell>
          <cell r="AE15" t="str">
            <v>0</v>
          </cell>
        </row>
        <row r="16">
          <cell r="D16" t="str">
            <v>09-Jan</v>
          </cell>
          <cell r="E16" t="str">
            <v>0</v>
          </cell>
          <cell r="F16">
            <v>3</v>
          </cell>
          <cell r="G16">
            <v>19</v>
          </cell>
          <cell r="H16">
            <v>2</v>
          </cell>
          <cell r="I16">
            <v>3</v>
          </cell>
          <cell r="J16" t="str">
            <v>0</v>
          </cell>
          <cell r="K16">
            <v>22</v>
          </cell>
          <cell r="L16" t="str">
            <v>0</v>
          </cell>
          <cell r="M16" t="str">
            <v>0</v>
          </cell>
          <cell r="N16" t="str">
            <v>0</v>
          </cell>
          <cell r="O16">
            <v>2</v>
          </cell>
          <cell r="P16" t="str">
            <v>0</v>
          </cell>
          <cell r="Q16" t="str">
            <v>0</v>
          </cell>
          <cell r="R16" t="str">
            <v>0</v>
          </cell>
          <cell r="S16" t="str">
            <v>0</v>
          </cell>
          <cell r="T16">
            <v>6674</v>
          </cell>
          <cell r="U16">
            <v>66860</v>
          </cell>
          <cell r="V16">
            <v>3227</v>
          </cell>
          <cell r="W16">
            <v>9088</v>
          </cell>
          <cell r="X16" t="str">
            <v>0</v>
          </cell>
          <cell r="Y16">
            <v>38658</v>
          </cell>
          <cell r="Z16" t="str">
            <v>0</v>
          </cell>
          <cell r="AA16" t="str">
            <v>0</v>
          </cell>
          <cell r="AB16" t="str">
            <v>0</v>
          </cell>
          <cell r="AC16">
            <v>3159</v>
          </cell>
          <cell r="AD16" t="str">
            <v>0</v>
          </cell>
          <cell r="AE16" t="str">
            <v>0</v>
          </cell>
        </row>
        <row r="17">
          <cell r="D17" t="str">
            <v>10-Jan</v>
          </cell>
          <cell r="E17" t="str">
            <v>0</v>
          </cell>
          <cell r="F17">
            <v>7</v>
          </cell>
          <cell r="G17">
            <v>10</v>
          </cell>
          <cell r="H17">
            <v>2</v>
          </cell>
          <cell r="I17">
            <v>5</v>
          </cell>
          <cell r="J17" t="str">
            <v>0</v>
          </cell>
          <cell r="K17">
            <v>6</v>
          </cell>
          <cell r="L17" t="str">
            <v>0</v>
          </cell>
          <cell r="M17" t="str">
            <v>0</v>
          </cell>
          <cell r="N17">
            <v>1</v>
          </cell>
          <cell r="O17">
            <v>3</v>
          </cell>
          <cell r="P17" t="str">
            <v>0</v>
          </cell>
          <cell r="Q17" t="str">
            <v>0</v>
          </cell>
          <cell r="R17" t="str">
            <v>0</v>
          </cell>
          <cell r="S17" t="str">
            <v>0</v>
          </cell>
          <cell r="T17">
            <v>9637</v>
          </cell>
          <cell r="U17">
            <v>26747</v>
          </cell>
          <cell r="V17">
            <v>3622</v>
          </cell>
          <cell r="W17">
            <v>9392</v>
          </cell>
          <cell r="X17" t="str">
            <v>0</v>
          </cell>
          <cell r="Y17">
            <v>5956</v>
          </cell>
          <cell r="Z17" t="str">
            <v>0</v>
          </cell>
          <cell r="AA17" t="str">
            <v>0</v>
          </cell>
          <cell r="AB17">
            <v>1140</v>
          </cell>
          <cell r="AC17">
            <v>6502</v>
          </cell>
          <cell r="AD17" t="str">
            <v>0</v>
          </cell>
          <cell r="AE17" t="str">
            <v>0</v>
          </cell>
        </row>
        <row r="18">
          <cell r="D18" t="str">
            <v>11-Jan</v>
          </cell>
          <cell r="E18" t="str">
            <v>0</v>
          </cell>
          <cell r="F18">
            <v>3</v>
          </cell>
          <cell r="G18">
            <v>15</v>
          </cell>
          <cell r="H18">
            <v>9</v>
          </cell>
          <cell r="I18">
            <v>5</v>
          </cell>
          <cell r="J18" t="str">
            <v>0</v>
          </cell>
          <cell r="K18">
            <v>6</v>
          </cell>
          <cell r="L18" t="str">
            <v>0</v>
          </cell>
          <cell r="M18" t="str">
            <v>0</v>
          </cell>
          <cell r="N18" t="str">
            <v>0</v>
          </cell>
          <cell r="O18">
            <v>2</v>
          </cell>
          <cell r="P18" t="str">
            <v>0</v>
          </cell>
          <cell r="Q18" t="str">
            <v>0</v>
          </cell>
          <cell r="R18" t="str">
            <v>0</v>
          </cell>
          <cell r="S18" t="str">
            <v>0</v>
          </cell>
          <cell r="T18">
            <v>2861</v>
          </cell>
          <cell r="U18">
            <v>32338</v>
          </cell>
          <cell r="V18">
            <v>23839</v>
          </cell>
          <cell r="W18">
            <v>6666</v>
          </cell>
          <cell r="X18" t="str">
            <v>0</v>
          </cell>
          <cell r="Y18">
            <v>21356</v>
          </cell>
          <cell r="Z18" t="str">
            <v>0</v>
          </cell>
          <cell r="AA18" t="str">
            <v>0</v>
          </cell>
          <cell r="AB18" t="str">
            <v>0</v>
          </cell>
          <cell r="AC18">
            <v>2579</v>
          </cell>
          <cell r="AD18" t="str">
            <v>0</v>
          </cell>
          <cell r="AE18" t="str">
            <v>0</v>
          </cell>
        </row>
        <row r="19">
          <cell r="D19" t="str">
            <v>12-Jan</v>
          </cell>
          <cell r="E19" t="str">
            <v>0</v>
          </cell>
          <cell r="F19">
            <v>4</v>
          </cell>
          <cell r="G19">
            <v>10</v>
          </cell>
          <cell r="H19">
            <v>4</v>
          </cell>
          <cell r="I19">
            <v>4</v>
          </cell>
          <cell r="J19" t="str">
            <v>0</v>
          </cell>
          <cell r="K19">
            <v>17</v>
          </cell>
          <cell r="L19" t="str">
            <v>0</v>
          </cell>
          <cell r="M19" t="str">
            <v>0</v>
          </cell>
          <cell r="N19" t="str">
            <v>0</v>
          </cell>
          <cell r="O19">
            <v>1</v>
          </cell>
          <cell r="P19" t="str">
            <v>0</v>
          </cell>
          <cell r="Q19" t="str">
            <v>0</v>
          </cell>
          <cell r="R19" t="str">
            <v>0</v>
          </cell>
          <cell r="S19" t="str">
            <v>0</v>
          </cell>
          <cell r="T19">
            <v>3523</v>
          </cell>
          <cell r="U19">
            <v>16322</v>
          </cell>
          <cell r="V19">
            <v>18717</v>
          </cell>
          <cell r="W19">
            <v>7371</v>
          </cell>
          <cell r="X19" t="str">
            <v>0</v>
          </cell>
          <cell r="Y19">
            <v>12958</v>
          </cell>
          <cell r="Z19" t="str">
            <v>0</v>
          </cell>
          <cell r="AA19" t="str">
            <v>0</v>
          </cell>
          <cell r="AB19" t="str">
            <v>0</v>
          </cell>
          <cell r="AC19">
            <v>709</v>
          </cell>
          <cell r="AD19" t="str">
            <v>0</v>
          </cell>
          <cell r="AE19" t="str">
            <v>0</v>
          </cell>
        </row>
        <row r="20">
          <cell r="D20" t="str">
            <v>13-Jan</v>
          </cell>
          <cell r="E20" t="str">
            <v>0</v>
          </cell>
          <cell r="F20">
            <v>3</v>
          </cell>
          <cell r="G20">
            <v>8</v>
          </cell>
          <cell r="H20" t="str">
            <v>0</v>
          </cell>
          <cell r="I20">
            <v>5</v>
          </cell>
          <cell r="J20">
            <v>1</v>
          </cell>
          <cell r="K20">
            <v>3</v>
          </cell>
          <cell r="L20" t="str">
            <v>0</v>
          </cell>
          <cell r="M20" t="str">
            <v>0</v>
          </cell>
          <cell r="N20" t="str">
            <v>0</v>
          </cell>
          <cell r="O20">
            <v>3</v>
          </cell>
          <cell r="P20" t="str">
            <v>0</v>
          </cell>
          <cell r="Q20" t="str">
            <v>0</v>
          </cell>
          <cell r="R20" t="str">
            <v>0</v>
          </cell>
          <cell r="S20" t="str">
            <v>0</v>
          </cell>
          <cell r="T20">
            <v>2279</v>
          </cell>
          <cell r="U20">
            <v>17964</v>
          </cell>
          <cell r="V20" t="str">
            <v>0</v>
          </cell>
          <cell r="W20">
            <v>9071</v>
          </cell>
          <cell r="X20">
            <v>1064</v>
          </cell>
          <cell r="Y20">
            <v>2449</v>
          </cell>
          <cell r="Z20" t="str">
            <v>0</v>
          </cell>
          <cell r="AA20" t="str">
            <v>0</v>
          </cell>
          <cell r="AB20" t="str">
            <v>0</v>
          </cell>
          <cell r="AC20">
            <v>38197</v>
          </cell>
          <cell r="AD20" t="str">
            <v>0</v>
          </cell>
          <cell r="AE20" t="str">
            <v>0</v>
          </cell>
        </row>
        <row r="21">
          <cell r="D21" t="str">
            <v>14-Jan</v>
          </cell>
          <cell r="E21" t="str">
            <v>0</v>
          </cell>
          <cell r="F21">
            <v>3</v>
          </cell>
          <cell r="G21">
            <v>4</v>
          </cell>
          <cell r="H21">
            <v>3</v>
          </cell>
          <cell r="I21">
            <v>1</v>
          </cell>
          <cell r="J21" t="str">
            <v>0</v>
          </cell>
          <cell r="K21" t="str">
            <v>0</v>
          </cell>
          <cell r="L21" t="str">
            <v>0</v>
          </cell>
          <cell r="M21" t="str">
            <v>0</v>
          </cell>
          <cell r="N21" t="str">
            <v>0</v>
          </cell>
          <cell r="O21" t="str">
            <v>0</v>
          </cell>
          <cell r="P21" t="str">
            <v>0</v>
          </cell>
          <cell r="Q21" t="str">
            <v>0</v>
          </cell>
          <cell r="R21" t="str">
            <v>0</v>
          </cell>
          <cell r="S21" t="str">
            <v>0</v>
          </cell>
          <cell r="T21">
            <v>2333</v>
          </cell>
          <cell r="U21">
            <v>5129</v>
          </cell>
          <cell r="V21">
            <v>2664</v>
          </cell>
          <cell r="W21">
            <v>867</v>
          </cell>
          <cell r="X21" t="str">
            <v>0</v>
          </cell>
          <cell r="Y21" t="str">
            <v>0</v>
          </cell>
          <cell r="Z21" t="str">
            <v>0</v>
          </cell>
          <cell r="AA21" t="str">
            <v>0</v>
          </cell>
          <cell r="AB21" t="str">
            <v>0</v>
          </cell>
          <cell r="AC21" t="str">
            <v>0</v>
          </cell>
          <cell r="AD21" t="str">
            <v>0</v>
          </cell>
          <cell r="AE21" t="str">
            <v>0</v>
          </cell>
        </row>
        <row r="22">
          <cell r="D22" t="str">
            <v>15-Jan</v>
          </cell>
          <cell r="E22" t="str">
            <v>0</v>
          </cell>
          <cell r="F22">
            <v>3</v>
          </cell>
          <cell r="G22">
            <v>16</v>
          </cell>
          <cell r="H22">
            <v>8</v>
          </cell>
          <cell r="I22">
            <v>5</v>
          </cell>
          <cell r="J22" t="str">
            <v>0</v>
          </cell>
          <cell r="K22">
            <v>5</v>
          </cell>
          <cell r="L22" t="str">
            <v>0</v>
          </cell>
          <cell r="M22" t="str">
            <v>0</v>
          </cell>
          <cell r="N22" t="str">
            <v>0</v>
          </cell>
          <cell r="O22">
            <v>2</v>
          </cell>
          <cell r="P22" t="str">
            <v>0</v>
          </cell>
          <cell r="Q22" t="str">
            <v>0</v>
          </cell>
          <cell r="R22" t="str">
            <v>0</v>
          </cell>
          <cell r="S22" t="str">
            <v>0</v>
          </cell>
          <cell r="T22">
            <v>3478</v>
          </cell>
          <cell r="U22">
            <v>42118</v>
          </cell>
          <cell r="V22">
            <v>17897</v>
          </cell>
          <cell r="W22">
            <v>7247</v>
          </cell>
          <cell r="X22" t="str">
            <v>0</v>
          </cell>
          <cell r="Y22">
            <v>7868</v>
          </cell>
          <cell r="Z22" t="str">
            <v>0</v>
          </cell>
          <cell r="AA22" t="str">
            <v>0</v>
          </cell>
          <cell r="AB22" t="str">
            <v>0</v>
          </cell>
          <cell r="AC22">
            <v>4944</v>
          </cell>
          <cell r="AD22" t="str">
            <v>0</v>
          </cell>
          <cell r="AE22" t="str">
            <v>0</v>
          </cell>
        </row>
        <row r="23">
          <cell r="D23" t="str">
            <v>16-Jan</v>
          </cell>
          <cell r="E23" t="str">
            <v>0</v>
          </cell>
          <cell r="F23">
            <v>1</v>
          </cell>
          <cell r="G23">
            <v>14</v>
          </cell>
          <cell r="H23">
            <v>3</v>
          </cell>
          <cell r="I23">
            <v>3</v>
          </cell>
          <cell r="J23" t="str">
            <v>0</v>
          </cell>
          <cell r="K23" t="str">
            <v>0</v>
          </cell>
          <cell r="L23" t="str">
            <v>0</v>
          </cell>
          <cell r="M23" t="str">
            <v>0</v>
          </cell>
          <cell r="N23" t="str">
            <v>0</v>
          </cell>
          <cell r="O23">
            <v>1</v>
          </cell>
          <cell r="P23" t="str">
            <v>0</v>
          </cell>
          <cell r="Q23" t="str">
            <v>0</v>
          </cell>
          <cell r="R23" t="str">
            <v>0</v>
          </cell>
          <cell r="S23" t="str">
            <v>0</v>
          </cell>
          <cell r="T23">
            <v>2117</v>
          </cell>
          <cell r="U23">
            <v>52746</v>
          </cell>
          <cell r="V23">
            <v>3882</v>
          </cell>
          <cell r="W23">
            <v>3679</v>
          </cell>
          <cell r="X23" t="str">
            <v>0</v>
          </cell>
          <cell r="Y23" t="str">
            <v>0</v>
          </cell>
          <cell r="Z23" t="str">
            <v>0</v>
          </cell>
          <cell r="AA23" t="str">
            <v>0</v>
          </cell>
          <cell r="AB23" t="str">
            <v>0</v>
          </cell>
          <cell r="AC23">
            <v>2336</v>
          </cell>
          <cell r="AD23" t="str">
            <v>0</v>
          </cell>
          <cell r="AE23" t="str">
            <v>0</v>
          </cell>
        </row>
        <row r="24">
          <cell r="D24" t="str">
            <v>17-Jan</v>
          </cell>
          <cell r="E24" t="str">
            <v>0</v>
          </cell>
          <cell r="F24">
            <v>3</v>
          </cell>
          <cell r="G24">
            <v>12</v>
          </cell>
          <cell r="H24">
            <v>2</v>
          </cell>
          <cell r="I24">
            <v>1</v>
          </cell>
          <cell r="J24" t="str">
            <v>0</v>
          </cell>
          <cell r="K24">
            <v>2</v>
          </cell>
          <cell r="L24" t="str">
            <v>0</v>
          </cell>
          <cell r="M24" t="str">
            <v>0</v>
          </cell>
          <cell r="N24" t="str">
            <v>0</v>
          </cell>
          <cell r="O24" t="str">
            <v>0</v>
          </cell>
          <cell r="P24" t="str">
            <v>0</v>
          </cell>
          <cell r="Q24" t="str">
            <v>0</v>
          </cell>
          <cell r="R24" t="str">
            <v>0</v>
          </cell>
          <cell r="S24" t="str">
            <v>0</v>
          </cell>
          <cell r="T24">
            <v>4610</v>
          </cell>
          <cell r="U24">
            <v>20331</v>
          </cell>
          <cell r="V24">
            <v>4902</v>
          </cell>
          <cell r="W24">
            <v>2280</v>
          </cell>
          <cell r="X24" t="str">
            <v>0</v>
          </cell>
          <cell r="Y24">
            <v>7050</v>
          </cell>
          <cell r="Z24" t="str">
            <v>0</v>
          </cell>
          <cell r="AA24" t="str">
            <v>0</v>
          </cell>
          <cell r="AB24" t="str">
            <v>0</v>
          </cell>
          <cell r="AC24" t="str">
            <v>0</v>
          </cell>
          <cell r="AD24" t="str">
            <v>0</v>
          </cell>
          <cell r="AE24" t="str">
            <v>0</v>
          </cell>
        </row>
        <row r="25">
          <cell r="D25" t="str">
            <v>18-Jan</v>
          </cell>
          <cell r="E25" t="str">
            <v>0</v>
          </cell>
          <cell r="F25">
            <v>8</v>
          </cell>
          <cell r="G25">
            <v>7</v>
          </cell>
          <cell r="H25">
            <v>6</v>
          </cell>
          <cell r="I25">
            <v>3</v>
          </cell>
          <cell r="J25" t="str">
            <v>0</v>
          </cell>
          <cell r="K25">
            <v>1</v>
          </cell>
          <cell r="L25" t="str">
            <v>0</v>
          </cell>
          <cell r="M25" t="str">
            <v>0</v>
          </cell>
          <cell r="N25" t="str">
            <v>0</v>
          </cell>
          <cell r="O25" t="str">
            <v>0</v>
          </cell>
          <cell r="P25">
            <v>1</v>
          </cell>
          <cell r="Q25" t="str">
            <v>0</v>
          </cell>
          <cell r="R25" t="str">
            <v>0</v>
          </cell>
          <cell r="S25" t="str">
            <v>0</v>
          </cell>
          <cell r="T25">
            <v>12368</v>
          </cell>
          <cell r="U25">
            <v>38093</v>
          </cell>
          <cell r="V25">
            <v>13304</v>
          </cell>
          <cell r="W25">
            <v>4813</v>
          </cell>
          <cell r="X25" t="str">
            <v>0</v>
          </cell>
          <cell r="Y25">
            <v>1121</v>
          </cell>
          <cell r="Z25" t="str">
            <v>0</v>
          </cell>
          <cell r="AA25" t="str">
            <v>0</v>
          </cell>
          <cell r="AB25" t="str">
            <v>0</v>
          </cell>
          <cell r="AC25" t="str">
            <v>0</v>
          </cell>
          <cell r="AD25">
            <v>1343</v>
          </cell>
          <cell r="AE25" t="str">
            <v>0</v>
          </cell>
        </row>
        <row r="26">
          <cell r="D26" t="str">
            <v>19-Jan</v>
          </cell>
          <cell r="E26" t="str">
            <v>0</v>
          </cell>
          <cell r="F26">
            <v>1</v>
          </cell>
          <cell r="G26">
            <v>14</v>
          </cell>
          <cell r="H26">
            <v>4</v>
          </cell>
          <cell r="I26">
            <v>7</v>
          </cell>
          <cell r="J26" t="str">
            <v>0</v>
          </cell>
          <cell r="K26">
            <v>2</v>
          </cell>
          <cell r="L26" t="str">
            <v>0</v>
          </cell>
          <cell r="M26" t="str">
            <v>0</v>
          </cell>
          <cell r="N26" t="str">
            <v>0</v>
          </cell>
          <cell r="O26" t="str">
            <v>0</v>
          </cell>
          <cell r="P26" t="str">
            <v>0</v>
          </cell>
          <cell r="Q26" t="str">
            <v>0</v>
          </cell>
          <cell r="R26" t="str">
            <v>0</v>
          </cell>
          <cell r="S26" t="str">
            <v>0</v>
          </cell>
          <cell r="T26">
            <v>1388</v>
          </cell>
          <cell r="U26">
            <v>22696</v>
          </cell>
          <cell r="V26">
            <v>3607</v>
          </cell>
          <cell r="W26">
            <v>8223</v>
          </cell>
          <cell r="X26" t="str">
            <v>0</v>
          </cell>
          <cell r="Y26">
            <v>7050</v>
          </cell>
          <cell r="Z26" t="str">
            <v>0</v>
          </cell>
          <cell r="AA26" t="str">
            <v>0</v>
          </cell>
          <cell r="AB26" t="str">
            <v>0</v>
          </cell>
          <cell r="AC26" t="str">
            <v>0</v>
          </cell>
          <cell r="AD26" t="str">
            <v>0</v>
          </cell>
          <cell r="AE26" t="str">
            <v>0</v>
          </cell>
        </row>
        <row r="27">
          <cell r="D27" t="str">
            <v>20-Jan</v>
          </cell>
          <cell r="E27" t="str">
            <v>0</v>
          </cell>
          <cell r="F27">
            <v>2</v>
          </cell>
          <cell r="G27">
            <v>16</v>
          </cell>
          <cell r="H27">
            <v>4</v>
          </cell>
          <cell r="I27">
            <v>2</v>
          </cell>
          <cell r="J27" t="str">
            <v>0</v>
          </cell>
          <cell r="K27" t="str">
            <v>0</v>
          </cell>
          <cell r="L27" t="str">
            <v>0</v>
          </cell>
          <cell r="M27" t="str">
            <v>0</v>
          </cell>
          <cell r="N27" t="str">
            <v>0</v>
          </cell>
          <cell r="O27">
            <v>1</v>
          </cell>
          <cell r="P27" t="str">
            <v>0</v>
          </cell>
          <cell r="Q27" t="str">
            <v>0</v>
          </cell>
          <cell r="R27" t="str">
            <v>0</v>
          </cell>
          <cell r="S27" t="str">
            <v>0</v>
          </cell>
          <cell r="T27">
            <v>3392</v>
          </cell>
          <cell r="U27">
            <v>50905</v>
          </cell>
          <cell r="V27">
            <v>11386</v>
          </cell>
          <cell r="W27">
            <v>3160</v>
          </cell>
          <cell r="X27" t="str">
            <v>0</v>
          </cell>
          <cell r="Y27" t="str">
            <v>0</v>
          </cell>
          <cell r="Z27" t="str">
            <v>0</v>
          </cell>
          <cell r="AA27" t="str">
            <v>0</v>
          </cell>
          <cell r="AB27" t="str">
            <v>0</v>
          </cell>
          <cell r="AC27">
            <v>1963</v>
          </cell>
          <cell r="AD27" t="str">
            <v>0</v>
          </cell>
          <cell r="AE27" t="str">
            <v>0</v>
          </cell>
        </row>
        <row r="28">
          <cell r="D28" t="str">
            <v>21-Jan</v>
          </cell>
          <cell r="E28" t="str">
            <v>0</v>
          </cell>
          <cell r="F28">
            <v>2</v>
          </cell>
          <cell r="G28">
            <v>10</v>
          </cell>
          <cell r="H28">
            <v>3</v>
          </cell>
          <cell r="I28">
            <v>4</v>
          </cell>
          <cell r="J28" t="str">
            <v>0</v>
          </cell>
          <cell r="K28">
            <v>11</v>
          </cell>
          <cell r="L28" t="str">
            <v>0</v>
          </cell>
          <cell r="M28" t="str">
            <v>0</v>
          </cell>
          <cell r="N28" t="str">
            <v>0</v>
          </cell>
          <cell r="O28" t="str">
            <v>0</v>
          </cell>
          <cell r="P28" t="str">
            <v>0</v>
          </cell>
          <cell r="Q28" t="str">
            <v>0</v>
          </cell>
          <cell r="R28" t="str">
            <v>0</v>
          </cell>
          <cell r="S28" t="str">
            <v>0</v>
          </cell>
          <cell r="T28">
            <v>2449</v>
          </cell>
          <cell r="U28">
            <v>18073</v>
          </cell>
          <cell r="V28">
            <v>7070</v>
          </cell>
          <cell r="W28">
            <v>19654</v>
          </cell>
          <cell r="X28" t="str">
            <v>0</v>
          </cell>
          <cell r="Y28">
            <v>14369</v>
          </cell>
          <cell r="Z28" t="str">
            <v>0</v>
          </cell>
          <cell r="AA28" t="str">
            <v>0</v>
          </cell>
          <cell r="AB28" t="str">
            <v>0</v>
          </cell>
          <cell r="AC28" t="str">
            <v>0</v>
          </cell>
          <cell r="AD28" t="str">
            <v>0</v>
          </cell>
          <cell r="AE28" t="str">
            <v>0</v>
          </cell>
        </row>
        <row r="29">
          <cell r="D29" t="str">
            <v>22-Jan</v>
          </cell>
          <cell r="E29" t="str">
            <v>0</v>
          </cell>
          <cell r="F29">
            <v>3</v>
          </cell>
          <cell r="G29">
            <v>14</v>
          </cell>
          <cell r="H29">
            <v>10</v>
          </cell>
          <cell r="I29">
            <v>5</v>
          </cell>
          <cell r="J29" t="str">
            <v>0</v>
          </cell>
          <cell r="K29" t="str">
            <v>0</v>
          </cell>
          <cell r="L29" t="str">
            <v>0</v>
          </cell>
          <cell r="M29" t="str">
            <v>0</v>
          </cell>
          <cell r="N29" t="str">
            <v>0</v>
          </cell>
          <cell r="O29">
            <v>2</v>
          </cell>
          <cell r="P29" t="str">
            <v>0</v>
          </cell>
          <cell r="Q29" t="str">
            <v>0</v>
          </cell>
          <cell r="R29" t="str">
            <v>0</v>
          </cell>
          <cell r="S29" t="str">
            <v>0</v>
          </cell>
          <cell r="T29">
            <v>3025</v>
          </cell>
          <cell r="U29">
            <v>126190</v>
          </cell>
          <cell r="V29">
            <v>20074</v>
          </cell>
          <cell r="W29">
            <v>9051</v>
          </cell>
          <cell r="X29" t="str">
            <v>0</v>
          </cell>
          <cell r="Y29" t="str">
            <v>0</v>
          </cell>
          <cell r="Z29" t="str">
            <v>0</v>
          </cell>
          <cell r="AA29" t="str">
            <v>0</v>
          </cell>
          <cell r="AB29" t="str">
            <v>0</v>
          </cell>
          <cell r="AC29">
            <v>3857</v>
          </cell>
          <cell r="AD29" t="str">
            <v>0</v>
          </cell>
          <cell r="AE29" t="str">
            <v>0</v>
          </cell>
        </row>
        <row r="30">
          <cell r="D30" t="str">
            <v>23-Jan</v>
          </cell>
          <cell r="E30" t="str">
            <v>0</v>
          </cell>
          <cell r="F30">
            <v>3</v>
          </cell>
          <cell r="G30">
            <v>10</v>
          </cell>
          <cell r="H30">
            <v>7</v>
          </cell>
          <cell r="I30">
            <v>1</v>
          </cell>
          <cell r="J30">
            <v>1</v>
          </cell>
          <cell r="K30">
            <v>9</v>
          </cell>
          <cell r="L30" t="str">
            <v>0</v>
          </cell>
          <cell r="M30" t="str">
            <v>0</v>
          </cell>
          <cell r="N30" t="str">
            <v>0</v>
          </cell>
          <cell r="O30">
            <v>5</v>
          </cell>
          <cell r="P30" t="str">
            <v>0</v>
          </cell>
          <cell r="Q30" t="str">
            <v>0</v>
          </cell>
          <cell r="R30" t="str">
            <v>0</v>
          </cell>
          <cell r="S30" t="str">
            <v>0</v>
          </cell>
          <cell r="T30">
            <v>4855</v>
          </cell>
          <cell r="U30">
            <v>48528</v>
          </cell>
          <cell r="V30">
            <v>13718</v>
          </cell>
          <cell r="W30">
            <v>1170</v>
          </cell>
          <cell r="X30">
            <v>296</v>
          </cell>
          <cell r="Y30">
            <v>17317</v>
          </cell>
          <cell r="Z30" t="str">
            <v>0</v>
          </cell>
          <cell r="AA30" t="str">
            <v>0</v>
          </cell>
          <cell r="AB30" t="str">
            <v>0</v>
          </cell>
          <cell r="AC30">
            <v>11804</v>
          </cell>
          <cell r="AD30" t="str">
            <v>0</v>
          </cell>
          <cell r="AE30" t="str">
            <v>0</v>
          </cell>
        </row>
        <row r="31">
          <cell r="D31" t="str">
            <v>24-Jan</v>
          </cell>
          <cell r="E31" t="str">
            <v>0</v>
          </cell>
          <cell r="F31">
            <v>8</v>
          </cell>
          <cell r="G31">
            <v>8</v>
          </cell>
          <cell r="H31">
            <v>5</v>
          </cell>
          <cell r="I31">
            <v>4</v>
          </cell>
          <cell r="J31" t="str">
            <v>0</v>
          </cell>
          <cell r="K31" t="str">
            <v>0</v>
          </cell>
          <cell r="L31" t="str">
            <v>0</v>
          </cell>
          <cell r="M31" t="str">
            <v>0</v>
          </cell>
          <cell r="N31" t="str">
            <v>0</v>
          </cell>
          <cell r="O31">
            <v>5</v>
          </cell>
          <cell r="P31">
            <v>1</v>
          </cell>
          <cell r="Q31" t="str">
            <v>0</v>
          </cell>
          <cell r="R31" t="str">
            <v>0</v>
          </cell>
          <cell r="S31" t="str">
            <v>0</v>
          </cell>
          <cell r="T31">
            <v>20026</v>
          </cell>
          <cell r="U31">
            <v>21595</v>
          </cell>
          <cell r="V31">
            <v>10575</v>
          </cell>
          <cell r="W31">
            <v>12784</v>
          </cell>
          <cell r="X31" t="str">
            <v>0</v>
          </cell>
          <cell r="Y31" t="str">
            <v>0</v>
          </cell>
          <cell r="Z31" t="str">
            <v>0</v>
          </cell>
          <cell r="AA31" t="str">
            <v>0</v>
          </cell>
          <cell r="AB31" t="str">
            <v>0</v>
          </cell>
          <cell r="AC31">
            <v>6322</v>
          </cell>
          <cell r="AD31">
            <v>1032</v>
          </cell>
          <cell r="AE31" t="str">
            <v>0</v>
          </cell>
        </row>
        <row r="32">
          <cell r="D32" t="str">
            <v>25-Jan</v>
          </cell>
          <cell r="E32" t="str">
            <v>0</v>
          </cell>
          <cell r="F32">
            <v>6</v>
          </cell>
          <cell r="G32">
            <v>16</v>
          </cell>
          <cell r="H32">
            <v>5</v>
          </cell>
          <cell r="I32">
            <v>2</v>
          </cell>
          <cell r="J32" t="str">
            <v>0</v>
          </cell>
          <cell r="K32">
            <v>1</v>
          </cell>
          <cell r="L32" t="str">
            <v>0</v>
          </cell>
          <cell r="M32" t="str">
            <v>0</v>
          </cell>
          <cell r="N32" t="str">
            <v>0</v>
          </cell>
          <cell r="O32">
            <v>1</v>
          </cell>
          <cell r="P32" t="str">
            <v>0</v>
          </cell>
          <cell r="Q32" t="str">
            <v>0</v>
          </cell>
          <cell r="R32" t="str">
            <v>0</v>
          </cell>
          <cell r="S32" t="str">
            <v>0</v>
          </cell>
          <cell r="T32">
            <v>7751</v>
          </cell>
          <cell r="U32">
            <v>25444</v>
          </cell>
          <cell r="V32">
            <v>10186</v>
          </cell>
          <cell r="W32">
            <v>2658</v>
          </cell>
          <cell r="X32" t="str">
            <v>0</v>
          </cell>
          <cell r="Y32">
            <v>861</v>
          </cell>
          <cell r="Z32" t="str">
            <v>0</v>
          </cell>
          <cell r="AA32" t="str">
            <v>0</v>
          </cell>
          <cell r="AB32" t="str">
            <v>0</v>
          </cell>
          <cell r="AC32">
            <v>405</v>
          </cell>
          <cell r="AD32" t="str">
            <v>0</v>
          </cell>
          <cell r="AE32" t="str">
            <v>0</v>
          </cell>
        </row>
        <row r="33">
          <cell r="D33" t="str">
            <v>26-Jan</v>
          </cell>
          <cell r="E33" t="str">
            <v>0</v>
          </cell>
          <cell r="F33">
            <v>4</v>
          </cell>
          <cell r="G33">
            <v>15</v>
          </cell>
          <cell r="H33">
            <v>2</v>
          </cell>
          <cell r="I33">
            <v>3</v>
          </cell>
          <cell r="J33" t="str">
            <v>0</v>
          </cell>
          <cell r="K33" t="str">
            <v>0</v>
          </cell>
          <cell r="L33" t="str">
            <v>0</v>
          </cell>
          <cell r="M33" t="str">
            <v>0</v>
          </cell>
          <cell r="N33" t="str">
            <v>0</v>
          </cell>
          <cell r="O33">
            <v>1</v>
          </cell>
          <cell r="P33" t="str">
            <v>0</v>
          </cell>
          <cell r="Q33" t="str">
            <v>0</v>
          </cell>
          <cell r="R33" t="str">
            <v>0</v>
          </cell>
          <cell r="S33" t="str">
            <v>0</v>
          </cell>
          <cell r="T33">
            <v>10880</v>
          </cell>
          <cell r="U33">
            <v>32130</v>
          </cell>
          <cell r="V33">
            <v>4094</v>
          </cell>
          <cell r="W33">
            <v>2457</v>
          </cell>
          <cell r="X33" t="str">
            <v>0</v>
          </cell>
          <cell r="Y33" t="str">
            <v>0</v>
          </cell>
          <cell r="Z33" t="str">
            <v>0</v>
          </cell>
          <cell r="AA33" t="str">
            <v>0</v>
          </cell>
          <cell r="AB33" t="str">
            <v>0</v>
          </cell>
          <cell r="AC33">
            <v>1216</v>
          </cell>
          <cell r="AD33" t="str">
            <v>0</v>
          </cell>
          <cell r="AE33" t="str">
            <v>0</v>
          </cell>
        </row>
        <row r="34">
          <cell r="D34" t="str">
            <v>27-Jan</v>
          </cell>
          <cell r="E34" t="str">
            <v>0</v>
          </cell>
          <cell r="F34">
            <v>1</v>
          </cell>
          <cell r="G34">
            <v>11</v>
          </cell>
          <cell r="H34">
            <v>3</v>
          </cell>
          <cell r="I34">
            <v>9</v>
          </cell>
          <cell r="J34" t="str">
            <v>0</v>
          </cell>
          <cell r="K34">
            <v>1</v>
          </cell>
          <cell r="L34" t="str">
            <v>0</v>
          </cell>
          <cell r="M34" t="str">
            <v>0</v>
          </cell>
          <cell r="N34">
            <v>1</v>
          </cell>
          <cell r="O34">
            <v>1</v>
          </cell>
          <cell r="P34" t="str">
            <v>0</v>
          </cell>
          <cell r="Q34" t="str">
            <v>0</v>
          </cell>
          <cell r="R34" t="str">
            <v>0</v>
          </cell>
          <cell r="S34" t="str">
            <v>0</v>
          </cell>
          <cell r="T34">
            <v>197</v>
          </cell>
          <cell r="U34">
            <v>26138</v>
          </cell>
          <cell r="V34">
            <v>4604</v>
          </cell>
          <cell r="W34">
            <v>20897</v>
          </cell>
          <cell r="X34" t="str">
            <v>0</v>
          </cell>
          <cell r="Y34">
            <v>1025</v>
          </cell>
          <cell r="Z34" t="str">
            <v>0</v>
          </cell>
          <cell r="AA34" t="str">
            <v>0</v>
          </cell>
          <cell r="AB34">
            <v>7350</v>
          </cell>
          <cell r="AC34">
            <v>3735</v>
          </cell>
          <cell r="AD34" t="str">
            <v>0</v>
          </cell>
          <cell r="AE34" t="str">
            <v>0</v>
          </cell>
        </row>
        <row r="35">
          <cell r="D35" t="str">
            <v>28-Jan</v>
          </cell>
          <cell r="E35" t="str">
            <v>0</v>
          </cell>
          <cell r="F35">
            <v>2</v>
          </cell>
          <cell r="G35">
            <v>19</v>
          </cell>
          <cell r="H35">
            <v>8</v>
          </cell>
          <cell r="I35">
            <v>15</v>
          </cell>
          <cell r="J35" t="str">
            <v>0</v>
          </cell>
          <cell r="K35">
            <v>6</v>
          </cell>
          <cell r="L35" t="str">
            <v>0</v>
          </cell>
          <cell r="M35" t="str">
            <v>0</v>
          </cell>
          <cell r="N35" t="str">
            <v>0</v>
          </cell>
          <cell r="O35">
            <v>1</v>
          </cell>
          <cell r="P35" t="str">
            <v>0</v>
          </cell>
          <cell r="Q35" t="str">
            <v>0</v>
          </cell>
          <cell r="R35" t="str">
            <v>0</v>
          </cell>
          <cell r="S35" t="str">
            <v>0</v>
          </cell>
          <cell r="T35">
            <v>2564</v>
          </cell>
          <cell r="U35">
            <v>122027</v>
          </cell>
          <cell r="V35">
            <v>17653</v>
          </cell>
          <cell r="W35">
            <v>22918</v>
          </cell>
          <cell r="X35" t="str">
            <v>0</v>
          </cell>
          <cell r="Y35">
            <v>14391</v>
          </cell>
          <cell r="Z35" t="str">
            <v>0</v>
          </cell>
          <cell r="AA35" t="str">
            <v>0</v>
          </cell>
          <cell r="AB35" t="str">
            <v>0</v>
          </cell>
          <cell r="AC35">
            <v>7500</v>
          </cell>
          <cell r="AD35" t="str">
            <v>0</v>
          </cell>
          <cell r="AE35" t="str">
            <v>0</v>
          </cell>
        </row>
        <row r="36">
          <cell r="D36" t="str">
            <v>29-Jan</v>
          </cell>
          <cell r="E36" t="str">
            <v>0</v>
          </cell>
          <cell r="F36" t="str">
            <v>0</v>
          </cell>
          <cell r="G36">
            <v>10</v>
          </cell>
          <cell r="H36">
            <v>4</v>
          </cell>
          <cell r="I36">
            <v>9</v>
          </cell>
          <cell r="J36" t="str">
            <v>0</v>
          </cell>
          <cell r="K36">
            <v>1</v>
          </cell>
          <cell r="L36" t="str">
            <v>0</v>
          </cell>
          <cell r="M36" t="str">
            <v>0</v>
          </cell>
          <cell r="N36" t="str">
            <v>0</v>
          </cell>
          <cell r="O36">
            <v>3</v>
          </cell>
          <cell r="P36" t="str">
            <v>0</v>
          </cell>
          <cell r="Q36" t="str">
            <v>0</v>
          </cell>
          <cell r="R36" t="str">
            <v>0</v>
          </cell>
          <cell r="S36" t="str">
            <v>0</v>
          </cell>
          <cell r="T36" t="str">
            <v>0</v>
          </cell>
          <cell r="U36">
            <v>21388</v>
          </cell>
          <cell r="V36">
            <v>7605</v>
          </cell>
          <cell r="W36">
            <v>39677</v>
          </cell>
          <cell r="X36" t="str">
            <v>0</v>
          </cell>
          <cell r="Y36">
            <v>1064</v>
          </cell>
          <cell r="Z36" t="str">
            <v>0</v>
          </cell>
          <cell r="AA36" t="str">
            <v>0</v>
          </cell>
          <cell r="AB36" t="str">
            <v>0</v>
          </cell>
          <cell r="AC36">
            <v>3315</v>
          </cell>
          <cell r="AD36" t="str">
            <v>0</v>
          </cell>
          <cell r="AE36" t="str">
            <v>0</v>
          </cell>
        </row>
        <row r="37">
          <cell r="D37" t="str">
            <v>30-Jan</v>
          </cell>
          <cell r="E37" t="str">
            <v>0</v>
          </cell>
          <cell r="F37">
            <v>14</v>
          </cell>
          <cell r="G37">
            <v>9</v>
          </cell>
          <cell r="H37">
            <v>5</v>
          </cell>
          <cell r="I37">
            <v>20</v>
          </cell>
          <cell r="J37" t="str">
            <v>0</v>
          </cell>
          <cell r="K37">
            <v>1</v>
          </cell>
          <cell r="L37" t="str">
            <v>0</v>
          </cell>
          <cell r="M37" t="str">
            <v>0</v>
          </cell>
          <cell r="N37" t="str">
            <v>0</v>
          </cell>
          <cell r="O37" t="str">
            <v>0</v>
          </cell>
          <cell r="P37" t="str">
            <v>0</v>
          </cell>
          <cell r="Q37" t="str">
            <v>0</v>
          </cell>
          <cell r="R37" t="str">
            <v>0</v>
          </cell>
          <cell r="S37" t="str">
            <v>0</v>
          </cell>
          <cell r="T37">
            <v>15070</v>
          </cell>
          <cell r="U37">
            <v>12558</v>
          </cell>
          <cell r="V37">
            <v>14061</v>
          </cell>
          <cell r="W37">
            <v>23205</v>
          </cell>
          <cell r="X37" t="str">
            <v>0</v>
          </cell>
          <cell r="Y37">
            <v>3525</v>
          </cell>
          <cell r="Z37" t="str">
            <v>0</v>
          </cell>
          <cell r="AA37" t="str">
            <v>0</v>
          </cell>
          <cell r="AB37" t="str">
            <v>0</v>
          </cell>
          <cell r="AC37" t="str">
            <v>0</v>
          </cell>
          <cell r="AD37" t="str">
            <v>0</v>
          </cell>
          <cell r="AE37" t="str">
            <v>0</v>
          </cell>
        </row>
        <row r="38">
          <cell r="D38" t="str">
            <v>31-Jan</v>
          </cell>
          <cell r="E38" t="str">
            <v>0</v>
          </cell>
          <cell r="F38">
            <v>4</v>
          </cell>
          <cell r="G38">
            <v>12</v>
          </cell>
          <cell r="H38">
            <v>3</v>
          </cell>
          <cell r="I38">
            <v>24</v>
          </cell>
          <cell r="J38">
            <v>1</v>
          </cell>
          <cell r="K38" t="str">
            <v>0</v>
          </cell>
          <cell r="L38" t="str">
            <v>0</v>
          </cell>
          <cell r="M38" t="str">
            <v>0</v>
          </cell>
          <cell r="N38" t="str">
            <v>0</v>
          </cell>
          <cell r="O38">
            <v>5</v>
          </cell>
          <cell r="P38" t="str">
            <v>0</v>
          </cell>
          <cell r="Q38" t="str">
            <v>0</v>
          </cell>
          <cell r="R38" t="str">
            <v>0</v>
          </cell>
          <cell r="S38" t="str">
            <v>0</v>
          </cell>
          <cell r="T38">
            <v>5599</v>
          </cell>
          <cell r="U38">
            <v>25264</v>
          </cell>
          <cell r="V38">
            <v>5072</v>
          </cell>
          <cell r="W38">
            <v>32104</v>
          </cell>
          <cell r="X38">
            <v>1820</v>
          </cell>
          <cell r="Y38" t="str">
            <v>0</v>
          </cell>
          <cell r="Z38" t="str">
            <v>0</v>
          </cell>
          <cell r="AA38" t="str">
            <v>0</v>
          </cell>
          <cell r="AB38" t="str">
            <v>0</v>
          </cell>
          <cell r="AC38">
            <v>4413</v>
          </cell>
          <cell r="AD38" t="str">
            <v>0</v>
          </cell>
          <cell r="AE38" t="str">
            <v>0</v>
          </cell>
        </row>
        <row r="39">
          <cell r="D39" t="str">
            <v>01-Feb</v>
          </cell>
          <cell r="E39" t="str">
            <v>0</v>
          </cell>
          <cell r="F39">
            <v>2</v>
          </cell>
          <cell r="G39">
            <v>15</v>
          </cell>
          <cell r="H39">
            <v>4</v>
          </cell>
          <cell r="I39">
            <v>14</v>
          </cell>
          <cell r="J39" t="str">
            <v>0</v>
          </cell>
          <cell r="K39">
            <v>1</v>
          </cell>
          <cell r="L39" t="str">
            <v>0</v>
          </cell>
          <cell r="M39" t="str">
            <v>0</v>
          </cell>
          <cell r="N39" t="str">
            <v>0</v>
          </cell>
          <cell r="O39" t="str">
            <v>0</v>
          </cell>
          <cell r="P39" t="str">
            <v>0</v>
          </cell>
          <cell r="Q39" t="str">
            <v>0</v>
          </cell>
          <cell r="R39" t="str">
            <v>0</v>
          </cell>
          <cell r="S39" t="str">
            <v>0</v>
          </cell>
          <cell r="T39">
            <v>1572</v>
          </cell>
          <cell r="U39">
            <v>38722</v>
          </cell>
          <cell r="V39">
            <v>7210</v>
          </cell>
          <cell r="W39">
            <v>16276</v>
          </cell>
          <cell r="X39" t="str">
            <v>0</v>
          </cell>
          <cell r="Y39">
            <v>1877</v>
          </cell>
          <cell r="Z39" t="str">
            <v>0</v>
          </cell>
          <cell r="AA39" t="str">
            <v>0</v>
          </cell>
          <cell r="AB39" t="str">
            <v>0</v>
          </cell>
          <cell r="AC39" t="str">
            <v>0</v>
          </cell>
          <cell r="AD39" t="str">
            <v>0</v>
          </cell>
          <cell r="AE39" t="str">
            <v>0</v>
          </cell>
        </row>
        <row r="40">
          <cell r="D40" t="str">
            <v>02-Feb</v>
          </cell>
          <cell r="E40" t="str">
            <v>0</v>
          </cell>
          <cell r="F40">
            <v>7</v>
          </cell>
          <cell r="G40">
            <v>18</v>
          </cell>
          <cell r="H40">
            <v>1</v>
          </cell>
          <cell r="I40">
            <v>9</v>
          </cell>
          <cell r="J40">
            <v>2</v>
          </cell>
          <cell r="K40">
            <v>8</v>
          </cell>
          <cell r="L40" t="str">
            <v>0</v>
          </cell>
          <cell r="M40" t="str">
            <v>0</v>
          </cell>
          <cell r="N40" t="str">
            <v>0</v>
          </cell>
          <cell r="O40">
            <v>1</v>
          </cell>
          <cell r="P40" t="str">
            <v>0</v>
          </cell>
          <cell r="Q40">
            <v>1</v>
          </cell>
          <cell r="R40" t="str">
            <v>0</v>
          </cell>
          <cell r="S40" t="str">
            <v>0</v>
          </cell>
          <cell r="T40">
            <v>7400</v>
          </cell>
          <cell r="U40">
            <v>41225</v>
          </cell>
          <cell r="V40">
            <v>1184</v>
          </cell>
          <cell r="W40">
            <v>14460</v>
          </cell>
          <cell r="X40">
            <v>1396</v>
          </cell>
          <cell r="Y40">
            <v>13347</v>
          </cell>
          <cell r="Z40" t="str">
            <v>0</v>
          </cell>
          <cell r="AA40" t="str">
            <v>0</v>
          </cell>
          <cell r="AB40" t="str">
            <v>0</v>
          </cell>
          <cell r="AC40">
            <v>7268</v>
          </cell>
          <cell r="AD40" t="str">
            <v>0</v>
          </cell>
          <cell r="AE40">
            <v>861</v>
          </cell>
        </row>
        <row r="41">
          <cell r="D41" t="str">
            <v>03-Feb</v>
          </cell>
          <cell r="E41" t="str">
            <v>0</v>
          </cell>
          <cell r="F41">
            <v>1</v>
          </cell>
          <cell r="G41">
            <v>10</v>
          </cell>
          <cell r="H41">
            <v>1</v>
          </cell>
          <cell r="I41">
            <v>7</v>
          </cell>
          <cell r="J41">
            <v>1</v>
          </cell>
          <cell r="K41">
            <v>2</v>
          </cell>
          <cell r="L41" t="str">
            <v>0</v>
          </cell>
          <cell r="M41" t="str">
            <v>0</v>
          </cell>
          <cell r="N41" t="str">
            <v>0</v>
          </cell>
          <cell r="O41">
            <v>2</v>
          </cell>
          <cell r="P41" t="str">
            <v>0</v>
          </cell>
          <cell r="Q41" t="str">
            <v>0</v>
          </cell>
          <cell r="R41" t="str">
            <v>0</v>
          </cell>
          <cell r="S41" t="str">
            <v>0</v>
          </cell>
          <cell r="T41">
            <v>5060</v>
          </cell>
          <cell r="U41">
            <v>32865</v>
          </cell>
          <cell r="V41">
            <v>760</v>
          </cell>
          <cell r="W41">
            <v>10656</v>
          </cell>
          <cell r="X41">
            <v>2126</v>
          </cell>
          <cell r="Y41">
            <v>4017</v>
          </cell>
          <cell r="Z41" t="str">
            <v>0</v>
          </cell>
          <cell r="AA41" t="str">
            <v>0</v>
          </cell>
          <cell r="AB41" t="str">
            <v>0</v>
          </cell>
          <cell r="AC41">
            <v>4800</v>
          </cell>
          <cell r="AD41" t="str">
            <v>0</v>
          </cell>
          <cell r="AE41" t="str">
            <v>0</v>
          </cell>
        </row>
        <row r="42">
          <cell r="D42" t="str">
            <v>04-Feb</v>
          </cell>
          <cell r="E42" t="str">
            <v>0</v>
          </cell>
          <cell r="F42">
            <v>2</v>
          </cell>
          <cell r="G42">
            <v>21</v>
          </cell>
          <cell r="H42">
            <v>7</v>
          </cell>
          <cell r="I42">
            <v>13</v>
          </cell>
          <cell r="J42" t="str">
            <v>0</v>
          </cell>
          <cell r="K42">
            <v>2</v>
          </cell>
          <cell r="L42" t="str">
            <v>0</v>
          </cell>
          <cell r="M42" t="str">
            <v>0</v>
          </cell>
          <cell r="N42" t="str">
            <v>0</v>
          </cell>
          <cell r="O42">
            <v>1</v>
          </cell>
          <cell r="P42" t="str">
            <v>0</v>
          </cell>
          <cell r="Q42" t="str">
            <v>0</v>
          </cell>
          <cell r="R42" t="str">
            <v>0</v>
          </cell>
          <cell r="S42" t="str">
            <v>0</v>
          </cell>
          <cell r="T42">
            <v>4101</v>
          </cell>
          <cell r="U42">
            <v>84452</v>
          </cell>
          <cell r="V42">
            <v>13032</v>
          </cell>
          <cell r="W42">
            <v>14586</v>
          </cell>
          <cell r="X42" t="str">
            <v>0</v>
          </cell>
          <cell r="Y42">
            <v>4266</v>
          </cell>
          <cell r="Z42" t="str">
            <v>0</v>
          </cell>
          <cell r="AA42" t="str">
            <v>0</v>
          </cell>
          <cell r="AB42" t="str">
            <v>0</v>
          </cell>
          <cell r="AC42">
            <v>912</v>
          </cell>
          <cell r="AD42" t="str">
            <v>0</v>
          </cell>
          <cell r="AE42" t="str">
            <v>0</v>
          </cell>
        </row>
        <row r="43">
          <cell r="D43" t="str">
            <v>05-Feb</v>
          </cell>
          <cell r="E43" t="str">
            <v>0</v>
          </cell>
          <cell r="F43">
            <v>7</v>
          </cell>
          <cell r="G43">
            <v>17</v>
          </cell>
          <cell r="H43">
            <v>3</v>
          </cell>
          <cell r="I43">
            <v>4</v>
          </cell>
          <cell r="J43" t="str">
            <v>0</v>
          </cell>
          <cell r="K43">
            <v>3</v>
          </cell>
          <cell r="L43" t="str">
            <v>0</v>
          </cell>
          <cell r="M43" t="str">
            <v>0</v>
          </cell>
          <cell r="N43" t="str">
            <v>0</v>
          </cell>
          <cell r="O43" t="str">
            <v>0</v>
          </cell>
          <cell r="P43" t="str">
            <v>0</v>
          </cell>
          <cell r="Q43" t="str">
            <v>0</v>
          </cell>
          <cell r="R43" t="str">
            <v>0</v>
          </cell>
          <cell r="S43" t="str">
            <v>0</v>
          </cell>
          <cell r="T43">
            <v>15187</v>
          </cell>
          <cell r="U43">
            <v>37090</v>
          </cell>
          <cell r="V43">
            <v>14814</v>
          </cell>
          <cell r="W43">
            <v>7338</v>
          </cell>
          <cell r="X43" t="str">
            <v>0</v>
          </cell>
          <cell r="Y43">
            <v>7361</v>
          </cell>
          <cell r="Z43" t="str">
            <v>0</v>
          </cell>
          <cell r="AA43" t="str">
            <v>0</v>
          </cell>
          <cell r="AB43" t="str">
            <v>0</v>
          </cell>
          <cell r="AC43" t="str">
            <v>0</v>
          </cell>
          <cell r="AD43" t="str">
            <v>0</v>
          </cell>
          <cell r="AE43" t="str">
            <v>0</v>
          </cell>
        </row>
        <row r="44">
          <cell r="D44" t="str">
            <v>06-Feb</v>
          </cell>
          <cell r="E44" t="str">
            <v>0</v>
          </cell>
          <cell r="F44">
            <v>2</v>
          </cell>
          <cell r="G44">
            <v>9</v>
          </cell>
          <cell r="H44" t="str">
            <v>0</v>
          </cell>
          <cell r="I44">
            <v>6</v>
          </cell>
          <cell r="J44" t="str">
            <v>0</v>
          </cell>
          <cell r="K44" t="str">
            <v>0</v>
          </cell>
          <cell r="L44" t="str">
            <v>0</v>
          </cell>
          <cell r="M44" t="str">
            <v>0</v>
          </cell>
          <cell r="N44" t="str">
            <v>0</v>
          </cell>
          <cell r="O44">
            <v>4</v>
          </cell>
          <cell r="P44" t="str">
            <v>0</v>
          </cell>
          <cell r="Q44" t="str">
            <v>0</v>
          </cell>
          <cell r="R44" t="str">
            <v>0</v>
          </cell>
          <cell r="S44" t="str">
            <v>0</v>
          </cell>
          <cell r="T44">
            <v>3331</v>
          </cell>
          <cell r="U44">
            <v>13466</v>
          </cell>
          <cell r="V44" t="str">
            <v>0</v>
          </cell>
          <cell r="W44">
            <v>9087</v>
          </cell>
          <cell r="X44" t="str">
            <v>0</v>
          </cell>
          <cell r="Y44" t="str">
            <v>0</v>
          </cell>
          <cell r="Z44" t="str">
            <v>0</v>
          </cell>
          <cell r="AA44" t="str">
            <v>0</v>
          </cell>
          <cell r="AB44" t="str">
            <v>0</v>
          </cell>
          <cell r="AC44">
            <v>6046</v>
          </cell>
          <cell r="AD44" t="str">
            <v>0</v>
          </cell>
          <cell r="AE44" t="str">
            <v>0</v>
          </cell>
        </row>
        <row r="45">
          <cell r="D45" t="str">
            <v>07-Feb</v>
          </cell>
          <cell r="E45" t="str">
            <v>0</v>
          </cell>
          <cell r="F45">
            <v>5</v>
          </cell>
          <cell r="G45">
            <v>11</v>
          </cell>
          <cell r="H45">
            <v>4</v>
          </cell>
          <cell r="I45">
            <v>6</v>
          </cell>
          <cell r="J45">
            <v>1</v>
          </cell>
          <cell r="K45" t="str">
            <v>0</v>
          </cell>
          <cell r="L45" t="str">
            <v>0</v>
          </cell>
          <cell r="M45" t="str">
            <v>0</v>
          </cell>
          <cell r="N45" t="str">
            <v>0</v>
          </cell>
          <cell r="O45" t="str">
            <v>0</v>
          </cell>
          <cell r="P45" t="str">
            <v>0</v>
          </cell>
          <cell r="Q45" t="str">
            <v>0</v>
          </cell>
          <cell r="R45" t="str">
            <v>0</v>
          </cell>
          <cell r="S45" t="str">
            <v>0</v>
          </cell>
          <cell r="T45">
            <v>3901</v>
          </cell>
          <cell r="U45">
            <v>54057</v>
          </cell>
          <cell r="V45">
            <v>36046</v>
          </cell>
          <cell r="W45">
            <v>27667</v>
          </cell>
          <cell r="X45">
            <v>419</v>
          </cell>
          <cell r="Y45" t="str">
            <v>0</v>
          </cell>
          <cell r="Z45" t="str">
            <v>0</v>
          </cell>
          <cell r="AA45" t="str">
            <v>0</v>
          </cell>
          <cell r="AB45" t="str">
            <v>0</v>
          </cell>
          <cell r="AC45" t="str">
            <v>0</v>
          </cell>
          <cell r="AD45" t="str">
            <v>0</v>
          </cell>
          <cell r="AE45" t="str">
            <v>0</v>
          </cell>
        </row>
        <row r="46">
          <cell r="D46" t="str">
            <v>08-Feb</v>
          </cell>
          <cell r="E46" t="str">
            <v>0</v>
          </cell>
          <cell r="F46">
            <v>1</v>
          </cell>
          <cell r="G46">
            <v>17</v>
          </cell>
          <cell r="H46">
            <v>3</v>
          </cell>
          <cell r="I46">
            <v>3</v>
          </cell>
          <cell r="J46" t="str">
            <v>0</v>
          </cell>
          <cell r="K46">
            <v>6</v>
          </cell>
          <cell r="L46" t="str">
            <v>0</v>
          </cell>
          <cell r="M46" t="str">
            <v>0</v>
          </cell>
          <cell r="N46" t="str">
            <v>0</v>
          </cell>
          <cell r="O46">
            <v>2</v>
          </cell>
          <cell r="P46" t="str">
            <v>0</v>
          </cell>
          <cell r="Q46" t="str">
            <v>0</v>
          </cell>
          <cell r="R46" t="str">
            <v>0</v>
          </cell>
          <cell r="S46" t="str">
            <v>0</v>
          </cell>
          <cell r="T46">
            <v>1436</v>
          </cell>
          <cell r="U46">
            <v>28749</v>
          </cell>
          <cell r="V46">
            <v>4977</v>
          </cell>
          <cell r="W46">
            <v>3511</v>
          </cell>
          <cell r="X46" t="str">
            <v>0</v>
          </cell>
          <cell r="Y46">
            <v>10226</v>
          </cell>
          <cell r="Z46" t="str">
            <v>0</v>
          </cell>
          <cell r="AA46" t="str">
            <v>0</v>
          </cell>
          <cell r="AB46" t="str">
            <v>0</v>
          </cell>
          <cell r="AC46">
            <v>2403</v>
          </cell>
          <cell r="AD46" t="str">
            <v>0</v>
          </cell>
          <cell r="AE46" t="str">
            <v>0</v>
          </cell>
        </row>
        <row r="47">
          <cell r="D47" t="str">
            <v>09-Feb</v>
          </cell>
          <cell r="E47" t="str">
            <v>0</v>
          </cell>
          <cell r="F47">
            <v>18</v>
          </cell>
          <cell r="G47">
            <v>11</v>
          </cell>
          <cell r="H47">
            <v>8</v>
          </cell>
          <cell r="I47">
            <v>4</v>
          </cell>
          <cell r="J47" t="str">
            <v>0</v>
          </cell>
          <cell r="K47">
            <v>1</v>
          </cell>
          <cell r="L47" t="str">
            <v>0</v>
          </cell>
          <cell r="M47" t="str">
            <v>0</v>
          </cell>
          <cell r="N47" t="str">
            <v>0</v>
          </cell>
          <cell r="O47">
            <v>1</v>
          </cell>
          <cell r="P47" t="str">
            <v>0</v>
          </cell>
          <cell r="Q47">
            <v>1</v>
          </cell>
          <cell r="R47" t="str">
            <v>0</v>
          </cell>
          <cell r="S47" t="str">
            <v>0</v>
          </cell>
          <cell r="T47">
            <v>9547</v>
          </cell>
          <cell r="U47">
            <v>16630</v>
          </cell>
          <cell r="V47">
            <v>15305</v>
          </cell>
          <cell r="W47">
            <v>4077</v>
          </cell>
          <cell r="X47" t="str">
            <v>0</v>
          </cell>
          <cell r="Y47">
            <v>1500</v>
          </cell>
          <cell r="Z47" t="str">
            <v>0</v>
          </cell>
          <cell r="AA47" t="str">
            <v>0</v>
          </cell>
          <cell r="AB47" t="str">
            <v>0</v>
          </cell>
          <cell r="AC47">
            <v>1292</v>
          </cell>
          <cell r="AD47" t="str">
            <v>0</v>
          </cell>
          <cell r="AE47">
            <v>1140</v>
          </cell>
        </row>
        <row r="48">
          <cell r="D48" t="str">
            <v>10-Feb</v>
          </cell>
          <cell r="E48" t="str">
            <v>0</v>
          </cell>
          <cell r="F48">
            <v>5</v>
          </cell>
          <cell r="G48">
            <v>18</v>
          </cell>
          <cell r="H48">
            <v>5</v>
          </cell>
          <cell r="I48">
            <v>5</v>
          </cell>
          <cell r="J48">
            <v>2</v>
          </cell>
          <cell r="K48">
            <v>1</v>
          </cell>
          <cell r="L48" t="str">
            <v>0</v>
          </cell>
          <cell r="M48" t="str">
            <v>0</v>
          </cell>
          <cell r="N48" t="str">
            <v>0</v>
          </cell>
          <cell r="O48">
            <v>5</v>
          </cell>
          <cell r="P48" t="str">
            <v>0</v>
          </cell>
          <cell r="Q48" t="str">
            <v>0</v>
          </cell>
          <cell r="R48" t="str">
            <v>0</v>
          </cell>
          <cell r="S48" t="str">
            <v>0</v>
          </cell>
          <cell r="T48">
            <v>8811</v>
          </cell>
          <cell r="U48">
            <v>88222</v>
          </cell>
          <cell r="V48">
            <v>12201</v>
          </cell>
          <cell r="W48">
            <v>12173</v>
          </cell>
          <cell r="X48">
            <v>8604</v>
          </cell>
          <cell r="Y48">
            <v>630</v>
          </cell>
          <cell r="Z48" t="str">
            <v>0</v>
          </cell>
          <cell r="AA48" t="str">
            <v>0</v>
          </cell>
          <cell r="AB48" t="str">
            <v>0</v>
          </cell>
          <cell r="AC48">
            <v>13243</v>
          </cell>
          <cell r="AD48" t="str">
            <v>0</v>
          </cell>
          <cell r="AE48" t="str">
            <v>0</v>
          </cell>
        </row>
        <row r="49">
          <cell r="D49" t="str">
            <v>11-Feb</v>
          </cell>
          <cell r="E49" t="str">
            <v>0</v>
          </cell>
          <cell r="F49" t="str">
            <v>0</v>
          </cell>
          <cell r="G49">
            <v>18</v>
          </cell>
          <cell r="H49">
            <v>2</v>
          </cell>
          <cell r="I49">
            <v>7</v>
          </cell>
          <cell r="J49" t="str">
            <v>0</v>
          </cell>
          <cell r="K49">
            <v>2</v>
          </cell>
          <cell r="L49" t="str">
            <v>0</v>
          </cell>
          <cell r="M49" t="str">
            <v>0</v>
          </cell>
          <cell r="N49" t="str">
            <v>0</v>
          </cell>
          <cell r="O49">
            <v>1</v>
          </cell>
          <cell r="P49" t="str">
            <v>0</v>
          </cell>
          <cell r="Q49" t="str">
            <v>0</v>
          </cell>
          <cell r="R49" t="str">
            <v>0</v>
          </cell>
          <cell r="S49" t="str">
            <v>0</v>
          </cell>
          <cell r="T49" t="str">
            <v>0</v>
          </cell>
          <cell r="U49">
            <v>71356</v>
          </cell>
          <cell r="V49">
            <v>5240</v>
          </cell>
          <cell r="W49">
            <v>12915</v>
          </cell>
          <cell r="X49" t="str">
            <v>0</v>
          </cell>
          <cell r="Y49">
            <v>2223</v>
          </cell>
          <cell r="Z49" t="str">
            <v>0</v>
          </cell>
          <cell r="AA49" t="str">
            <v>0</v>
          </cell>
          <cell r="AB49" t="str">
            <v>0</v>
          </cell>
          <cell r="AC49">
            <v>2052</v>
          </cell>
          <cell r="AD49" t="str">
            <v>0</v>
          </cell>
          <cell r="AE49" t="str">
            <v>0</v>
          </cell>
        </row>
        <row r="50">
          <cell r="D50" t="str">
            <v>12-Feb</v>
          </cell>
          <cell r="E50" t="str">
            <v>0</v>
          </cell>
          <cell r="F50" t="str">
            <v>0</v>
          </cell>
          <cell r="G50" t="str">
            <v>0</v>
          </cell>
          <cell r="H50" t="str">
            <v>0</v>
          </cell>
          <cell r="I50" t="str">
            <v>0</v>
          </cell>
          <cell r="J50" t="str">
            <v>0</v>
          </cell>
          <cell r="K50" t="str">
            <v>0</v>
          </cell>
          <cell r="L50" t="str">
            <v>0</v>
          </cell>
          <cell r="M50" t="str">
            <v>0</v>
          </cell>
          <cell r="N50" t="str">
            <v>0</v>
          </cell>
          <cell r="O50" t="str">
            <v>0</v>
          </cell>
          <cell r="P50" t="str">
            <v>0</v>
          </cell>
          <cell r="Q50" t="str">
            <v>0</v>
          </cell>
          <cell r="R50" t="str">
            <v>0</v>
          </cell>
          <cell r="S50" t="str">
            <v>0</v>
          </cell>
          <cell r="T50" t="str">
            <v>0</v>
          </cell>
          <cell r="U50" t="str">
            <v>0</v>
          </cell>
          <cell r="V50" t="str">
            <v>0</v>
          </cell>
          <cell r="W50" t="str">
            <v>0</v>
          </cell>
          <cell r="X50" t="str">
            <v>0</v>
          </cell>
          <cell r="Y50" t="str">
            <v>0</v>
          </cell>
          <cell r="Z50" t="str">
            <v>0</v>
          </cell>
          <cell r="AA50" t="str">
            <v>0</v>
          </cell>
          <cell r="AB50" t="str">
            <v>0</v>
          </cell>
          <cell r="AC50" t="str">
            <v>0</v>
          </cell>
          <cell r="AD50" t="str">
            <v>0</v>
          </cell>
          <cell r="AE50" t="str">
            <v>0</v>
          </cell>
        </row>
        <row r="51">
          <cell r="D51" t="str">
            <v>13-Feb</v>
          </cell>
          <cell r="E51" t="str">
            <v>0</v>
          </cell>
          <cell r="F51" t="str">
            <v>0</v>
          </cell>
          <cell r="G51" t="str">
            <v>0</v>
          </cell>
          <cell r="H51" t="str">
            <v>0</v>
          </cell>
          <cell r="I51" t="str">
            <v>0</v>
          </cell>
          <cell r="J51" t="str">
            <v>0</v>
          </cell>
          <cell r="K51" t="str">
            <v>0</v>
          </cell>
          <cell r="L51" t="str">
            <v>0</v>
          </cell>
          <cell r="M51" t="str">
            <v>0</v>
          </cell>
          <cell r="N51" t="str">
            <v>0</v>
          </cell>
          <cell r="O51" t="str">
            <v>0</v>
          </cell>
          <cell r="P51" t="str">
            <v>0</v>
          </cell>
          <cell r="Q51" t="str">
            <v>0</v>
          </cell>
          <cell r="R51" t="str">
            <v>0</v>
          </cell>
          <cell r="S51" t="str">
            <v>0</v>
          </cell>
          <cell r="T51" t="str">
            <v>0</v>
          </cell>
          <cell r="U51" t="str">
            <v>0</v>
          </cell>
          <cell r="V51" t="str">
            <v>0</v>
          </cell>
          <cell r="W51" t="str">
            <v>0</v>
          </cell>
          <cell r="X51" t="str">
            <v>0</v>
          </cell>
          <cell r="Y51" t="str">
            <v>0</v>
          </cell>
          <cell r="Z51" t="str">
            <v>0</v>
          </cell>
          <cell r="AA51" t="str">
            <v>0</v>
          </cell>
          <cell r="AB51" t="str">
            <v>0</v>
          </cell>
          <cell r="AC51" t="str">
            <v>0</v>
          </cell>
          <cell r="AD51" t="str">
            <v>0</v>
          </cell>
          <cell r="AE51" t="str">
            <v>0</v>
          </cell>
        </row>
        <row r="52">
          <cell r="D52" t="str">
            <v>14-Feb</v>
          </cell>
          <cell r="E52" t="str">
            <v>0</v>
          </cell>
          <cell r="F52" t="str">
            <v>0</v>
          </cell>
          <cell r="G52" t="str">
            <v>0</v>
          </cell>
          <cell r="H52" t="str">
            <v>0</v>
          </cell>
          <cell r="I52" t="str">
            <v>0</v>
          </cell>
          <cell r="J52" t="str">
            <v>0</v>
          </cell>
          <cell r="K52" t="str">
            <v>0</v>
          </cell>
          <cell r="L52" t="str">
            <v>0</v>
          </cell>
          <cell r="M52" t="str">
            <v>0</v>
          </cell>
          <cell r="N52" t="str">
            <v>0</v>
          </cell>
          <cell r="O52" t="str">
            <v>0</v>
          </cell>
          <cell r="P52" t="str">
            <v>0</v>
          </cell>
          <cell r="Q52" t="str">
            <v>0</v>
          </cell>
          <cell r="R52" t="str">
            <v>0</v>
          </cell>
          <cell r="S52" t="str">
            <v>0</v>
          </cell>
          <cell r="T52" t="str">
            <v>0</v>
          </cell>
          <cell r="U52" t="str">
            <v>0</v>
          </cell>
          <cell r="V52" t="str">
            <v>0</v>
          </cell>
          <cell r="W52" t="str">
            <v>0</v>
          </cell>
          <cell r="X52" t="str">
            <v>0</v>
          </cell>
          <cell r="Y52" t="str">
            <v>0</v>
          </cell>
          <cell r="Z52" t="str">
            <v>0</v>
          </cell>
          <cell r="AA52" t="str">
            <v>0</v>
          </cell>
          <cell r="AB52" t="str">
            <v>0</v>
          </cell>
          <cell r="AC52" t="str">
            <v>0</v>
          </cell>
          <cell r="AD52" t="str">
            <v>0</v>
          </cell>
          <cell r="AE52" t="str">
            <v>0</v>
          </cell>
        </row>
        <row r="53">
          <cell r="D53" t="str">
            <v>15-Feb</v>
          </cell>
          <cell r="E53" t="str">
            <v>0</v>
          </cell>
          <cell r="F53" t="str">
            <v>0</v>
          </cell>
          <cell r="G53" t="str">
            <v>0</v>
          </cell>
          <cell r="H53" t="str">
            <v>0</v>
          </cell>
          <cell r="I53" t="str">
            <v>0</v>
          </cell>
          <cell r="J53" t="str">
            <v>0</v>
          </cell>
          <cell r="K53" t="str">
            <v>0</v>
          </cell>
          <cell r="L53" t="str">
            <v>0</v>
          </cell>
          <cell r="M53" t="str">
            <v>0</v>
          </cell>
          <cell r="N53" t="str">
            <v>0</v>
          </cell>
          <cell r="O53" t="str">
            <v>0</v>
          </cell>
          <cell r="P53" t="str">
            <v>0</v>
          </cell>
          <cell r="Q53" t="str">
            <v>0</v>
          </cell>
          <cell r="R53" t="str">
            <v>0</v>
          </cell>
          <cell r="S53" t="str">
            <v>0</v>
          </cell>
          <cell r="T53" t="str">
            <v>0</v>
          </cell>
          <cell r="U53" t="str">
            <v>0</v>
          </cell>
          <cell r="V53" t="str">
            <v>0</v>
          </cell>
          <cell r="W53" t="str">
            <v>0</v>
          </cell>
          <cell r="X53" t="str">
            <v>0</v>
          </cell>
          <cell r="Y53" t="str">
            <v>0</v>
          </cell>
          <cell r="Z53" t="str">
            <v>0</v>
          </cell>
          <cell r="AA53" t="str">
            <v>0</v>
          </cell>
          <cell r="AB53" t="str">
            <v>0</v>
          </cell>
          <cell r="AC53" t="str">
            <v>0</v>
          </cell>
          <cell r="AD53" t="str">
            <v>0</v>
          </cell>
          <cell r="AE53" t="str">
            <v>0</v>
          </cell>
        </row>
        <row r="54">
          <cell r="D54" t="str">
            <v>16-Feb</v>
          </cell>
          <cell r="E54" t="str">
            <v>0</v>
          </cell>
          <cell r="F54" t="str">
            <v>0</v>
          </cell>
          <cell r="G54" t="str">
            <v>0</v>
          </cell>
          <cell r="H54" t="str">
            <v>0</v>
          </cell>
          <cell r="I54" t="str">
            <v>0</v>
          </cell>
          <cell r="J54" t="str">
            <v>0</v>
          </cell>
          <cell r="K54" t="str">
            <v>0</v>
          </cell>
          <cell r="L54" t="str">
            <v>0</v>
          </cell>
          <cell r="M54" t="str">
            <v>0</v>
          </cell>
          <cell r="N54" t="str">
            <v>0</v>
          </cell>
          <cell r="O54" t="str">
            <v>0</v>
          </cell>
          <cell r="P54" t="str">
            <v>0</v>
          </cell>
          <cell r="Q54" t="str">
            <v>0</v>
          </cell>
          <cell r="R54" t="str">
            <v>0</v>
          </cell>
          <cell r="S54" t="str">
            <v>0</v>
          </cell>
          <cell r="T54" t="str">
            <v>0</v>
          </cell>
          <cell r="U54" t="str">
            <v>0</v>
          </cell>
          <cell r="V54" t="str">
            <v>0</v>
          </cell>
          <cell r="W54" t="str">
            <v>0</v>
          </cell>
          <cell r="X54" t="str">
            <v>0</v>
          </cell>
          <cell r="Y54" t="str">
            <v>0</v>
          </cell>
          <cell r="Z54" t="str">
            <v>0</v>
          </cell>
          <cell r="AA54" t="str">
            <v>0</v>
          </cell>
          <cell r="AB54" t="str">
            <v>0</v>
          </cell>
          <cell r="AC54" t="str">
            <v>0</v>
          </cell>
          <cell r="AD54" t="str">
            <v>0</v>
          </cell>
          <cell r="AE54" t="str">
            <v>0</v>
          </cell>
        </row>
        <row r="55">
          <cell r="D55" t="str">
            <v>17-Feb</v>
          </cell>
          <cell r="E55" t="str">
            <v>0</v>
          </cell>
          <cell r="F55" t="str">
            <v>0</v>
          </cell>
          <cell r="G55" t="str">
            <v>0</v>
          </cell>
          <cell r="H55" t="str">
            <v>0</v>
          </cell>
          <cell r="I55" t="str">
            <v>0</v>
          </cell>
          <cell r="J55" t="str">
            <v>0</v>
          </cell>
          <cell r="K55" t="str">
            <v>0</v>
          </cell>
          <cell r="L55" t="str">
            <v>0</v>
          </cell>
          <cell r="M55" t="str">
            <v>0</v>
          </cell>
          <cell r="N55" t="str">
            <v>0</v>
          </cell>
          <cell r="O55" t="str">
            <v>0</v>
          </cell>
          <cell r="P55" t="str">
            <v>0</v>
          </cell>
          <cell r="Q55" t="str">
            <v>0</v>
          </cell>
          <cell r="R55" t="str">
            <v>0</v>
          </cell>
          <cell r="S55" t="str">
            <v>0</v>
          </cell>
          <cell r="T55" t="str">
            <v>0</v>
          </cell>
          <cell r="U55" t="str">
            <v>0</v>
          </cell>
          <cell r="V55" t="str">
            <v>0</v>
          </cell>
          <cell r="W55" t="str">
            <v>0</v>
          </cell>
          <cell r="X55" t="str">
            <v>0</v>
          </cell>
          <cell r="Y55" t="str">
            <v>0</v>
          </cell>
          <cell r="Z55" t="str">
            <v>0</v>
          </cell>
          <cell r="AA55" t="str">
            <v>0</v>
          </cell>
          <cell r="AB55" t="str">
            <v>0</v>
          </cell>
          <cell r="AC55" t="str">
            <v>0</v>
          </cell>
          <cell r="AD55" t="str">
            <v>0</v>
          </cell>
          <cell r="AE55" t="str">
            <v>0</v>
          </cell>
        </row>
        <row r="56">
          <cell r="D56" t="str">
            <v>18-Feb</v>
          </cell>
          <cell r="E56" t="str">
            <v>0</v>
          </cell>
          <cell r="F56" t="str">
            <v>0</v>
          </cell>
          <cell r="G56" t="str">
            <v>0</v>
          </cell>
          <cell r="H56" t="str">
            <v>0</v>
          </cell>
          <cell r="I56" t="str">
            <v>0</v>
          </cell>
          <cell r="J56" t="str">
            <v>0</v>
          </cell>
          <cell r="K56" t="str">
            <v>0</v>
          </cell>
          <cell r="L56" t="str">
            <v>0</v>
          </cell>
          <cell r="M56" t="str">
            <v>0</v>
          </cell>
          <cell r="N56" t="str">
            <v>0</v>
          </cell>
          <cell r="O56" t="str">
            <v>0</v>
          </cell>
          <cell r="P56" t="str">
            <v>0</v>
          </cell>
          <cell r="Q56" t="str">
            <v>0</v>
          </cell>
          <cell r="R56" t="str">
            <v>0</v>
          </cell>
          <cell r="S56" t="str">
            <v>0</v>
          </cell>
          <cell r="T56" t="str">
            <v>0</v>
          </cell>
          <cell r="U56" t="str">
            <v>0</v>
          </cell>
          <cell r="V56" t="str">
            <v>0</v>
          </cell>
          <cell r="W56" t="str">
            <v>0</v>
          </cell>
          <cell r="X56" t="str">
            <v>0</v>
          </cell>
          <cell r="Y56" t="str">
            <v>0</v>
          </cell>
          <cell r="Z56" t="str">
            <v>0</v>
          </cell>
          <cell r="AA56" t="str">
            <v>0</v>
          </cell>
          <cell r="AB56" t="str">
            <v>0</v>
          </cell>
          <cell r="AC56" t="str">
            <v>0</v>
          </cell>
          <cell r="AD56" t="str">
            <v>0</v>
          </cell>
          <cell r="AE56" t="str">
            <v>0</v>
          </cell>
        </row>
        <row r="57">
          <cell r="D57" t="str">
            <v>19-Feb</v>
          </cell>
          <cell r="E57" t="str">
            <v>0</v>
          </cell>
          <cell r="F57" t="str">
            <v>0</v>
          </cell>
          <cell r="G57" t="str">
            <v>0</v>
          </cell>
          <cell r="H57" t="str">
            <v>0</v>
          </cell>
          <cell r="I57" t="str">
            <v>0</v>
          </cell>
          <cell r="J57" t="str">
            <v>0</v>
          </cell>
          <cell r="K57" t="str">
            <v>0</v>
          </cell>
          <cell r="L57" t="str">
            <v>0</v>
          </cell>
          <cell r="M57" t="str">
            <v>0</v>
          </cell>
          <cell r="N57" t="str">
            <v>0</v>
          </cell>
          <cell r="O57" t="str">
            <v>0</v>
          </cell>
          <cell r="P57" t="str">
            <v>0</v>
          </cell>
          <cell r="Q57" t="str">
            <v>0</v>
          </cell>
          <cell r="R57" t="str">
            <v>0</v>
          </cell>
          <cell r="S57" t="str">
            <v>0</v>
          </cell>
          <cell r="T57" t="str">
            <v>0</v>
          </cell>
          <cell r="U57" t="str">
            <v>0</v>
          </cell>
          <cell r="V57" t="str">
            <v>0</v>
          </cell>
          <cell r="W57" t="str">
            <v>0</v>
          </cell>
          <cell r="X57" t="str">
            <v>0</v>
          </cell>
          <cell r="Y57" t="str">
            <v>0</v>
          </cell>
          <cell r="Z57" t="str">
            <v>0</v>
          </cell>
          <cell r="AA57" t="str">
            <v>0</v>
          </cell>
          <cell r="AB57" t="str">
            <v>0</v>
          </cell>
          <cell r="AC57" t="str">
            <v>0</v>
          </cell>
          <cell r="AD57" t="str">
            <v>0</v>
          </cell>
          <cell r="AE57" t="str">
            <v>0</v>
          </cell>
        </row>
        <row r="58">
          <cell r="D58" t="str">
            <v>20-Feb</v>
          </cell>
          <cell r="E58" t="str">
            <v>0</v>
          </cell>
          <cell r="F58" t="str">
            <v>0</v>
          </cell>
          <cell r="G58" t="str">
            <v>0</v>
          </cell>
          <cell r="H58" t="str">
            <v>0</v>
          </cell>
          <cell r="I58" t="str">
            <v>0</v>
          </cell>
          <cell r="J58" t="str">
            <v>0</v>
          </cell>
          <cell r="K58" t="str">
            <v>0</v>
          </cell>
          <cell r="L58" t="str">
            <v>0</v>
          </cell>
          <cell r="M58" t="str">
            <v>0</v>
          </cell>
          <cell r="N58" t="str">
            <v>0</v>
          </cell>
          <cell r="O58" t="str">
            <v>0</v>
          </cell>
          <cell r="P58" t="str">
            <v>0</v>
          </cell>
          <cell r="Q58" t="str">
            <v>0</v>
          </cell>
          <cell r="R58" t="str">
            <v>0</v>
          </cell>
          <cell r="S58" t="str">
            <v>0</v>
          </cell>
          <cell r="T58" t="str">
            <v>0</v>
          </cell>
          <cell r="U58" t="str">
            <v>0</v>
          </cell>
          <cell r="V58" t="str">
            <v>0</v>
          </cell>
          <cell r="W58" t="str">
            <v>0</v>
          </cell>
          <cell r="X58" t="str">
            <v>0</v>
          </cell>
          <cell r="Y58" t="str">
            <v>0</v>
          </cell>
          <cell r="Z58" t="str">
            <v>0</v>
          </cell>
          <cell r="AA58" t="str">
            <v>0</v>
          </cell>
          <cell r="AB58" t="str">
            <v>0</v>
          </cell>
          <cell r="AC58" t="str">
            <v>0</v>
          </cell>
          <cell r="AD58" t="str">
            <v>0</v>
          </cell>
          <cell r="AE58" t="str">
            <v>0</v>
          </cell>
        </row>
        <row r="59">
          <cell r="D59" t="str">
            <v>21-Feb</v>
          </cell>
          <cell r="E59" t="str">
            <v>0</v>
          </cell>
          <cell r="F59" t="str">
            <v>0</v>
          </cell>
          <cell r="G59" t="str">
            <v>0</v>
          </cell>
          <cell r="H59" t="str">
            <v>0</v>
          </cell>
          <cell r="I59" t="str">
            <v>0</v>
          </cell>
          <cell r="J59" t="str">
            <v>0</v>
          </cell>
          <cell r="K59" t="str">
            <v>0</v>
          </cell>
          <cell r="L59" t="str">
            <v>0</v>
          </cell>
          <cell r="M59" t="str">
            <v>0</v>
          </cell>
          <cell r="N59" t="str">
            <v>0</v>
          </cell>
          <cell r="O59" t="str">
            <v>0</v>
          </cell>
          <cell r="P59" t="str">
            <v>0</v>
          </cell>
          <cell r="Q59" t="str">
            <v>0</v>
          </cell>
          <cell r="R59" t="str">
            <v>0</v>
          </cell>
          <cell r="S59" t="str">
            <v>0</v>
          </cell>
          <cell r="T59" t="str">
            <v>0</v>
          </cell>
          <cell r="U59" t="str">
            <v>0</v>
          </cell>
          <cell r="V59" t="str">
            <v>0</v>
          </cell>
          <cell r="W59" t="str">
            <v>0</v>
          </cell>
          <cell r="X59" t="str">
            <v>0</v>
          </cell>
          <cell r="Y59" t="str">
            <v>0</v>
          </cell>
          <cell r="Z59" t="str">
            <v>0</v>
          </cell>
          <cell r="AA59" t="str">
            <v>0</v>
          </cell>
          <cell r="AB59" t="str">
            <v>0</v>
          </cell>
          <cell r="AC59" t="str">
            <v>0</v>
          </cell>
          <cell r="AD59" t="str">
            <v>0</v>
          </cell>
          <cell r="AE59" t="str">
            <v>0</v>
          </cell>
        </row>
        <row r="60">
          <cell r="D60" t="str">
            <v>22-Feb</v>
          </cell>
          <cell r="E60" t="str">
            <v>0</v>
          </cell>
          <cell r="F60" t="str">
            <v>0</v>
          </cell>
          <cell r="G60" t="str">
            <v>0</v>
          </cell>
          <cell r="H60" t="str">
            <v>0</v>
          </cell>
          <cell r="I60" t="str">
            <v>0</v>
          </cell>
          <cell r="J60" t="str">
            <v>0</v>
          </cell>
          <cell r="K60" t="str">
            <v>0</v>
          </cell>
          <cell r="L60" t="str">
            <v>0</v>
          </cell>
          <cell r="M60" t="str">
            <v>0</v>
          </cell>
          <cell r="N60" t="str">
            <v>0</v>
          </cell>
          <cell r="O60" t="str">
            <v>0</v>
          </cell>
          <cell r="P60" t="str">
            <v>0</v>
          </cell>
          <cell r="Q60" t="str">
            <v>0</v>
          </cell>
          <cell r="R60" t="str">
            <v>0</v>
          </cell>
          <cell r="S60" t="str">
            <v>0</v>
          </cell>
          <cell r="T60" t="str">
            <v>0</v>
          </cell>
          <cell r="U60" t="str">
            <v>0</v>
          </cell>
          <cell r="V60" t="str">
            <v>0</v>
          </cell>
          <cell r="W60" t="str">
            <v>0</v>
          </cell>
          <cell r="X60" t="str">
            <v>0</v>
          </cell>
          <cell r="Y60" t="str">
            <v>0</v>
          </cell>
          <cell r="Z60" t="str">
            <v>0</v>
          </cell>
          <cell r="AA60" t="str">
            <v>0</v>
          </cell>
          <cell r="AB60" t="str">
            <v>0</v>
          </cell>
          <cell r="AC60" t="str">
            <v>0</v>
          </cell>
          <cell r="AD60" t="str">
            <v>0</v>
          </cell>
          <cell r="AE60" t="str">
            <v>0</v>
          </cell>
        </row>
        <row r="61">
          <cell r="D61" t="str">
            <v>23-Feb</v>
          </cell>
          <cell r="E61" t="str">
            <v>0</v>
          </cell>
          <cell r="F61" t="str">
            <v>0</v>
          </cell>
          <cell r="G61" t="str">
            <v>0</v>
          </cell>
          <cell r="H61" t="str">
            <v>0</v>
          </cell>
          <cell r="I61" t="str">
            <v>0</v>
          </cell>
          <cell r="J61" t="str">
            <v>0</v>
          </cell>
          <cell r="K61" t="str">
            <v>0</v>
          </cell>
          <cell r="L61" t="str">
            <v>0</v>
          </cell>
          <cell r="M61" t="str">
            <v>0</v>
          </cell>
          <cell r="N61" t="str">
            <v>0</v>
          </cell>
          <cell r="O61" t="str">
            <v>0</v>
          </cell>
          <cell r="P61" t="str">
            <v>0</v>
          </cell>
          <cell r="Q61" t="str">
            <v>0</v>
          </cell>
          <cell r="R61" t="str">
            <v>0</v>
          </cell>
          <cell r="S61" t="str">
            <v>0</v>
          </cell>
          <cell r="T61" t="str">
            <v>0</v>
          </cell>
          <cell r="U61" t="str">
            <v>0</v>
          </cell>
          <cell r="V61" t="str">
            <v>0</v>
          </cell>
          <cell r="W61" t="str">
            <v>0</v>
          </cell>
          <cell r="X61" t="str">
            <v>0</v>
          </cell>
          <cell r="Y61" t="str">
            <v>0</v>
          </cell>
          <cell r="Z61" t="str">
            <v>0</v>
          </cell>
          <cell r="AA61" t="str">
            <v>0</v>
          </cell>
          <cell r="AB61" t="str">
            <v>0</v>
          </cell>
          <cell r="AC61" t="str">
            <v>0</v>
          </cell>
          <cell r="AD61" t="str">
            <v>0</v>
          </cell>
          <cell r="AE61" t="str">
            <v>0</v>
          </cell>
        </row>
        <row r="62">
          <cell r="D62" t="str">
            <v>24-Feb</v>
          </cell>
          <cell r="E62" t="str">
            <v>0</v>
          </cell>
          <cell r="F62" t="str">
            <v>0</v>
          </cell>
          <cell r="G62" t="str">
            <v>0</v>
          </cell>
          <cell r="H62" t="str">
            <v>0</v>
          </cell>
          <cell r="I62" t="str">
            <v>0</v>
          </cell>
          <cell r="J62" t="str">
            <v>0</v>
          </cell>
          <cell r="K62" t="str">
            <v>0</v>
          </cell>
          <cell r="L62" t="str">
            <v>0</v>
          </cell>
          <cell r="M62" t="str">
            <v>0</v>
          </cell>
          <cell r="N62" t="str">
            <v>0</v>
          </cell>
          <cell r="O62" t="str">
            <v>0</v>
          </cell>
          <cell r="P62" t="str">
            <v>0</v>
          </cell>
          <cell r="Q62" t="str">
            <v>0</v>
          </cell>
          <cell r="R62" t="str">
            <v>0</v>
          </cell>
          <cell r="S62" t="str">
            <v>0</v>
          </cell>
          <cell r="T62" t="str">
            <v>0</v>
          </cell>
          <cell r="U62" t="str">
            <v>0</v>
          </cell>
          <cell r="V62" t="str">
            <v>0</v>
          </cell>
          <cell r="W62" t="str">
            <v>0</v>
          </cell>
          <cell r="X62" t="str">
            <v>0</v>
          </cell>
          <cell r="Y62" t="str">
            <v>0</v>
          </cell>
          <cell r="Z62" t="str">
            <v>0</v>
          </cell>
          <cell r="AA62" t="str">
            <v>0</v>
          </cell>
          <cell r="AB62" t="str">
            <v>0</v>
          </cell>
          <cell r="AC62" t="str">
            <v>0</v>
          </cell>
          <cell r="AD62" t="str">
            <v>0</v>
          </cell>
          <cell r="AE62" t="str">
            <v>0</v>
          </cell>
        </row>
        <row r="63">
          <cell r="D63" t="str">
            <v>25-Feb</v>
          </cell>
          <cell r="E63" t="str">
            <v>0</v>
          </cell>
          <cell r="F63" t="str">
            <v>0</v>
          </cell>
          <cell r="G63" t="str">
            <v>0</v>
          </cell>
          <cell r="H63" t="str">
            <v>0</v>
          </cell>
          <cell r="I63" t="str">
            <v>0</v>
          </cell>
          <cell r="J63" t="str">
            <v>0</v>
          </cell>
          <cell r="K63" t="str">
            <v>0</v>
          </cell>
          <cell r="L63" t="str">
            <v>0</v>
          </cell>
          <cell r="M63" t="str">
            <v>0</v>
          </cell>
          <cell r="N63" t="str">
            <v>0</v>
          </cell>
          <cell r="O63" t="str">
            <v>0</v>
          </cell>
          <cell r="P63" t="str">
            <v>0</v>
          </cell>
          <cell r="Q63" t="str">
            <v>0</v>
          </cell>
          <cell r="R63" t="str">
            <v>0</v>
          </cell>
          <cell r="S63" t="str">
            <v>0</v>
          </cell>
          <cell r="T63" t="str">
            <v>0</v>
          </cell>
          <cell r="U63" t="str">
            <v>0</v>
          </cell>
          <cell r="V63" t="str">
            <v>0</v>
          </cell>
          <cell r="W63" t="str">
            <v>0</v>
          </cell>
          <cell r="X63" t="str">
            <v>0</v>
          </cell>
          <cell r="Y63" t="str">
            <v>0</v>
          </cell>
          <cell r="Z63" t="str">
            <v>0</v>
          </cell>
          <cell r="AA63" t="str">
            <v>0</v>
          </cell>
          <cell r="AB63" t="str">
            <v>0</v>
          </cell>
          <cell r="AC63" t="str">
            <v>0</v>
          </cell>
          <cell r="AD63" t="str">
            <v>0</v>
          </cell>
          <cell r="AE63" t="str">
            <v>0</v>
          </cell>
        </row>
        <row r="64">
          <cell r="D64" t="str">
            <v>26-Feb</v>
          </cell>
          <cell r="E64" t="str">
            <v>0</v>
          </cell>
          <cell r="F64" t="str">
            <v>0</v>
          </cell>
          <cell r="G64" t="str">
            <v>0</v>
          </cell>
          <cell r="H64" t="str">
            <v>0</v>
          </cell>
          <cell r="I64" t="str">
            <v>0</v>
          </cell>
          <cell r="J64" t="str">
            <v>0</v>
          </cell>
          <cell r="K64" t="str">
            <v>0</v>
          </cell>
          <cell r="L64" t="str">
            <v>0</v>
          </cell>
          <cell r="M64" t="str">
            <v>0</v>
          </cell>
          <cell r="N64" t="str">
            <v>0</v>
          </cell>
          <cell r="O64" t="str">
            <v>0</v>
          </cell>
          <cell r="P64" t="str">
            <v>0</v>
          </cell>
          <cell r="Q64" t="str">
            <v>0</v>
          </cell>
          <cell r="R64" t="str">
            <v>0</v>
          </cell>
          <cell r="S64" t="str">
            <v>0</v>
          </cell>
          <cell r="T64" t="str">
            <v>0</v>
          </cell>
          <cell r="U64" t="str">
            <v>0</v>
          </cell>
          <cell r="V64" t="str">
            <v>0</v>
          </cell>
          <cell r="W64" t="str">
            <v>0</v>
          </cell>
          <cell r="X64" t="str">
            <v>0</v>
          </cell>
          <cell r="Y64" t="str">
            <v>0</v>
          </cell>
          <cell r="Z64" t="str">
            <v>0</v>
          </cell>
          <cell r="AA64" t="str">
            <v>0</v>
          </cell>
          <cell r="AB64" t="str">
            <v>0</v>
          </cell>
          <cell r="AC64" t="str">
            <v>0</v>
          </cell>
          <cell r="AD64" t="str">
            <v>0</v>
          </cell>
          <cell r="AE64" t="str">
            <v>0</v>
          </cell>
        </row>
        <row r="65">
          <cell r="D65" t="str">
            <v>27-Feb</v>
          </cell>
          <cell r="E65" t="str">
            <v>0</v>
          </cell>
          <cell r="F65" t="str">
            <v>0</v>
          </cell>
          <cell r="G65" t="str">
            <v>0</v>
          </cell>
          <cell r="H65" t="str">
            <v>0</v>
          </cell>
          <cell r="I65" t="str">
            <v>0</v>
          </cell>
          <cell r="J65" t="str">
            <v>0</v>
          </cell>
          <cell r="K65" t="str">
            <v>0</v>
          </cell>
          <cell r="L65" t="str">
            <v>0</v>
          </cell>
          <cell r="M65" t="str">
            <v>0</v>
          </cell>
          <cell r="N65" t="str">
            <v>0</v>
          </cell>
          <cell r="O65" t="str">
            <v>0</v>
          </cell>
          <cell r="P65" t="str">
            <v>0</v>
          </cell>
          <cell r="Q65" t="str">
            <v>0</v>
          </cell>
          <cell r="R65" t="str">
            <v>0</v>
          </cell>
          <cell r="S65" t="str">
            <v>0</v>
          </cell>
          <cell r="T65" t="str">
            <v>0</v>
          </cell>
          <cell r="U65" t="str">
            <v>0</v>
          </cell>
          <cell r="V65" t="str">
            <v>0</v>
          </cell>
          <cell r="W65" t="str">
            <v>0</v>
          </cell>
          <cell r="X65" t="str">
            <v>0</v>
          </cell>
          <cell r="Y65" t="str">
            <v>0</v>
          </cell>
          <cell r="Z65" t="str">
            <v>0</v>
          </cell>
          <cell r="AA65" t="str">
            <v>0</v>
          </cell>
          <cell r="AB65" t="str">
            <v>0</v>
          </cell>
          <cell r="AC65" t="str">
            <v>0</v>
          </cell>
          <cell r="AD65" t="str">
            <v>0</v>
          </cell>
          <cell r="AE65" t="str">
            <v>0</v>
          </cell>
        </row>
        <row r="66">
          <cell r="D66" t="str">
            <v>28-Feb</v>
          </cell>
          <cell r="E66" t="str">
            <v>0</v>
          </cell>
          <cell r="F66" t="str">
            <v>0</v>
          </cell>
          <cell r="G66" t="str">
            <v>0</v>
          </cell>
          <cell r="H66" t="str">
            <v>0</v>
          </cell>
          <cell r="I66" t="str">
            <v>0</v>
          </cell>
          <cell r="J66" t="str">
            <v>0</v>
          </cell>
          <cell r="K66" t="str">
            <v>0</v>
          </cell>
          <cell r="L66" t="str">
            <v>0</v>
          </cell>
          <cell r="M66" t="str">
            <v>0</v>
          </cell>
          <cell r="N66" t="str">
            <v>0</v>
          </cell>
          <cell r="O66" t="str">
            <v>0</v>
          </cell>
          <cell r="P66" t="str">
            <v>0</v>
          </cell>
          <cell r="Q66" t="str">
            <v>0</v>
          </cell>
          <cell r="R66" t="str">
            <v>0</v>
          </cell>
          <cell r="S66" t="str">
            <v>0</v>
          </cell>
          <cell r="T66" t="str">
            <v>0</v>
          </cell>
          <cell r="U66" t="str">
            <v>0</v>
          </cell>
          <cell r="V66" t="str">
            <v>0</v>
          </cell>
          <cell r="W66" t="str">
            <v>0</v>
          </cell>
          <cell r="X66" t="str">
            <v>0</v>
          </cell>
          <cell r="Y66" t="str">
            <v>0</v>
          </cell>
          <cell r="Z66" t="str">
            <v>0</v>
          </cell>
          <cell r="AA66" t="str">
            <v>0</v>
          </cell>
          <cell r="AB66" t="str">
            <v>0</v>
          </cell>
          <cell r="AC66" t="str">
            <v>0</v>
          </cell>
          <cell r="AD66" t="str">
            <v>0</v>
          </cell>
          <cell r="AE66" t="str">
            <v>0</v>
          </cell>
        </row>
        <row r="67">
          <cell r="D67" t="str">
            <v>01-Mar</v>
          </cell>
          <cell r="E67" t="str">
            <v>0</v>
          </cell>
          <cell r="F67" t="str">
            <v>0</v>
          </cell>
          <cell r="G67" t="str">
            <v>0</v>
          </cell>
          <cell r="H67" t="str">
            <v>0</v>
          </cell>
          <cell r="I67" t="str">
            <v>0</v>
          </cell>
          <cell r="J67" t="str">
            <v>0</v>
          </cell>
          <cell r="K67" t="str">
            <v>0</v>
          </cell>
          <cell r="L67" t="str">
            <v>0</v>
          </cell>
          <cell r="M67" t="str">
            <v>0</v>
          </cell>
          <cell r="N67" t="str">
            <v>0</v>
          </cell>
          <cell r="O67" t="str">
            <v>0</v>
          </cell>
          <cell r="P67" t="str">
            <v>0</v>
          </cell>
          <cell r="Q67" t="str">
            <v>0</v>
          </cell>
          <cell r="R67" t="str">
            <v>0</v>
          </cell>
          <cell r="S67" t="str">
            <v>0</v>
          </cell>
          <cell r="T67" t="str">
            <v>0</v>
          </cell>
          <cell r="U67" t="str">
            <v>0</v>
          </cell>
          <cell r="V67" t="str">
            <v>0</v>
          </cell>
          <cell r="W67" t="str">
            <v>0</v>
          </cell>
          <cell r="X67" t="str">
            <v>0</v>
          </cell>
          <cell r="Y67" t="str">
            <v>0</v>
          </cell>
          <cell r="Z67" t="str">
            <v>0</v>
          </cell>
          <cell r="AA67" t="str">
            <v>0</v>
          </cell>
          <cell r="AB67" t="str">
            <v>0</v>
          </cell>
          <cell r="AC67" t="str">
            <v>0</v>
          </cell>
          <cell r="AD67" t="str">
            <v>0</v>
          </cell>
          <cell r="AE67" t="str">
            <v>0</v>
          </cell>
        </row>
        <row r="68">
          <cell r="D68" t="str">
            <v>02-Mar</v>
          </cell>
          <cell r="E68" t="str">
            <v>0</v>
          </cell>
          <cell r="F68" t="str">
            <v>0</v>
          </cell>
          <cell r="G68" t="str">
            <v>0</v>
          </cell>
          <cell r="H68" t="str">
            <v>0</v>
          </cell>
          <cell r="I68" t="str">
            <v>0</v>
          </cell>
          <cell r="J68" t="str">
            <v>0</v>
          </cell>
          <cell r="K68" t="str">
            <v>0</v>
          </cell>
          <cell r="L68" t="str">
            <v>0</v>
          </cell>
          <cell r="M68" t="str">
            <v>0</v>
          </cell>
          <cell r="N68" t="str">
            <v>0</v>
          </cell>
          <cell r="O68" t="str">
            <v>0</v>
          </cell>
          <cell r="P68" t="str">
            <v>0</v>
          </cell>
          <cell r="Q68" t="str">
            <v>0</v>
          </cell>
          <cell r="R68" t="str">
            <v>0</v>
          </cell>
          <cell r="S68" t="str">
            <v>0</v>
          </cell>
          <cell r="T68" t="str">
            <v>0</v>
          </cell>
          <cell r="U68" t="str">
            <v>0</v>
          </cell>
          <cell r="V68" t="str">
            <v>0</v>
          </cell>
          <cell r="W68" t="str">
            <v>0</v>
          </cell>
          <cell r="X68" t="str">
            <v>0</v>
          </cell>
          <cell r="Y68" t="str">
            <v>0</v>
          </cell>
          <cell r="Z68" t="str">
            <v>0</v>
          </cell>
          <cell r="AA68" t="str">
            <v>0</v>
          </cell>
          <cell r="AB68" t="str">
            <v>0</v>
          </cell>
          <cell r="AC68" t="str">
            <v>0</v>
          </cell>
          <cell r="AD68" t="str">
            <v>0</v>
          </cell>
          <cell r="AE68" t="str">
            <v>0</v>
          </cell>
        </row>
        <row r="69">
          <cell r="D69" t="str">
            <v>03-Mar</v>
          </cell>
          <cell r="E69" t="str">
            <v>0</v>
          </cell>
          <cell r="F69" t="str">
            <v>0</v>
          </cell>
          <cell r="G69" t="str">
            <v>0</v>
          </cell>
          <cell r="H69" t="str">
            <v>0</v>
          </cell>
          <cell r="I69" t="str">
            <v>0</v>
          </cell>
          <cell r="J69" t="str">
            <v>0</v>
          </cell>
          <cell r="K69" t="str">
            <v>0</v>
          </cell>
          <cell r="L69" t="str">
            <v>0</v>
          </cell>
          <cell r="M69" t="str">
            <v>0</v>
          </cell>
          <cell r="N69" t="str">
            <v>0</v>
          </cell>
          <cell r="O69" t="str">
            <v>0</v>
          </cell>
          <cell r="P69" t="str">
            <v>0</v>
          </cell>
          <cell r="Q69" t="str">
            <v>0</v>
          </cell>
          <cell r="R69" t="str">
            <v>0</v>
          </cell>
          <cell r="S69" t="str">
            <v>0</v>
          </cell>
          <cell r="T69" t="str">
            <v>0</v>
          </cell>
          <cell r="U69" t="str">
            <v>0</v>
          </cell>
          <cell r="V69" t="str">
            <v>0</v>
          </cell>
          <cell r="W69" t="str">
            <v>0</v>
          </cell>
          <cell r="X69" t="str">
            <v>0</v>
          </cell>
          <cell r="Y69" t="str">
            <v>0</v>
          </cell>
          <cell r="Z69" t="str">
            <v>0</v>
          </cell>
          <cell r="AA69" t="str">
            <v>0</v>
          </cell>
          <cell r="AB69" t="str">
            <v>0</v>
          </cell>
          <cell r="AC69" t="str">
            <v>0</v>
          </cell>
          <cell r="AD69" t="str">
            <v>0</v>
          </cell>
          <cell r="AE69" t="str">
            <v>0</v>
          </cell>
        </row>
        <row r="70">
          <cell r="D70" t="str">
            <v>04-Mar</v>
          </cell>
          <cell r="E70" t="str">
            <v>0</v>
          </cell>
          <cell r="F70" t="str">
            <v>0</v>
          </cell>
          <cell r="G70" t="str">
            <v>0</v>
          </cell>
          <cell r="H70" t="str">
            <v>0</v>
          </cell>
          <cell r="I70" t="str">
            <v>0</v>
          </cell>
          <cell r="J70" t="str">
            <v>0</v>
          </cell>
          <cell r="K70" t="str">
            <v>0</v>
          </cell>
          <cell r="L70" t="str">
            <v>0</v>
          </cell>
          <cell r="M70" t="str">
            <v>0</v>
          </cell>
          <cell r="N70" t="str">
            <v>0</v>
          </cell>
          <cell r="O70" t="str">
            <v>0</v>
          </cell>
          <cell r="P70" t="str">
            <v>0</v>
          </cell>
          <cell r="Q70" t="str">
            <v>0</v>
          </cell>
          <cell r="R70" t="str">
            <v>0</v>
          </cell>
          <cell r="S70" t="str">
            <v>0</v>
          </cell>
          <cell r="T70" t="str">
            <v>0</v>
          </cell>
          <cell r="U70" t="str">
            <v>0</v>
          </cell>
          <cell r="V70" t="str">
            <v>0</v>
          </cell>
          <cell r="W70" t="str">
            <v>0</v>
          </cell>
          <cell r="X70" t="str">
            <v>0</v>
          </cell>
          <cell r="Y70" t="str">
            <v>0</v>
          </cell>
          <cell r="Z70" t="str">
            <v>0</v>
          </cell>
          <cell r="AA70" t="str">
            <v>0</v>
          </cell>
          <cell r="AB70" t="str">
            <v>0</v>
          </cell>
          <cell r="AC70" t="str">
            <v>0</v>
          </cell>
          <cell r="AD70" t="str">
            <v>0</v>
          </cell>
          <cell r="AE70" t="str">
            <v>0</v>
          </cell>
        </row>
        <row r="71">
          <cell r="D71" t="str">
            <v>05-Mar</v>
          </cell>
          <cell r="E71" t="str">
            <v>0</v>
          </cell>
          <cell r="F71" t="str">
            <v>0</v>
          </cell>
          <cell r="G71" t="str">
            <v>0</v>
          </cell>
          <cell r="H71" t="str">
            <v>0</v>
          </cell>
          <cell r="I71" t="str">
            <v>0</v>
          </cell>
          <cell r="J71" t="str">
            <v>0</v>
          </cell>
          <cell r="K71" t="str">
            <v>0</v>
          </cell>
          <cell r="L71" t="str">
            <v>0</v>
          </cell>
          <cell r="M71" t="str">
            <v>0</v>
          </cell>
          <cell r="N71" t="str">
            <v>0</v>
          </cell>
          <cell r="O71" t="str">
            <v>0</v>
          </cell>
          <cell r="P71" t="str">
            <v>0</v>
          </cell>
          <cell r="Q71" t="str">
            <v>0</v>
          </cell>
          <cell r="R71" t="str">
            <v>0</v>
          </cell>
          <cell r="S71" t="str">
            <v>0</v>
          </cell>
          <cell r="T71" t="str">
            <v>0</v>
          </cell>
          <cell r="U71" t="str">
            <v>0</v>
          </cell>
          <cell r="V71" t="str">
            <v>0</v>
          </cell>
          <cell r="W71" t="str">
            <v>0</v>
          </cell>
          <cell r="X71" t="str">
            <v>0</v>
          </cell>
          <cell r="Y71" t="str">
            <v>0</v>
          </cell>
          <cell r="Z71" t="str">
            <v>0</v>
          </cell>
          <cell r="AA71" t="str">
            <v>0</v>
          </cell>
          <cell r="AB71" t="str">
            <v>0</v>
          </cell>
          <cell r="AC71" t="str">
            <v>0</v>
          </cell>
          <cell r="AD71" t="str">
            <v>0</v>
          </cell>
          <cell r="AE71" t="str">
            <v>0</v>
          </cell>
        </row>
        <row r="72">
          <cell r="D72" t="str">
            <v>06-Mar</v>
          </cell>
          <cell r="E72" t="str">
            <v>0</v>
          </cell>
          <cell r="F72" t="str">
            <v>0</v>
          </cell>
          <cell r="G72" t="str">
            <v>0</v>
          </cell>
          <cell r="H72" t="str">
            <v>0</v>
          </cell>
          <cell r="I72" t="str">
            <v>0</v>
          </cell>
          <cell r="J72" t="str">
            <v>0</v>
          </cell>
          <cell r="K72" t="str">
            <v>0</v>
          </cell>
          <cell r="L72" t="str">
            <v>0</v>
          </cell>
          <cell r="M72" t="str">
            <v>0</v>
          </cell>
          <cell r="N72" t="str">
            <v>0</v>
          </cell>
          <cell r="O72" t="str">
            <v>0</v>
          </cell>
          <cell r="P72" t="str">
            <v>0</v>
          </cell>
          <cell r="Q72" t="str">
            <v>0</v>
          </cell>
          <cell r="R72" t="str">
            <v>0</v>
          </cell>
          <cell r="S72" t="str">
            <v>0</v>
          </cell>
          <cell r="T72" t="str">
            <v>0</v>
          </cell>
          <cell r="U72" t="str">
            <v>0</v>
          </cell>
          <cell r="V72" t="str">
            <v>0</v>
          </cell>
          <cell r="W72" t="str">
            <v>0</v>
          </cell>
          <cell r="X72" t="str">
            <v>0</v>
          </cell>
          <cell r="Y72" t="str">
            <v>0</v>
          </cell>
          <cell r="Z72" t="str">
            <v>0</v>
          </cell>
          <cell r="AA72" t="str">
            <v>0</v>
          </cell>
          <cell r="AB72" t="str">
            <v>0</v>
          </cell>
          <cell r="AC72" t="str">
            <v>0</v>
          </cell>
          <cell r="AD72" t="str">
            <v>0</v>
          </cell>
          <cell r="AE72" t="str">
            <v>0</v>
          </cell>
        </row>
        <row r="73">
          <cell r="D73" t="str">
            <v>07-Mar</v>
          </cell>
          <cell r="E73" t="str">
            <v>0</v>
          </cell>
          <cell r="F73" t="str">
            <v>0</v>
          </cell>
          <cell r="G73" t="str">
            <v>0</v>
          </cell>
          <cell r="H73" t="str">
            <v>0</v>
          </cell>
          <cell r="I73" t="str">
            <v>0</v>
          </cell>
          <cell r="J73" t="str">
            <v>0</v>
          </cell>
          <cell r="K73" t="str">
            <v>0</v>
          </cell>
          <cell r="L73" t="str">
            <v>0</v>
          </cell>
          <cell r="M73" t="str">
            <v>0</v>
          </cell>
          <cell r="N73" t="str">
            <v>0</v>
          </cell>
          <cell r="O73" t="str">
            <v>0</v>
          </cell>
          <cell r="P73" t="str">
            <v>0</v>
          </cell>
          <cell r="Q73" t="str">
            <v>0</v>
          </cell>
          <cell r="R73" t="str">
            <v>0</v>
          </cell>
          <cell r="S73" t="str">
            <v>0</v>
          </cell>
          <cell r="T73" t="str">
            <v>0</v>
          </cell>
          <cell r="U73" t="str">
            <v>0</v>
          </cell>
          <cell r="V73" t="str">
            <v>0</v>
          </cell>
          <cell r="W73" t="str">
            <v>0</v>
          </cell>
          <cell r="X73" t="str">
            <v>0</v>
          </cell>
          <cell r="Y73" t="str">
            <v>0</v>
          </cell>
          <cell r="Z73" t="str">
            <v>0</v>
          </cell>
          <cell r="AA73" t="str">
            <v>0</v>
          </cell>
          <cell r="AB73" t="str">
            <v>0</v>
          </cell>
          <cell r="AC73" t="str">
            <v>0</v>
          </cell>
          <cell r="AD73" t="str">
            <v>0</v>
          </cell>
          <cell r="AE73" t="str">
            <v>0</v>
          </cell>
        </row>
        <row r="74">
          <cell r="D74" t="str">
            <v>08-Mar</v>
          </cell>
          <cell r="E74" t="str">
            <v>0</v>
          </cell>
          <cell r="F74" t="str">
            <v>0</v>
          </cell>
          <cell r="G74" t="str">
            <v>0</v>
          </cell>
          <cell r="H74" t="str">
            <v>0</v>
          </cell>
          <cell r="I74" t="str">
            <v>0</v>
          </cell>
          <cell r="J74" t="str">
            <v>0</v>
          </cell>
          <cell r="K74" t="str">
            <v>0</v>
          </cell>
          <cell r="L74" t="str">
            <v>0</v>
          </cell>
          <cell r="M74" t="str">
            <v>0</v>
          </cell>
          <cell r="N74" t="str">
            <v>0</v>
          </cell>
          <cell r="O74" t="str">
            <v>0</v>
          </cell>
          <cell r="P74" t="str">
            <v>0</v>
          </cell>
          <cell r="Q74" t="str">
            <v>0</v>
          </cell>
          <cell r="R74" t="str">
            <v>0</v>
          </cell>
          <cell r="S74" t="str">
            <v>0</v>
          </cell>
          <cell r="T74" t="str">
            <v>0</v>
          </cell>
          <cell r="U74" t="str">
            <v>0</v>
          </cell>
          <cell r="V74" t="str">
            <v>0</v>
          </cell>
          <cell r="W74" t="str">
            <v>0</v>
          </cell>
          <cell r="X74" t="str">
            <v>0</v>
          </cell>
          <cell r="Y74" t="str">
            <v>0</v>
          </cell>
          <cell r="Z74" t="str">
            <v>0</v>
          </cell>
          <cell r="AA74" t="str">
            <v>0</v>
          </cell>
          <cell r="AB74" t="str">
            <v>0</v>
          </cell>
          <cell r="AC74" t="str">
            <v>0</v>
          </cell>
          <cell r="AD74" t="str">
            <v>0</v>
          </cell>
          <cell r="AE74" t="str">
            <v>0</v>
          </cell>
        </row>
        <row r="75">
          <cell r="D75" t="str">
            <v>09-Mar</v>
          </cell>
          <cell r="E75" t="str">
            <v>0</v>
          </cell>
          <cell r="F75" t="str">
            <v>0</v>
          </cell>
          <cell r="G75" t="str">
            <v>0</v>
          </cell>
          <cell r="H75" t="str">
            <v>0</v>
          </cell>
          <cell r="I75" t="str">
            <v>0</v>
          </cell>
          <cell r="J75" t="str">
            <v>0</v>
          </cell>
          <cell r="K75" t="str">
            <v>0</v>
          </cell>
          <cell r="L75" t="str">
            <v>0</v>
          </cell>
          <cell r="M75" t="str">
            <v>0</v>
          </cell>
          <cell r="N75" t="str">
            <v>0</v>
          </cell>
          <cell r="O75" t="str">
            <v>0</v>
          </cell>
          <cell r="P75" t="str">
            <v>0</v>
          </cell>
          <cell r="Q75" t="str">
            <v>0</v>
          </cell>
          <cell r="R75" t="str">
            <v>0</v>
          </cell>
          <cell r="S75" t="str">
            <v>0</v>
          </cell>
          <cell r="T75" t="str">
            <v>0</v>
          </cell>
          <cell r="U75" t="str">
            <v>0</v>
          </cell>
          <cell r="V75" t="str">
            <v>0</v>
          </cell>
          <cell r="W75" t="str">
            <v>0</v>
          </cell>
          <cell r="X75" t="str">
            <v>0</v>
          </cell>
          <cell r="Y75" t="str">
            <v>0</v>
          </cell>
          <cell r="Z75" t="str">
            <v>0</v>
          </cell>
          <cell r="AA75" t="str">
            <v>0</v>
          </cell>
          <cell r="AB75" t="str">
            <v>0</v>
          </cell>
          <cell r="AC75" t="str">
            <v>0</v>
          </cell>
          <cell r="AD75" t="str">
            <v>0</v>
          </cell>
          <cell r="AE75" t="str">
            <v>0</v>
          </cell>
        </row>
        <row r="76">
          <cell r="D76" t="str">
            <v>10-Mar</v>
          </cell>
          <cell r="E76" t="str">
            <v>0</v>
          </cell>
          <cell r="F76" t="str">
            <v>0</v>
          </cell>
          <cell r="G76" t="str">
            <v>0</v>
          </cell>
          <cell r="H76" t="str">
            <v>0</v>
          </cell>
          <cell r="I76" t="str">
            <v>0</v>
          </cell>
          <cell r="J76" t="str">
            <v>0</v>
          </cell>
          <cell r="K76" t="str">
            <v>0</v>
          </cell>
          <cell r="L76" t="str">
            <v>0</v>
          </cell>
          <cell r="M76" t="str">
            <v>0</v>
          </cell>
          <cell r="N76" t="str">
            <v>0</v>
          </cell>
          <cell r="O76" t="str">
            <v>0</v>
          </cell>
          <cell r="P76" t="str">
            <v>0</v>
          </cell>
          <cell r="Q76" t="str">
            <v>0</v>
          </cell>
          <cell r="R76" t="str">
            <v>0</v>
          </cell>
          <cell r="S76" t="str">
            <v>0</v>
          </cell>
          <cell r="T76" t="str">
            <v>0</v>
          </cell>
          <cell r="U76" t="str">
            <v>0</v>
          </cell>
          <cell r="V76" t="str">
            <v>0</v>
          </cell>
          <cell r="W76" t="str">
            <v>0</v>
          </cell>
          <cell r="X76" t="str">
            <v>0</v>
          </cell>
          <cell r="Y76" t="str">
            <v>0</v>
          </cell>
          <cell r="Z76" t="str">
            <v>0</v>
          </cell>
          <cell r="AA76" t="str">
            <v>0</v>
          </cell>
          <cell r="AB76" t="str">
            <v>0</v>
          </cell>
          <cell r="AC76" t="str">
            <v>0</v>
          </cell>
          <cell r="AD76" t="str">
            <v>0</v>
          </cell>
          <cell r="AE76" t="str">
            <v>0</v>
          </cell>
        </row>
        <row r="77">
          <cell r="D77" t="str">
            <v>11-Mar</v>
          </cell>
          <cell r="E77" t="str">
            <v>0</v>
          </cell>
          <cell r="F77" t="str">
            <v>0</v>
          </cell>
          <cell r="G77" t="str">
            <v>0</v>
          </cell>
          <cell r="H77" t="str">
            <v>0</v>
          </cell>
          <cell r="I77" t="str">
            <v>0</v>
          </cell>
          <cell r="J77" t="str">
            <v>0</v>
          </cell>
          <cell r="K77" t="str">
            <v>0</v>
          </cell>
          <cell r="L77" t="str">
            <v>0</v>
          </cell>
          <cell r="M77" t="str">
            <v>0</v>
          </cell>
          <cell r="N77" t="str">
            <v>0</v>
          </cell>
          <cell r="O77" t="str">
            <v>0</v>
          </cell>
          <cell r="P77" t="str">
            <v>0</v>
          </cell>
          <cell r="Q77" t="str">
            <v>0</v>
          </cell>
          <cell r="R77" t="str">
            <v>0</v>
          </cell>
          <cell r="S77" t="str">
            <v>0</v>
          </cell>
          <cell r="T77" t="str">
            <v>0</v>
          </cell>
          <cell r="U77" t="str">
            <v>0</v>
          </cell>
          <cell r="V77" t="str">
            <v>0</v>
          </cell>
          <cell r="W77" t="str">
            <v>0</v>
          </cell>
          <cell r="X77" t="str">
            <v>0</v>
          </cell>
          <cell r="Y77" t="str">
            <v>0</v>
          </cell>
          <cell r="Z77" t="str">
            <v>0</v>
          </cell>
          <cell r="AA77" t="str">
            <v>0</v>
          </cell>
          <cell r="AB77" t="str">
            <v>0</v>
          </cell>
          <cell r="AC77" t="str">
            <v>0</v>
          </cell>
          <cell r="AD77" t="str">
            <v>0</v>
          </cell>
          <cell r="AE77" t="str">
            <v>0</v>
          </cell>
        </row>
        <row r="78">
          <cell r="D78" t="str">
            <v>12-Mar</v>
          </cell>
          <cell r="E78" t="str">
            <v>0</v>
          </cell>
          <cell r="F78" t="str">
            <v>0</v>
          </cell>
          <cell r="G78" t="str">
            <v>0</v>
          </cell>
          <cell r="H78" t="str">
            <v>0</v>
          </cell>
          <cell r="I78" t="str">
            <v>0</v>
          </cell>
          <cell r="J78" t="str">
            <v>0</v>
          </cell>
          <cell r="K78" t="str">
            <v>0</v>
          </cell>
          <cell r="L78" t="str">
            <v>0</v>
          </cell>
          <cell r="M78" t="str">
            <v>0</v>
          </cell>
          <cell r="N78" t="str">
            <v>0</v>
          </cell>
          <cell r="O78" t="str">
            <v>0</v>
          </cell>
          <cell r="P78" t="str">
            <v>0</v>
          </cell>
          <cell r="Q78" t="str">
            <v>0</v>
          </cell>
          <cell r="R78" t="str">
            <v>0</v>
          </cell>
          <cell r="S78" t="str">
            <v>0</v>
          </cell>
          <cell r="T78" t="str">
            <v>0</v>
          </cell>
          <cell r="U78" t="str">
            <v>0</v>
          </cell>
          <cell r="V78" t="str">
            <v>0</v>
          </cell>
          <cell r="W78" t="str">
            <v>0</v>
          </cell>
          <cell r="X78" t="str">
            <v>0</v>
          </cell>
          <cell r="Y78" t="str">
            <v>0</v>
          </cell>
          <cell r="Z78" t="str">
            <v>0</v>
          </cell>
          <cell r="AA78" t="str">
            <v>0</v>
          </cell>
          <cell r="AB78" t="str">
            <v>0</v>
          </cell>
          <cell r="AC78" t="str">
            <v>0</v>
          </cell>
          <cell r="AD78" t="str">
            <v>0</v>
          </cell>
          <cell r="AE78" t="str">
            <v>0</v>
          </cell>
        </row>
        <row r="79">
          <cell r="D79" t="str">
            <v>13-Mar</v>
          </cell>
          <cell r="E79" t="str">
            <v>0</v>
          </cell>
          <cell r="F79" t="str">
            <v>0</v>
          </cell>
          <cell r="G79" t="str">
            <v>0</v>
          </cell>
          <cell r="H79" t="str">
            <v>0</v>
          </cell>
          <cell r="I79" t="str">
            <v>0</v>
          </cell>
          <cell r="J79" t="str">
            <v>0</v>
          </cell>
          <cell r="K79" t="str">
            <v>0</v>
          </cell>
          <cell r="L79" t="str">
            <v>0</v>
          </cell>
          <cell r="M79" t="str">
            <v>0</v>
          </cell>
          <cell r="N79" t="str">
            <v>0</v>
          </cell>
          <cell r="O79" t="str">
            <v>0</v>
          </cell>
          <cell r="P79" t="str">
            <v>0</v>
          </cell>
          <cell r="Q79" t="str">
            <v>0</v>
          </cell>
          <cell r="R79" t="str">
            <v>0</v>
          </cell>
          <cell r="S79" t="str">
            <v>0</v>
          </cell>
          <cell r="T79" t="str">
            <v>0</v>
          </cell>
          <cell r="U79" t="str">
            <v>0</v>
          </cell>
          <cell r="V79" t="str">
            <v>0</v>
          </cell>
          <cell r="W79" t="str">
            <v>0</v>
          </cell>
          <cell r="X79" t="str">
            <v>0</v>
          </cell>
          <cell r="Y79" t="str">
            <v>0</v>
          </cell>
          <cell r="Z79" t="str">
            <v>0</v>
          </cell>
          <cell r="AA79" t="str">
            <v>0</v>
          </cell>
          <cell r="AB79" t="str">
            <v>0</v>
          </cell>
          <cell r="AC79" t="str">
            <v>0</v>
          </cell>
          <cell r="AD79" t="str">
            <v>0</v>
          </cell>
          <cell r="AE79" t="str">
            <v>0</v>
          </cell>
        </row>
        <row r="80">
          <cell r="D80" t="str">
            <v>14-Mar</v>
          </cell>
          <cell r="E80" t="str">
            <v>0</v>
          </cell>
          <cell r="F80" t="str">
            <v>0</v>
          </cell>
          <cell r="G80" t="str">
            <v>0</v>
          </cell>
          <cell r="H80" t="str">
            <v>0</v>
          </cell>
          <cell r="I80" t="str">
            <v>0</v>
          </cell>
          <cell r="J80" t="str">
            <v>0</v>
          </cell>
          <cell r="K80" t="str">
            <v>0</v>
          </cell>
          <cell r="L80" t="str">
            <v>0</v>
          </cell>
          <cell r="M80" t="str">
            <v>0</v>
          </cell>
          <cell r="N80" t="str">
            <v>0</v>
          </cell>
          <cell r="O80" t="str">
            <v>0</v>
          </cell>
          <cell r="P80" t="str">
            <v>0</v>
          </cell>
          <cell r="Q80" t="str">
            <v>0</v>
          </cell>
          <cell r="R80" t="str">
            <v>0</v>
          </cell>
          <cell r="S80" t="str">
            <v>0</v>
          </cell>
          <cell r="T80" t="str">
            <v>0</v>
          </cell>
          <cell r="U80" t="str">
            <v>0</v>
          </cell>
          <cell r="V80" t="str">
            <v>0</v>
          </cell>
          <cell r="W80" t="str">
            <v>0</v>
          </cell>
          <cell r="X80" t="str">
            <v>0</v>
          </cell>
          <cell r="Y80" t="str">
            <v>0</v>
          </cell>
          <cell r="Z80" t="str">
            <v>0</v>
          </cell>
          <cell r="AA80" t="str">
            <v>0</v>
          </cell>
          <cell r="AB80" t="str">
            <v>0</v>
          </cell>
          <cell r="AC80" t="str">
            <v>0</v>
          </cell>
          <cell r="AD80" t="str">
            <v>0</v>
          </cell>
          <cell r="AE80" t="str">
            <v>0</v>
          </cell>
        </row>
        <row r="81">
          <cell r="D81" t="str">
            <v>15-Mar</v>
          </cell>
          <cell r="E81" t="str">
            <v>0</v>
          </cell>
          <cell r="F81" t="str">
            <v>0</v>
          </cell>
          <cell r="G81" t="str">
            <v>0</v>
          </cell>
          <cell r="H81" t="str">
            <v>0</v>
          </cell>
          <cell r="I81" t="str">
            <v>0</v>
          </cell>
          <cell r="J81" t="str">
            <v>0</v>
          </cell>
          <cell r="K81" t="str">
            <v>0</v>
          </cell>
          <cell r="L81" t="str">
            <v>0</v>
          </cell>
          <cell r="M81" t="str">
            <v>0</v>
          </cell>
          <cell r="N81" t="str">
            <v>0</v>
          </cell>
          <cell r="O81" t="str">
            <v>0</v>
          </cell>
          <cell r="P81" t="str">
            <v>0</v>
          </cell>
          <cell r="Q81" t="str">
            <v>0</v>
          </cell>
          <cell r="R81" t="str">
            <v>0</v>
          </cell>
          <cell r="S81" t="str">
            <v>0</v>
          </cell>
          <cell r="T81" t="str">
            <v>0</v>
          </cell>
          <cell r="U81" t="str">
            <v>0</v>
          </cell>
          <cell r="V81" t="str">
            <v>0</v>
          </cell>
          <cell r="W81" t="str">
            <v>0</v>
          </cell>
          <cell r="X81" t="str">
            <v>0</v>
          </cell>
          <cell r="Y81" t="str">
            <v>0</v>
          </cell>
          <cell r="Z81" t="str">
            <v>0</v>
          </cell>
          <cell r="AA81" t="str">
            <v>0</v>
          </cell>
          <cell r="AB81" t="str">
            <v>0</v>
          </cell>
          <cell r="AC81" t="str">
            <v>0</v>
          </cell>
          <cell r="AD81" t="str">
            <v>0</v>
          </cell>
          <cell r="AE81" t="str">
            <v>0</v>
          </cell>
        </row>
        <row r="82">
          <cell r="D82" t="str">
            <v>16-Mar</v>
          </cell>
          <cell r="E82" t="str">
            <v>0</v>
          </cell>
          <cell r="F82" t="str">
            <v>0</v>
          </cell>
          <cell r="G82" t="str">
            <v>0</v>
          </cell>
          <cell r="H82" t="str">
            <v>0</v>
          </cell>
          <cell r="I82" t="str">
            <v>0</v>
          </cell>
          <cell r="J82" t="str">
            <v>0</v>
          </cell>
          <cell r="K82" t="str">
            <v>0</v>
          </cell>
          <cell r="L82" t="str">
            <v>0</v>
          </cell>
          <cell r="M82" t="str">
            <v>0</v>
          </cell>
          <cell r="N82" t="str">
            <v>0</v>
          </cell>
          <cell r="O82" t="str">
            <v>0</v>
          </cell>
          <cell r="P82" t="str">
            <v>0</v>
          </cell>
          <cell r="Q82" t="str">
            <v>0</v>
          </cell>
          <cell r="R82" t="str">
            <v>0</v>
          </cell>
          <cell r="S82" t="str">
            <v>0</v>
          </cell>
          <cell r="T82" t="str">
            <v>0</v>
          </cell>
          <cell r="U82" t="str">
            <v>0</v>
          </cell>
          <cell r="V82" t="str">
            <v>0</v>
          </cell>
          <cell r="W82" t="str">
            <v>0</v>
          </cell>
          <cell r="X82" t="str">
            <v>0</v>
          </cell>
          <cell r="Y82" t="str">
            <v>0</v>
          </cell>
          <cell r="Z82" t="str">
            <v>0</v>
          </cell>
          <cell r="AA82" t="str">
            <v>0</v>
          </cell>
          <cell r="AB82" t="str">
            <v>0</v>
          </cell>
          <cell r="AC82" t="str">
            <v>0</v>
          </cell>
          <cell r="AD82" t="str">
            <v>0</v>
          </cell>
          <cell r="AE82" t="str">
            <v>0</v>
          </cell>
        </row>
        <row r="83">
          <cell r="D83" t="str">
            <v>17-Mar</v>
          </cell>
          <cell r="E83" t="str">
            <v>0</v>
          </cell>
          <cell r="F83" t="str">
            <v>0</v>
          </cell>
          <cell r="G83" t="str">
            <v>0</v>
          </cell>
          <cell r="H83" t="str">
            <v>0</v>
          </cell>
          <cell r="I83" t="str">
            <v>0</v>
          </cell>
          <cell r="J83" t="str">
            <v>0</v>
          </cell>
          <cell r="K83" t="str">
            <v>0</v>
          </cell>
          <cell r="L83" t="str">
            <v>0</v>
          </cell>
          <cell r="M83" t="str">
            <v>0</v>
          </cell>
          <cell r="N83" t="str">
            <v>0</v>
          </cell>
          <cell r="O83" t="str">
            <v>0</v>
          </cell>
          <cell r="P83" t="str">
            <v>0</v>
          </cell>
          <cell r="Q83" t="str">
            <v>0</v>
          </cell>
          <cell r="R83" t="str">
            <v>0</v>
          </cell>
          <cell r="S83" t="str">
            <v>0</v>
          </cell>
          <cell r="T83" t="str">
            <v>0</v>
          </cell>
          <cell r="U83" t="str">
            <v>0</v>
          </cell>
          <cell r="V83" t="str">
            <v>0</v>
          </cell>
          <cell r="W83" t="str">
            <v>0</v>
          </cell>
          <cell r="X83" t="str">
            <v>0</v>
          </cell>
          <cell r="Y83" t="str">
            <v>0</v>
          </cell>
          <cell r="Z83" t="str">
            <v>0</v>
          </cell>
          <cell r="AA83" t="str">
            <v>0</v>
          </cell>
          <cell r="AB83" t="str">
            <v>0</v>
          </cell>
          <cell r="AC83" t="str">
            <v>0</v>
          </cell>
          <cell r="AD83" t="str">
            <v>0</v>
          </cell>
          <cell r="AE83" t="str">
            <v>0</v>
          </cell>
        </row>
        <row r="84">
          <cell r="D84" t="str">
            <v>18-Mar</v>
          </cell>
          <cell r="E84" t="str">
            <v>0</v>
          </cell>
          <cell r="F84" t="str">
            <v>0</v>
          </cell>
          <cell r="G84" t="str">
            <v>0</v>
          </cell>
          <cell r="H84" t="str">
            <v>0</v>
          </cell>
          <cell r="I84" t="str">
            <v>0</v>
          </cell>
          <cell r="J84" t="str">
            <v>0</v>
          </cell>
          <cell r="K84" t="str">
            <v>0</v>
          </cell>
          <cell r="L84" t="str">
            <v>0</v>
          </cell>
          <cell r="M84" t="str">
            <v>0</v>
          </cell>
          <cell r="N84" t="str">
            <v>0</v>
          </cell>
          <cell r="O84" t="str">
            <v>0</v>
          </cell>
          <cell r="P84" t="str">
            <v>0</v>
          </cell>
          <cell r="Q84" t="str">
            <v>0</v>
          </cell>
          <cell r="R84" t="str">
            <v>0</v>
          </cell>
          <cell r="S84" t="str">
            <v>0</v>
          </cell>
          <cell r="T84" t="str">
            <v>0</v>
          </cell>
          <cell r="U84" t="str">
            <v>0</v>
          </cell>
          <cell r="V84" t="str">
            <v>0</v>
          </cell>
          <cell r="W84" t="str">
            <v>0</v>
          </cell>
          <cell r="X84" t="str">
            <v>0</v>
          </cell>
          <cell r="Y84" t="str">
            <v>0</v>
          </cell>
          <cell r="Z84" t="str">
            <v>0</v>
          </cell>
          <cell r="AA84" t="str">
            <v>0</v>
          </cell>
          <cell r="AB84" t="str">
            <v>0</v>
          </cell>
          <cell r="AC84" t="str">
            <v>0</v>
          </cell>
          <cell r="AD84" t="str">
            <v>0</v>
          </cell>
          <cell r="AE84" t="str">
            <v>0</v>
          </cell>
        </row>
        <row r="85">
          <cell r="D85" t="str">
            <v>19-Mar</v>
          </cell>
          <cell r="E85" t="str">
            <v>0</v>
          </cell>
          <cell r="F85" t="str">
            <v>0</v>
          </cell>
          <cell r="G85" t="str">
            <v>0</v>
          </cell>
          <cell r="H85" t="str">
            <v>0</v>
          </cell>
          <cell r="I85" t="str">
            <v>0</v>
          </cell>
          <cell r="J85" t="str">
            <v>0</v>
          </cell>
          <cell r="K85" t="str">
            <v>0</v>
          </cell>
          <cell r="L85" t="str">
            <v>0</v>
          </cell>
          <cell r="M85" t="str">
            <v>0</v>
          </cell>
          <cell r="N85" t="str">
            <v>0</v>
          </cell>
          <cell r="O85" t="str">
            <v>0</v>
          </cell>
          <cell r="P85" t="str">
            <v>0</v>
          </cell>
          <cell r="Q85" t="str">
            <v>0</v>
          </cell>
          <cell r="R85" t="str">
            <v>0</v>
          </cell>
          <cell r="S85" t="str">
            <v>0</v>
          </cell>
          <cell r="T85" t="str">
            <v>0</v>
          </cell>
          <cell r="U85" t="str">
            <v>0</v>
          </cell>
          <cell r="V85" t="str">
            <v>0</v>
          </cell>
          <cell r="W85" t="str">
            <v>0</v>
          </cell>
          <cell r="X85" t="str">
            <v>0</v>
          </cell>
          <cell r="Y85" t="str">
            <v>0</v>
          </cell>
          <cell r="Z85" t="str">
            <v>0</v>
          </cell>
          <cell r="AA85" t="str">
            <v>0</v>
          </cell>
          <cell r="AB85" t="str">
            <v>0</v>
          </cell>
          <cell r="AC85" t="str">
            <v>0</v>
          </cell>
          <cell r="AD85" t="str">
            <v>0</v>
          </cell>
          <cell r="AE85" t="str">
            <v>0</v>
          </cell>
        </row>
        <row r="86">
          <cell r="D86" t="str">
            <v>20-Mar</v>
          </cell>
          <cell r="E86" t="str">
            <v>0</v>
          </cell>
          <cell r="F86" t="str">
            <v>0</v>
          </cell>
          <cell r="G86" t="str">
            <v>0</v>
          </cell>
          <cell r="H86" t="str">
            <v>0</v>
          </cell>
          <cell r="I86" t="str">
            <v>0</v>
          </cell>
          <cell r="J86" t="str">
            <v>0</v>
          </cell>
          <cell r="K86" t="str">
            <v>0</v>
          </cell>
          <cell r="L86" t="str">
            <v>0</v>
          </cell>
          <cell r="M86" t="str">
            <v>0</v>
          </cell>
          <cell r="N86" t="str">
            <v>0</v>
          </cell>
          <cell r="O86" t="str">
            <v>0</v>
          </cell>
          <cell r="P86" t="str">
            <v>0</v>
          </cell>
          <cell r="Q86" t="str">
            <v>0</v>
          </cell>
          <cell r="R86" t="str">
            <v>0</v>
          </cell>
          <cell r="S86" t="str">
            <v>0</v>
          </cell>
          <cell r="T86" t="str">
            <v>0</v>
          </cell>
          <cell r="U86" t="str">
            <v>0</v>
          </cell>
          <cell r="V86" t="str">
            <v>0</v>
          </cell>
          <cell r="W86" t="str">
            <v>0</v>
          </cell>
          <cell r="X86" t="str">
            <v>0</v>
          </cell>
          <cell r="Y86" t="str">
            <v>0</v>
          </cell>
          <cell r="Z86" t="str">
            <v>0</v>
          </cell>
          <cell r="AA86" t="str">
            <v>0</v>
          </cell>
          <cell r="AB86" t="str">
            <v>0</v>
          </cell>
          <cell r="AC86" t="str">
            <v>0</v>
          </cell>
          <cell r="AD86" t="str">
            <v>0</v>
          </cell>
          <cell r="AE86" t="str">
            <v>0</v>
          </cell>
        </row>
        <row r="87">
          <cell r="D87" t="str">
            <v>21-Mar</v>
          </cell>
          <cell r="E87" t="str">
            <v>0</v>
          </cell>
          <cell r="F87" t="str">
            <v>0</v>
          </cell>
          <cell r="G87" t="str">
            <v>0</v>
          </cell>
          <cell r="H87" t="str">
            <v>0</v>
          </cell>
          <cell r="I87" t="str">
            <v>0</v>
          </cell>
          <cell r="J87" t="str">
            <v>0</v>
          </cell>
          <cell r="K87" t="str">
            <v>0</v>
          </cell>
          <cell r="L87" t="str">
            <v>0</v>
          </cell>
          <cell r="M87" t="str">
            <v>0</v>
          </cell>
          <cell r="N87" t="str">
            <v>0</v>
          </cell>
          <cell r="O87" t="str">
            <v>0</v>
          </cell>
          <cell r="P87" t="str">
            <v>0</v>
          </cell>
          <cell r="Q87" t="str">
            <v>0</v>
          </cell>
          <cell r="R87" t="str">
            <v>0</v>
          </cell>
          <cell r="S87" t="str">
            <v>0</v>
          </cell>
          <cell r="T87" t="str">
            <v>0</v>
          </cell>
          <cell r="U87" t="str">
            <v>0</v>
          </cell>
          <cell r="V87" t="str">
            <v>0</v>
          </cell>
          <cell r="W87" t="str">
            <v>0</v>
          </cell>
          <cell r="X87" t="str">
            <v>0</v>
          </cell>
          <cell r="Y87" t="str">
            <v>0</v>
          </cell>
          <cell r="Z87" t="str">
            <v>0</v>
          </cell>
          <cell r="AA87" t="str">
            <v>0</v>
          </cell>
          <cell r="AB87" t="str">
            <v>0</v>
          </cell>
          <cell r="AC87" t="str">
            <v>0</v>
          </cell>
          <cell r="AD87" t="str">
            <v>0</v>
          </cell>
          <cell r="AE87" t="str">
            <v>0</v>
          </cell>
        </row>
        <row r="88">
          <cell r="D88" t="str">
            <v>22-Mar</v>
          </cell>
          <cell r="E88" t="str">
            <v>0</v>
          </cell>
          <cell r="F88" t="str">
            <v>0</v>
          </cell>
          <cell r="G88" t="str">
            <v>0</v>
          </cell>
          <cell r="H88" t="str">
            <v>0</v>
          </cell>
          <cell r="I88" t="str">
            <v>0</v>
          </cell>
          <cell r="J88" t="str">
            <v>0</v>
          </cell>
          <cell r="K88" t="str">
            <v>0</v>
          </cell>
          <cell r="L88" t="str">
            <v>0</v>
          </cell>
          <cell r="M88" t="str">
            <v>0</v>
          </cell>
          <cell r="N88" t="str">
            <v>0</v>
          </cell>
          <cell r="O88" t="str">
            <v>0</v>
          </cell>
          <cell r="P88" t="str">
            <v>0</v>
          </cell>
          <cell r="Q88" t="str">
            <v>0</v>
          </cell>
          <cell r="R88" t="str">
            <v>0</v>
          </cell>
          <cell r="S88" t="str">
            <v>0</v>
          </cell>
          <cell r="T88" t="str">
            <v>0</v>
          </cell>
          <cell r="U88" t="str">
            <v>0</v>
          </cell>
          <cell r="V88" t="str">
            <v>0</v>
          </cell>
          <cell r="W88" t="str">
            <v>0</v>
          </cell>
          <cell r="X88" t="str">
            <v>0</v>
          </cell>
          <cell r="Y88" t="str">
            <v>0</v>
          </cell>
          <cell r="Z88" t="str">
            <v>0</v>
          </cell>
          <cell r="AA88" t="str">
            <v>0</v>
          </cell>
          <cell r="AB88" t="str">
            <v>0</v>
          </cell>
          <cell r="AC88" t="str">
            <v>0</v>
          </cell>
          <cell r="AD88" t="str">
            <v>0</v>
          </cell>
          <cell r="AE88" t="str">
            <v>0</v>
          </cell>
        </row>
        <row r="89">
          <cell r="D89" t="str">
            <v>23-Mar</v>
          </cell>
          <cell r="E89" t="str">
            <v>0</v>
          </cell>
          <cell r="F89" t="str">
            <v>0</v>
          </cell>
          <cell r="G89" t="str">
            <v>0</v>
          </cell>
          <cell r="H89" t="str">
            <v>0</v>
          </cell>
          <cell r="I89" t="str">
            <v>0</v>
          </cell>
          <cell r="J89" t="str">
            <v>0</v>
          </cell>
          <cell r="K89" t="str">
            <v>0</v>
          </cell>
          <cell r="L89" t="str">
            <v>0</v>
          </cell>
          <cell r="M89" t="str">
            <v>0</v>
          </cell>
          <cell r="N89" t="str">
            <v>0</v>
          </cell>
          <cell r="O89" t="str">
            <v>0</v>
          </cell>
          <cell r="P89" t="str">
            <v>0</v>
          </cell>
          <cell r="Q89" t="str">
            <v>0</v>
          </cell>
          <cell r="R89" t="str">
            <v>0</v>
          </cell>
          <cell r="S89" t="str">
            <v>0</v>
          </cell>
          <cell r="T89" t="str">
            <v>0</v>
          </cell>
          <cell r="U89" t="str">
            <v>0</v>
          </cell>
          <cell r="V89" t="str">
            <v>0</v>
          </cell>
          <cell r="W89" t="str">
            <v>0</v>
          </cell>
          <cell r="X89" t="str">
            <v>0</v>
          </cell>
          <cell r="Y89" t="str">
            <v>0</v>
          </cell>
          <cell r="Z89" t="str">
            <v>0</v>
          </cell>
          <cell r="AA89" t="str">
            <v>0</v>
          </cell>
          <cell r="AB89" t="str">
            <v>0</v>
          </cell>
          <cell r="AC89" t="str">
            <v>0</v>
          </cell>
          <cell r="AD89" t="str">
            <v>0</v>
          </cell>
          <cell r="AE89" t="str">
            <v>0</v>
          </cell>
        </row>
        <row r="90">
          <cell r="D90" t="str">
            <v>24-Mar</v>
          </cell>
          <cell r="E90" t="str">
            <v>0</v>
          </cell>
          <cell r="F90" t="str">
            <v>0</v>
          </cell>
          <cell r="G90" t="str">
            <v>0</v>
          </cell>
          <cell r="H90" t="str">
            <v>0</v>
          </cell>
          <cell r="I90" t="str">
            <v>0</v>
          </cell>
          <cell r="J90" t="str">
            <v>0</v>
          </cell>
          <cell r="K90" t="str">
            <v>0</v>
          </cell>
          <cell r="L90" t="str">
            <v>0</v>
          </cell>
          <cell r="M90" t="str">
            <v>0</v>
          </cell>
          <cell r="N90" t="str">
            <v>0</v>
          </cell>
          <cell r="O90" t="str">
            <v>0</v>
          </cell>
          <cell r="P90" t="str">
            <v>0</v>
          </cell>
          <cell r="Q90" t="str">
            <v>0</v>
          </cell>
          <cell r="R90" t="str">
            <v>0</v>
          </cell>
          <cell r="S90" t="str">
            <v>0</v>
          </cell>
          <cell r="T90" t="str">
            <v>0</v>
          </cell>
          <cell r="U90" t="str">
            <v>0</v>
          </cell>
          <cell r="V90" t="str">
            <v>0</v>
          </cell>
          <cell r="W90" t="str">
            <v>0</v>
          </cell>
          <cell r="X90" t="str">
            <v>0</v>
          </cell>
          <cell r="Y90" t="str">
            <v>0</v>
          </cell>
          <cell r="Z90" t="str">
            <v>0</v>
          </cell>
          <cell r="AA90" t="str">
            <v>0</v>
          </cell>
          <cell r="AB90" t="str">
            <v>0</v>
          </cell>
          <cell r="AC90" t="str">
            <v>0</v>
          </cell>
          <cell r="AD90" t="str">
            <v>0</v>
          </cell>
          <cell r="AE90" t="str">
            <v>0</v>
          </cell>
        </row>
        <row r="91">
          <cell r="D91" t="str">
            <v>25-Mar</v>
          </cell>
          <cell r="E91" t="str">
            <v>0</v>
          </cell>
          <cell r="F91" t="str">
            <v>0</v>
          </cell>
          <cell r="G91" t="str">
            <v>0</v>
          </cell>
          <cell r="H91" t="str">
            <v>0</v>
          </cell>
          <cell r="I91" t="str">
            <v>0</v>
          </cell>
          <cell r="J91" t="str">
            <v>0</v>
          </cell>
          <cell r="K91" t="str">
            <v>0</v>
          </cell>
          <cell r="L91" t="str">
            <v>0</v>
          </cell>
          <cell r="M91" t="str">
            <v>0</v>
          </cell>
          <cell r="N91" t="str">
            <v>0</v>
          </cell>
          <cell r="O91" t="str">
            <v>0</v>
          </cell>
          <cell r="P91" t="str">
            <v>0</v>
          </cell>
          <cell r="Q91" t="str">
            <v>0</v>
          </cell>
          <cell r="R91" t="str">
            <v>0</v>
          </cell>
          <cell r="S91" t="str">
            <v>0</v>
          </cell>
          <cell r="T91" t="str">
            <v>0</v>
          </cell>
          <cell r="U91" t="str">
            <v>0</v>
          </cell>
          <cell r="V91" t="str">
            <v>0</v>
          </cell>
          <cell r="W91" t="str">
            <v>0</v>
          </cell>
          <cell r="X91" t="str">
            <v>0</v>
          </cell>
          <cell r="Y91" t="str">
            <v>0</v>
          </cell>
          <cell r="Z91" t="str">
            <v>0</v>
          </cell>
          <cell r="AA91" t="str">
            <v>0</v>
          </cell>
          <cell r="AB91" t="str">
            <v>0</v>
          </cell>
          <cell r="AC91" t="str">
            <v>0</v>
          </cell>
          <cell r="AD91" t="str">
            <v>0</v>
          </cell>
          <cell r="AE91" t="str">
            <v>0</v>
          </cell>
        </row>
        <row r="92">
          <cell r="D92" t="str">
            <v>26-Mar</v>
          </cell>
          <cell r="E92" t="str">
            <v>0</v>
          </cell>
          <cell r="F92" t="str">
            <v>0</v>
          </cell>
          <cell r="G92" t="str">
            <v>0</v>
          </cell>
          <cell r="H92" t="str">
            <v>0</v>
          </cell>
          <cell r="I92" t="str">
            <v>0</v>
          </cell>
          <cell r="J92" t="str">
            <v>0</v>
          </cell>
          <cell r="K92" t="str">
            <v>0</v>
          </cell>
          <cell r="L92" t="str">
            <v>0</v>
          </cell>
          <cell r="M92" t="str">
            <v>0</v>
          </cell>
          <cell r="N92" t="str">
            <v>0</v>
          </cell>
          <cell r="O92" t="str">
            <v>0</v>
          </cell>
          <cell r="P92" t="str">
            <v>0</v>
          </cell>
          <cell r="Q92" t="str">
            <v>0</v>
          </cell>
          <cell r="R92" t="str">
            <v>0</v>
          </cell>
          <cell r="S92" t="str">
            <v>0</v>
          </cell>
          <cell r="T92" t="str">
            <v>0</v>
          </cell>
          <cell r="U92" t="str">
            <v>0</v>
          </cell>
          <cell r="V92" t="str">
            <v>0</v>
          </cell>
          <cell r="W92" t="str">
            <v>0</v>
          </cell>
          <cell r="X92" t="str">
            <v>0</v>
          </cell>
          <cell r="Y92" t="str">
            <v>0</v>
          </cell>
          <cell r="Z92" t="str">
            <v>0</v>
          </cell>
          <cell r="AA92" t="str">
            <v>0</v>
          </cell>
          <cell r="AB92" t="str">
            <v>0</v>
          </cell>
          <cell r="AC92" t="str">
            <v>0</v>
          </cell>
          <cell r="AD92" t="str">
            <v>0</v>
          </cell>
          <cell r="AE92" t="str">
            <v>0</v>
          </cell>
        </row>
        <row r="93">
          <cell r="D93" t="str">
            <v>27-Mar</v>
          </cell>
          <cell r="E93" t="str">
            <v>0</v>
          </cell>
          <cell r="F93" t="str">
            <v>0</v>
          </cell>
          <cell r="G93" t="str">
            <v>0</v>
          </cell>
          <cell r="H93" t="str">
            <v>0</v>
          </cell>
          <cell r="I93" t="str">
            <v>0</v>
          </cell>
          <cell r="J93" t="str">
            <v>0</v>
          </cell>
          <cell r="K93" t="str">
            <v>0</v>
          </cell>
          <cell r="L93" t="str">
            <v>0</v>
          </cell>
          <cell r="M93" t="str">
            <v>0</v>
          </cell>
          <cell r="N93" t="str">
            <v>0</v>
          </cell>
          <cell r="O93" t="str">
            <v>0</v>
          </cell>
          <cell r="P93" t="str">
            <v>0</v>
          </cell>
          <cell r="Q93" t="str">
            <v>0</v>
          </cell>
          <cell r="R93" t="str">
            <v>0</v>
          </cell>
          <cell r="S93" t="str">
            <v>0</v>
          </cell>
          <cell r="T93" t="str">
            <v>0</v>
          </cell>
          <cell r="U93" t="str">
            <v>0</v>
          </cell>
          <cell r="V93" t="str">
            <v>0</v>
          </cell>
          <cell r="W93" t="str">
            <v>0</v>
          </cell>
          <cell r="X93" t="str">
            <v>0</v>
          </cell>
          <cell r="Y93" t="str">
            <v>0</v>
          </cell>
          <cell r="Z93" t="str">
            <v>0</v>
          </cell>
          <cell r="AA93" t="str">
            <v>0</v>
          </cell>
          <cell r="AB93" t="str">
            <v>0</v>
          </cell>
          <cell r="AC93" t="str">
            <v>0</v>
          </cell>
          <cell r="AD93" t="str">
            <v>0</v>
          </cell>
          <cell r="AE93" t="str">
            <v>0</v>
          </cell>
        </row>
        <row r="94">
          <cell r="D94" t="str">
            <v>28-Mar</v>
          </cell>
          <cell r="E94" t="str">
            <v>0</v>
          </cell>
          <cell r="F94" t="str">
            <v>0</v>
          </cell>
          <cell r="G94" t="str">
            <v>0</v>
          </cell>
          <cell r="H94" t="str">
            <v>0</v>
          </cell>
          <cell r="I94" t="str">
            <v>0</v>
          </cell>
          <cell r="J94" t="str">
            <v>0</v>
          </cell>
          <cell r="K94" t="str">
            <v>0</v>
          </cell>
          <cell r="L94" t="str">
            <v>0</v>
          </cell>
          <cell r="M94" t="str">
            <v>0</v>
          </cell>
          <cell r="N94" t="str">
            <v>0</v>
          </cell>
          <cell r="O94" t="str">
            <v>0</v>
          </cell>
          <cell r="P94" t="str">
            <v>0</v>
          </cell>
          <cell r="Q94" t="str">
            <v>0</v>
          </cell>
          <cell r="R94" t="str">
            <v>0</v>
          </cell>
          <cell r="S94" t="str">
            <v>0</v>
          </cell>
          <cell r="T94" t="str">
            <v>0</v>
          </cell>
          <cell r="U94" t="str">
            <v>0</v>
          </cell>
          <cell r="V94" t="str">
            <v>0</v>
          </cell>
          <cell r="W94" t="str">
            <v>0</v>
          </cell>
          <cell r="X94" t="str">
            <v>0</v>
          </cell>
          <cell r="Y94" t="str">
            <v>0</v>
          </cell>
          <cell r="Z94" t="str">
            <v>0</v>
          </cell>
          <cell r="AA94" t="str">
            <v>0</v>
          </cell>
          <cell r="AB94" t="str">
            <v>0</v>
          </cell>
          <cell r="AC94" t="str">
            <v>0</v>
          </cell>
          <cell r="AD94" t="str">
            <v>0</v>
          </cell>
          <cell r="AE94" t="str">
            <v>0</v>
          </cell>
        </row>
        <row r="95">
          <cell r="D95" t="str">
            <v>29-Mar</v>
          </cell>
          <cell r="E95" t="str">
            <v>0</v>
          </cell>
          <cell r="F95" t="str">
            <v>0</v>
          </cell>
          <cell r="G95" t="str">
            <v>0</v>
          </cell>
          <cell r="H95" t="str">
            <v>0</v>
          </cell>
          <cell r="I95" t="str">
            <v>0</v>
          </cell>
          <cell r="J95" t="str">
            <v>0</v>
          </cell>
          <cell r="K95" t="str">
            <v>0</v>
          </cell>
          <cell r="L95" t="str">
            <v>0</v>
          </cell>
          <cell r="M95" t="str">
            <v>0</v>
          </cell>
          <cell r="N95" t="str">
            <v>0</v>
          </cell>
          <cell r="O95" t="str">
            <v>0</v>
          </cell>
          <cell r="P95" t="str">
            <v>0</v>
          </cell>
          <cell r="Q95" t="str">
            <v>0</v>
          </cell>
          <cell r="R95" t="str">
            <v>0</v>
          </cell>
          <cell r="S95" t="str">
            <v>0</v>
          </cell>
          <cell r="T95" t="str">
            <v>0</v>
          </cell>
          <cell r="U95" t="str">
            <v>0</v>
          </cell>
          <cell r="V95" t="str">
            <v>0</v>
          </cell>
          <cell r="W95" t="str">
            <v>0</v>
          </cell>
          <cell r="X95" t="str">
            <v>0</v>
          </cell>
          <cell r="Y95" t="str">
            <v>0</v>
          </cell>
          <cell r="Z95" t="str">
            <v>0</v>
          </cell>
          <cell r="AA95" t="str">
            <v>0</v>
          </cell>
          <cell r="AB95" t="str">
            <v>0</v>
          </cell>
          <cell r="AC95" t="str">
            <v>0</v>
          </cell>
          <cell r="AD95" t="str">
            <v>0</v>
          </cell>
          <cell r="AE95" t="str">
            <v>0</v>
          </cell>
        </row>
        <row r="96">
          <cell r="D96" t="str">
            <v>30-Mar</v>
          </cell>
          <cell r="E96" t="str">
            <v>0</v>
          </cell>
          <cell r="F96" t="str">
            <v>0</v>
          </cell>
          <cell r="G96" t="str">
            <v>0</v>
          </cell>
          <cell r="H96" t="str">
            <v>0</v>
          </cell>
          <cell r="I96" t="str">
            <v>0</v>
          </cell>
          <cell r="J96" t="str">
            <v>0</v>
          </cell>
          <cell r="K96" t="str">
            <v>0</v>
          </cell>
          <cell r="L96" t="str">
            <v>0</v>
          </cell>
          <cell r="M96" t="str">
            <v>0</v>
          </cell>
          <cell r="N96" t="str">
            <v>0</v>
          </cell>
          <cell r="O96" t="str">
            <v>0</v>
          </cell>
          <cell r="P96" t="str">
            <v>0</v>
          </cell>
          <cell r="Q96" t="str">
            <v>0</v>
          </cell>
          <cell r="R96" t="str">
            <v>0</v>
          </cell>
          <cell r="S96" t="str">
            <v>0</v>
          </cell>
          <cell r="T96" t="str">
            <v>0</v>
          </cell>
          <cell r="U96" t="str">
            <v>0</v>
          </cell>
          <cell r="V96" t="str">
            <v>0</v>
          </cell>
          <cell r="W96" t="str">
            <v>0</v>
          </cell>
          <cell r="X96" t="str">
            <v>0</v>
          </cell>
          <cell r="Y96" t="str">
            <v>0</v>
          </cell>
          <cell r="Z96" t="str">
            <v>0</v>
          </cell>
          <cell r="AA96" t="str">
            <v>0</v>
          </cell>
          <cell r="AB96" t="str">
            <v>0</v>
          </cell>
          <cell r="AC96" t="str">
            <v>0</v>
          </cell>
          <cell r="AD96" t="str">
            <v>0</v>
          </cell>
          <cell r="AE96" t="str">
            <v>0</v>
          </cell>
        </row>
        <row r="97">
          <cell r="D97" t="str">
            <v>31-Mar</v>
          </cell>
          <cell r="E97" t="str">
            <v>0</v>
          </cell>
          <cell r="F97" t="str">
            <v>0</v>
          </cell>
          <cell r="G97" t="str">
            <v>0</v>
          </cell>
          <cell r="H97" t="str">
            <v>0</v>
          </cell>
          <cell r="I97" t="str">
            <v>0</v>
          </cell>
          <cell r="J97" t="str">
            <v>0</v>
          </cell>
          <cell r="K97" t="str">
            <v>0</v>
          </cell>
          <cell r="L97" t="str">
            <v>0</v>
          </cell>
          <cell r="M97" t="str">
            <v>0</v>
          </cell>
          <cell r="N97" t="str">
            <v>0</v>
          </cell>
          <cell r="O97" t="str">
            <v>0</v>
          </cell>
          <cell r="P97" t="str">
            <v>0</v>
          </cell>
          <cell r="Q97" t="str">
            <v>0</v>
          </cell>
          <cell r="R97" t="str">
            <v>0</v>
          </cell>
          <cell r="S97" t="str">
            <v>0</v>
          </cell>
          <cell r="T97" t="str">
            <v>0</v>
          </cell>
          <cell r="U97" t="str">
            <v>0</v>
          </cell>
          <cell r="V97" t="str">
            <v>0</v>
          </cell>
          <cell r="W97" t="str">
            <v>0</v>
          </cell>
          <cell r="X97" t="str">
            <v>0</v>
          </cell>
          <cell r="Y97" t="str">
            <v>0</v>
          </cell>
          <cell r="Z97" t="str">
            <v>0</v>
          </cell>
          <cell r="AA97" t="str">
            <v>0</v>
          </cell>
          <cell r="AB97" t="str">
            <v>0</v>
          </cell>
          <cell r="AC97" t="str">
            <v>0</v>
          </cell>
          <cell r="AD97" t="str">
            <v>0</v>
          </cell>
          <cell r="AE97" t="str">
            <v>0</v>
          </cell>
        </row>
        <row r="98">
          <cell r="D98" t="str">
            <v>01-Apr</v>
          </cell>
          <cell r="E98" t="str">
            <v>0</v>
          </cell>
          <cell r="F98" t="str">
            <v>0</v>
          </cell>
          <cell r="G98" t="str">
            <v>0</v>
          </cell>
          <cell r="H98" t="str">
            <v>0</v>
          </cell>
          <cell r="I98" t="str">
            <v>0</v>
          </cell>
          <cell r="J98" t="str">
            <v>0</v>
          </cell>
          <cell r="K98" t="str">
            <v>0</v>
          </cell>
          <cell r="L98" t="str">
            <v>0</v>
          </cell>
          <cell r="M98" t="str">
            <v>0</v>
          </cell>
          <cell r="N98" t="str">
            <v>0</v>
          </cell>
          <cell r="O98" t="str">
            <v>0</v>
          </cell>
          <cell r="P98" t="str">
            <v>0</v>
          </cell>
          <cell r="Q98" t="str">
            <v>0</v>
          </cell>
          <cell r="R98" t="str">
            <v>0</v>
          </cell>
          <cell r="S98" t="str">
            <v>0</v>
          </cell>
          <cell r="T98" t="str">
            <v>0</v>
          </cell>
          <cell r="U98" t="str">
            <v>0</v>
          </cell>
          <cell r="V98" t="str">
            <v>0</v>
          </cell>
          <cell r="W98" t="str">
            <v>0</v>
          </cell>
          <cell r="X98" t="str">
            <v>0</v>
          </cell>
          <cell r="Y98" t="str">
            <v>0</v>
          </cell>
          <cell r="Z98" t="str">
            <v>0</v>
          </cell>
          <cell r="AA98" t="str">
            <v>0</v>
          </cell>
          <cell r="AB98" t="str">
            <v>0</v>
          </cell>
          <cell r="AC98" t="str">
            <v>0</v>
          </cell>
          <cell r="AD98" t="str">
            <v>0</v>
          </cell>
          <cell r="AE98" t="str">
            <v>0</v>
          </cell>
        </row>
        <row r="99">
          <cell r="D99" t="str">
            <v>02-Apr</v>
          </cell>
          <cell r="E99" t="str">
            <v>0</v>
          </cell>
          <cell r="F99" t="str">
            <v>0</v>
          </cell>
          <cell r="G99" t="str">
            <v>0</v>
          </cell>
          <cell r="H99" t="str">
            <v>0</v>
          </cell>
          <cell r="I99" t="str">
            <v>0</v>
          </cell>
          <cell r="J99" t="str">
            <v>0</v>
          </cell>
          <cell r="K99" t="str">
            <v>0</v>
          </cell>
          <cell r="L99" t="str">
            <v>0</v>
          </cell>
          <cell r="M99" t="str">
            <v>0</v>
          </cell>
          <cell r="N99" t="str">
            <v>0</v>
          </cell>
          <cell r="O99" t="str">
            <v>0</v>
          </cell>
          <cell r="P99" t="str">
            <v>0</v>
          </cell>
          <cell r="Q99" t="str">
            <v>0</v>
          </cell>
          <cell r="R99" t="str">
            <v>0</v>
          </cell>
          <cell r="S99" t="str">
            <v>0</v>
          </cell>
          <cell r="T99" t="str">
            <v>0</v>
          </cell>
          <cell r="U99" t="str">
            <v>0</v>
          </cell>
          <cell r="V99" t="str">
            <v>0</v>
          </cell>
          <cell r="W99" t="str">
            <v>0</v>
          </cell>
          <cell r="X99" t="str">
            <v>0</v>
          </cell>
          <cell r="Y99" t="str">
            <v>0</v>
          </cell>
          <cell r="Z99" t="str">
            <v>0</v>
          </cell>
          <cell r="AA99" t="str">
            <v>0</v>
          </cell>
          <cell r="AB99" t="str">
            <v>0</v>
          </cell>
          <cell r="AC99" t="str">
            <v>0</v>
          </cell>
          <cell r="AD99" t="str">
            <v>0</v>
          </cell>
          <cell r="AE99" t="str">
            <v>0</v>
          </cell>
        </row>
        <row r="100">
          <cell r="D100" t="str">
            <v>03-Apr</v>
          </cell>
          <cell r="E100" t="str">
            <v>0</v>
          </cell>
          <cell r="F100" t="str">
            <v>0</v>
          </cell>
          <cell r="G100" t="str">
            <v>0</v>
          </cell>
          <cell r="H100" t="str">
            <v>0</v>
          </cell>
          <cell r="I100" t="str">
            <v>0</v>
          </cell>
          <cell r="J100" t="str">
            <v>0</v>
          </cell>
          <cell r="K100" t="str">
            <v>0</v>
          </cell>
          <cell r="L100" t="str">
            <v>0</v>
          </cell>
          <cell r="M100" t="str">
            <v>0</v>
          </cell>
          <cell r="N100" t="str">
            <v>0</v>
          </cell>
          <cell r="O100" t="str">
            <v>0</v>
          </cell>
          <cell r="P100" t="str">
            <v>0</v>
          </cell>
          <cell r="Q100" t="str">
            <v>0</v>
          </cell>
          <cell r="R100" t="str">
            <v>0</v>
          </cell>
          <cell r="S100" t="str">
            <v>0</v>
          </cell>
          <cell r="T100" t="str">
            <v>0</v>
          </cell>
          <cell r="U100" t="str">
            <v>0</v>
          </cell>
          <cell r="V100" t="str">
            <v>0</v>
          </cell>
          <cell r="W100" t="str">
            <v>0</v>
          </cell>
          <cell r="X100" t="str">
            <v>0</v>
          </cell>
          <cell r="Y100" t="str">
            <v>0</v>
          </cell>
          <cell r="Z100" t="str">
            <v>0</v>
          </cell>
          <cell r="AA100" t="str">
            <v>0</v>
          </cell>
          <cell r="AB100" t="str">
            <v>0</v>
          </cell>
          <cell r="AC100" t="str">
            <v>0</v>
          </cell>
          <cell r="AD100" t="str">
            <v>0</v>
          </cell>
          <cell r="AE100" t="str">
            <v>0</v>
          </cell>
        </row>
        <row r="101">
          <cell r="D101" t="str">
            <v>04-Apr</v>
          </cell>
          <cell r="E101" t="str">
            <v>0</v>
          </cell>
          <cell r="F101" t="str">
            <v>0</v>
          </cell>
          <cell r="G101" t="str">
            <v>0</v>
          </cell>
          <cell r="H101" t="str">
            <v>0</v>
          </cell>
          <cell r="I101" t="str">
            <v>0</v>
          </cell>
          <cell r="J101" t="str">
            <v>0</v>
          </cell>
          <cell r="K101" t="str">
            <v>0</v>
          </cell>
          <cell r="L101" t="str">
            <v>0</v>
          </cell>
          <cell r="M101" t="str">
            <v>0</v>
          </cell>
          <cell r="N101" t="str">
            <v>0</v>
          </cell>
          <cell r="O101" t="str">
            <v>0</v>
          </cell>
          <cell r="P101" t="str">
            <v>0</v>
          </cell>
          <cell r="Q101" t="str">
            <v>0</v>
          </cell>
          <cell r="R101" t="str">
            <v>0</v>
          </cell>
          <cell r="S101" t="str">
            <v>0</v>
          </cell>
          <cell r="T101" t="str">
            <v>0</v>
          </cell>
          <cell r="U101" t="str">
            <v>0</v>
          </cell>
          <cell r="V101" t="str">
            <v>0</v>
          </cell>
          <cell r="W101" t="str">
            <v>0</v>
          </cell>
          <cell r="X101" t="str">
            <v>0</v>
          </cell>
          <cell r="Y101" t="str">
            <v>0</v>
          </cell>
          <cell r="Z101" t="str">
            <v>0</v>
          </cell>
          <cell r="AA101" t="str">
            <v>0</v>
          </cell>
          <cell r="AB101" t="str">
            <v>0</v>
          </cell>
          <cell r="AC101" t="str">
            <v>0</v>
          </cell>
          <cell r="AD101" t="str">
            <v>0</v>
          </cell>
          <cell r="AE101" t="str">
            <v>0</v>
          </cell>
        </row>
        <row r="102">
          <cell r="D102" t="str">
            <v>05-Apr</v>
          </cell>
          <cell r="E102" t="str">
            <v>0</v>
          </cell>
          <cell r="F102" t="str">
            <v>0</v>
          </cell>
          <cell r="G102" t="str">
            <v>0</v>
          </cell>
          <cell r="H102" t="str">
            <v>0</v>
          </cell>
          <cell r="I102" t="str">
            <v>0</v>
          </cell>
          <cell r="J102" t="str">
            <v>0</v>
          </cell>
          <cell r="K102" t="str">
            <v>0</v>
          </cell>
          <cell r="L102" t="str">
            <v>0</v>
          </cell>
          <cell r="M102" t="str">
            <v>0</v>
          </cell>
          <cell r="N102" t="str">
            <v>0</v>
          </cell>
          <cell r="O102" t="str">
            <v>0</v>
          </cell>
          <cell r="P102" t="str">
            <v>0</v>
          </cell>
          <cell r="Q102" t="str">
            <v>0</v>
          </cell>
          <cell r="R102" t="str">
            <v>0</v>
          </cell>
          <cell r="S102" t="str">
            <v>0</v>
          </cell>
          <cell r="T102" t="str">
            <v>0</v>
          </cell>
          <cell r="U102" t="str">
            <v>0</v>
          </cell>
          <cell r="V102" t="str">
            <v>0</v>
          </cell>
          <cell r="W102" t="str">
            <v>0</v>
          </cell>
          <cell r="X102" t="str">
            <v>0</v>
          </cell>
          <cell r="Y102" t="str">
            <v>0</v>
          </cell>
          <cell r="Z102" t="str">
            <v>0</v>
          </cell>
          <cell r="AA102" t="str">
            <v>0</v>
          </cell>
          <cell r="AB102" t="str">
            <v>0</v>
          </cell>
          <cell r="AC102" t="str">
            <v>0</v>
          </cell>
          <cell r="AD102" t="str">
            <v>0</v>
          </cell>
          <cell r="AE102" t="str">
            <v>0</v>
          </cell>
        </row>
        <row r="103">
          <cell r="D103" t="str">
            <v>06-Apr</v>
          </cell>
          <cell r="E103" t="str">
            <v>0</v>
          </cell>
          <cell r="F103" t="str">
            <v>0</v>
          </cell>
          <cell r="G103" t="str">
            <v>0</v>
          </cell>
          <cell r="H103" t="str">
            <v>0</v>
          </cell>
          <cell r="I103" t="str">
            <v>0</v>
          </cell>
          <cell r="J103" t="str">
            <v>0</v>
          </cell>
          <cell r="K103" t="str">
            <v>0</v>
          </cell>
          <cell r="L103" t="str">
            <v>0</v>
          </cell>
          <cell r="M103" t="str">
            <v>0</v>
          </cell>
          <cell r="N103" t="str">
            <v>0</v>
          </cell>
          <cell r="O103" t="str">
            <v>0</v>
          </cell>
          <cell r="P103" t="str">
            <v>0</v>
          </cell>
          <cell r="Q103" t="str">
            <v>0</v>
          </cell>
          <cell r="R103" t="str">
            <v>0</v>
          </cell>
          <cell r="S103" t="str">
            <v>0</v>
          </cell>
          <cell r="T103" t="str">
            <v>0</v>
          </cell>
          <cell r="U103" t="str">
            <v>0</v>
          </cell>
          <cell r="V103" t="str">
            <v>0</v>
          </cell>
          <cell r="W103" t="str">
            <v>0</v>
          </cell>
          <cell r="X103" t="str">
            <v>0</v>
          </cell>
          <cell r="Y103" t="str">
            <v>0</v>
          </cell>
          <cell r="Z103" t="str">
            <v>0</v>
          </cell>
          <cell r="AA103" t="str">
            <v>0</v>
          </cell>
          <cell r="AB103" t="str">
            <v>0</v>
          </cell>
          <cell r="AC103" t="str">
            <v>0</v>
          </cell>
          <cell r="AD103" t="str">
            <v>0</v>
          </cell>
          <cell r="AE103" t="str">
            <v>0</v>
          </cell>
        </row>
        <row r="104">
          <cell r="D104" t="str">
            <v>07-Apr</v>
          </cell>
          <cell r="E104" t="str">
            <v>0</v>
          </cell>
          <cell r="F104" t="str">
            <v>0</v>
          </cell>
          <cell r="G104" t="str">
            <v>0</v>
          </cell>
          <cell r="H104" t="str">
            <v>0</v>
          </cell>
          <cell r="I104" t="str">
            <v>0</v>
          </cell>
          <cell r="J104" t="str">
            <v>0</v>
          </cell>
          <cell r="K104" t="str">
            <v>0</v>
          </cell>
          <cell r="L104" t="str">
            <v>0</v>
          </cell>
          <cell r="M104" t="str">
            <v>0</v>
          </cell>
          <cell r="N104" t="str">
            <v>0</v>
          </cell>
          <cell r="O104" t="str">
            <v>0</v>
          </cell>
          <cell r="P104" t="str">
            <v>0</v>
          </cell>
          <cell r="Q104" t="str">
            <v>0</v>
          </cell>
          <cell r="R104" t="str">
            <v>0</v>
          </cell>
          <cell r="S104" t="str">
            <v>0</v>
          </cell>
          <cell r="T104" t="str">
            <v>0</v>
          </cell>
          <cell r="U104" t="str">
            <v>0</v>
          </cell>
          <cell r="V104" t="str">
            <v>0</v>
          </cell>
          <cell r="W104" t="str">
            <v>0</v>
          </cell>
          <cell r="X104" t="str">
            <v>0</v>
          </cell>
          <cell r="Y104" t="str">
            <v>0</v>
          </cell>
          <cell r="Z104" t="str">
            <v>0</v>
          </cell>
          <cell r="AA104" t="str">
            <v>0</v>
          </cell>
          <cell r="AB104" t="str">
            <v>0</v>
          </cell>
          <cell r="AC104" t="str">
            <v>0</v>
          </cell>
          <cell r="AD104" t="str">
            <v>0</v>
          </cell>
          <cell r="AE104" t="str">
            <v>0</v>
          </cell>
        </row>
        <row r="105">
          <cell r="D105" t="str">
            <v>08-Apr</v>
          </cell>
          <cell r="E105" t="str">
            <v>0</v>
          </cell>
          <cell r="F105" t="str">
            <v>0</v>
          </cell>
          <cell r="G105" t="str">
            <v>0</v>
          </cell>
          <cell r="H105" t="str">
            <v>0</v>
          </cell>
          <cell r="I105" t="str">
            <v>0</v>
          </cell>
          <cell r="J105" t="str">
            <v>0</v>
          </cell>
          <cell r="K105" t="str">
            <v>0</v>
          </cell>
          <cell r="L105" t="str">
            <v>0</v>
          </cell>
          <cell r="M105" t="str">
            <v>0</v>
          </cell>
          <cell r="N105" t="str">
            <v>0</v>
          </cell>
          <cell r="O105" t="str">
            <v>0</v>
          </cell>
          <cell r="P105" t="str">
            <v>0</v>
          </cell>
          <cell r="Q105" t="str">
            <v>0</v>
          </cell>
          <cell r="R105" t="str">
            <v>0</v>
          </cell>
          <cell r="S105" t="str">
            <v>0</v>
          </cell>
          <cell r="T105" t="str">
            <v>0</v>
          </cell>
          <cell r="U105" t="str">
            <v>0</v>
          </cell>
          <cell r="V105" t="str">
            <v>0</v>
          </cell>
          <cell r="W105" t="str">
            <v>0</v>
          </cell>
          <cell r="X105" t="str">
            <v>0</v>
          </cell>
          <cell r="Y105" t="str">
            <v>0</v>
          </cell>
          <cell r="Z105" t="str">
            <v>0</v>
          </cell>
          <cell r="AA105" t="str">
            <v>0</v>
          </cell>
          <cell r="AB105" t="str">
            <v>0</v>
          </cell>
          <cell r="AC105" t="str">
            <v>0</v>
          </cell>
          <cell r="AD105" t="str">
            <v>0</v>
          </cell>
          <cell r="AE105" t="str">
            <v>0</v>
          </cell>
        </row>
        <row r="106">
          <cell r="D106" t="str">
            <v>09-Apr</v>
          </cell>
          <cell r="E106" t="str">
            <v>0</v>
          </cell>
          <cell r="F106" t="str">
            <v>0</v>
          </cell>
          <cell r="G106" t="str">
            <v>0</v>
          </cell>
          <cell r="H106" t="str">
            <v>0</v>
          </cell>
          <cell r="I106" t="str">
            <v>0</v>
          </cell>
          <cell r="J106" t="str">
            <v>0</v>
          </cell>
          <cell r="K106" t="str">
            <v>0</v>
          </cell>
          <cell r="L106" t="str">
            <v>0</v>
          </cell>
          <cell r="M106" t="str">
            <v>0</v>
          </cell>
          <cell r="N106" t="str">
            <v>0</v>
          </cell>
          <cell r="O106" t="str">
            <v>0</v>
          </cell>
          <cell r="P106" t="str">
            <v>0</v>
          </cell>
          <cell r="Q106" t="str">
            <v>0</v>
          </cell>
          <cell r="R106" t="str">
            <v>0</v>
          </cell>
          <cell r="S106" t="str">
            <v>0</v>
          </cell>
          <cell r="T106" t="str">
            <v>0</v>
          </cell>
          <cell r="U106" t="str">
            <v>0</v>
          </cell>
          <cell r="V106" t="str">
            <v>0</v>
          </cell>
          <cell r="W106" t="str">
            <v>0</v>
          </cell>
          <cell r="X106" t="str">
            <v>0</v>
          </cell>
          <cell r="Y106" t="str">
            <v>0</v>
          </cell>
          <cell r="Z106" t="str">
            <v>0</v>
          </cell>
          <cell r="AA106" t="str">
            <v>0</v>
          </cell>
          <cell r="AB106" t="str">
            <v>0</v>
          </cell>
          <cell r="AC106" t="str">
            <v>0</v>
          </cell>
          <cell r="AD106" t="str">
            <v>0</v>
          </cell>
          <cell r="AE106" t="str">
            <v>0</v>
          </cell>
        </row>
        <row r="107">
          <cell r="D107" t="str">
            <v>10-Apr</v>
          </cell>
          <cell r="E107" t="str">
            <v>0</v>
          </cell>
          <cell r="F107" t="str">
            <v>0</v>
          </cell>
          <cell r="G107" t="str">
            <v>0</v>
          </cell>
          <cell r="H107" t="str">
            <v>0</v>
          </cell>
          <cell r="I107" t="str">
            <v>0</v>
          </cell>
          <cell r="J107" t="str">
            <v>0</v>
          </cell>
          <cell r="K107" t="str">
            <v>0</v>
          </cell>
          <cell r="L107" t="str">
            <v>0</v>
          </cell>
          <cell r="M107" t="str">
            <v>0</v>
          </cell>
          <cell r="N107" t="str">
            <v>0</v>
          </cell>
          <cell r="O107" t="str">
            <v>0</v>
          </cell>
          <cell r="P107" t="str">
            <v>0</v>
          </cell>
          <cell r="Q107" t="str">
            <v>0</v>
          </cell>
          <cell r="R107" t="str">
            <v>0</v>
          </cell>
          <cell r="S107" t="str">
            <v>0</v>
          </cell>
          <cell r="T107" t="str">
            <v>0</v>
          </cell>
          <cell r="U107" t="str">
            <v>0</v>
          </cell>
          <cell r="V107" t="str">
            <v>0</v>
          </cell>
          <cell r="W107" t="str">
            <v>0</v>
          </cell>
          <cell r="X107" t="str">
            <v>0</v>
          </cell>
          <cell r="Y107" t="str">
            <v>0</v>
          </cell>
          <cell r="Z107" t="str">
            <v>0</v>
          </cell>
          <cell r="AA107" t="str">
            <v>0</v>
          </cell>
          <cell r="AB107" t="str">
            <v>0</v>
          </cell>
          <cell r="AC107" t="str">
            <v>0</v>
          </cell>
          <cell r="AD107" t="str">
            <v>0</v>
          </cell>
          <cell r="AE107" t="str">
            <v>0</v>
          </cell>
        </row>
        <row r="108">
          <cell r="D108" t="str">
            <v>11-Apr</v>
          </cell>
          <cell r="E108" t="str">
            <v>0</v>
          </cell>
          <cell r="F108" t="str">
            <v>0</v>
          </cell>
          <cell r="G108" t="str">
            <v>0</v>
          </cell>
          <cell r="H108" t="str">
            <v>0</v>
          </cell>
          <cell r="I108" t="str">
            <v>0</v>
          </cell>
          <cell r="J108" t="str">
            <v>0</v>
          </cell>
          <cell r="K108" t="str">
            <v>0</v>
          </cell>
          <cell r="L108" t="str">
            <v>0</v>
          </cell>
          <cell r="M108" t="str">
            <v>0</v>
          </cell>
          <cell r="N108" t="str">
            <v>0</v>
          </cell>
          <cell r="O108" t="str">
            <v>0</v>
          </cell>
          <cell r="P108" t="str">
            <v>0</v>
          </cell>
          <cell r="Q108" t="str">
            <v>0</v>
          </cell>
          <cell r="R108" t="str">
            <v>0</v>
          </cell>
          <cell r="S108" t="str">
            <v>0</v>
          </cell>
          <cell r="T108" t="str">
            <v>0</v>
          </cell>
          <cell r="U108" t="str">
            <v>0</v>
          </cell>
          <cell r="V108" t="str">
            <v>0</v>
          </cell>
          <cell r="W108" t="str">
            <v>0</v>
          </cell>
          <cell r="X108" t="str">
            <v>0</v>
          </cell>
          <cell r="Y108" t="str">
            <v>0</v>
          </cell>
          <cell r="Z108" t="str">
            <v>0</v>
          </cell>
          <cell r="AA108" t="str">
            <v>0</v>
          </cell>
          <cell r="AB108" t="str">
            <v>0</v>
          </cell>
          <cell r="AC108" t="str">
            <v>0</v>
          </cell>
          <cell r="AD108" t="str">
            <v>0</v>
          </cell>
          <cell r="AE108" t="str">
            <v>0</v>
          </cell>
        </row>
        <row r="109">
          <cell r="D109" t="str">
            <v>12-Apr</v>
          </cell>
          <cell r="E109" t="str">
            <v>0</v>
          </cell>
          <cell r="F109" t="str">
            <v>0</v>
          </cell>
          <cell r="G109" t="str">
            <v>0</v>
          </cell>
          <cell r="H109" t="str">
            <v>0</v>
          </cell>
          <cell r="I109" t="str">
            <v>0</v>
          </cell>
          <cell r="J109" t="str">
            <v>0</v>
          </cell>
          <cell r="K109" t="str">
            <v>0</v>
          </cell>
          <cell r="L109" t="str">
            <v>0</v>
          </cell>
          <cell r="M109" t="str">
            <v>0</v>
          </cell>
          <cell r="N109" t="str">
            <v>0</v>
          </cell>
          <cell r="O109" t="str">
            <v>0</v>
          </cell>
          <cell r="P109" t="str">
            <v>0</v>
          </cell>
          <cell r="Q109" t="str">
            <v>0</v>
          </cell>
          <cell r="R109" t="str">
            <v>0</v>
          </cell>
          <cell r="S109" t="str">
            <v>0</v>
          </cell>
          <cell r="T109" t="str">
            <v>0</v>
          </cell>
          <cell r="U109" t="str">
            <v>0</v>
          </cell>
          <cell r="V109" t="str">
            <v>0</v>
          </cell>
          <cell r="W109" t="str">
            <v>0</v>
          </cell>
          <cell r="X109" t="str">
            <v>0</v>
          </cell>
          <cell r="Y109" t="str">
            <v>0</v>
          </cell>
          <cell r="Z109" t="str">
            <v>0</v>
          </cell>
          <cell r="AA109" t="str">
            <v>0</v>
          </cell>
          <cell r="AB109" t="str">
            <v>0</v>
          </cell>
          <cell r="AC109" t="str">
            <v>0</v>
          </cell>
          <cell r="AD109" t="str">
            <v>0</v>
          </cell>
          <cell r="AE109" t="str">
            <v>0</v>
          </cell>
        </row>
        <row r="110">
          <cell r="D110" t="str">
            <v>13-Apr</v>
          </cell>
          <cell r="E110" t="str">
            <v>0</v>
          </cell>
          <cell r="F110" t="str">
            <v>0</v>
          </cell>
          <cell r="G110" t="str">
            <v>0</v>
          </cell>
          <cell r="H110" t="str">
            <v>0</v>
          </cell>
          <cell r="I110" t="str">
            <v>0</v>
          </cell>
          <cell r="J110" t="str">
            <v>0</v>
          </cell>
          <cell r="K110" t="str">
            <v>0</v>
          </cell>
          <cell r="L110" t="str">
            <v>0</v>
          </cell>
          <cell r="M110" t="str">
            <v>0</v>
          </cell>
          <cell r="N110" t="str">
            <v>0</v>
          </cell>
          <cell r="O110" t="str">
            <v>0</v>
          </cell>
          <cell r="P110" t="str">
            <v>0</v>
          </cell>
          <cell r="Q110" t="str">
            <v>0</v>
          </cell>
          <cell r="R110" t="str">
            <v>0</v>
          </cell>
          <cell r="S110" t="str">
            <v>0</v>
          </cell>
          <cell r="T110" t="str">
            <v>0</v>
          </cell>
          <cell r="U110" t="str">
            <v>0</v>
          </cell>
          <cell r="V110" t="str">
            <v>0</v>
          </cell>
          <cell r="W110" t="str">
            <v>0</v>
          </cell>
          <cell r="X110" t="str">
            <v>0</v>
          </cell>
          <cell r="Y110" t="str">
            <v>0</v>
          </cell>
          <cell r="Z110" t="str">
            <v>0</v>
          </cell>
          <cell r="AA110" t="str">
            <v>0</v>
          </cell>
          <cell r="AB110" t="str">
            <v>0</v>
          </cell>
          <cell r="AC110" t="str">
            <v>0</v>
          </cell>
          <cell r="AD110" t="str">
            <v>0</v>
          </cell>
          <cell r="AE110" t="str">
            <v>0</v>
          </cell>
        </row>
        <row r="111">
          <cell r="D111" t="str">
            <v>14-Apr</v>
          </cell>
          <cell r="E111" t="str">
            <v>0</v>
          </cell>
          <cell r="F111" t="str">
            <v>0</v>
          </cell>
          <cell r="G111" t="str">
            <v>0</v>
          </cell>
          <cell r="H111" t="str">
            <v>0</v>
          </cell>
          <cell r="I111" t="str">
            <v>0</v>
          </cell>
          <cell r="J111" t="str">
            <v>0</v>
          </cell>
          <cell r="K111" t="str">
            <v>0</v>
          </cell>
          <cell r="L111" t="str">
            <v>0</v>
          </cell>
          <cell r="M111" t="str">
            <v>0</v>
          </cell>
          <cell r="N111" t="str">
            <v>0</v>
          </cell>
          <cell r="O111" t="str">
            <v>0</v>
          </cell>
          <cell r="P111" t="str">
            <v>0</v>
          </cell>
          <cell r="Q111" t="str">
            <v>0</v>
          </cell>
          <cell r="R111" t="str">
            <v>0</v>
          </cell>
          <cell r="S111" t="str">
            <v>0</v>
          </cell>
          <cell r="T111" t="str">
            <v>0</v>
          </cell>
          <cell r="U111" t="str">
            <v>0</v>
          </cell>
          <cell r="V111" t="str">
            <v>0</v>
          </cell>
          <cell r="W111" t="str">
            <v>0</v>
          </cell>
          <cell r="X111" t="str">
            <v>0</v>
          </cell>
          <cell r="Y111" t="str">
            <v>0</v>
          </cell>
          <cell r="Z111" t="str">
            <v>0</v>
          </cell>
          <cell r="AA111" t="str">
            <v>0</v>
          </cell>
          <cell r="AB111" t="str">
            <v>0</v>
          </cell>
          <cell r="AC111" t="str">
            <v>0</v>
          </cell>
          <cell r="AD111" t="str">
            <v>0</v>
          </cell>
          <cell r="AE111" t="str">
            <v>0</v>
          </cell>
        </row>
        <row r="112">
          <cell r="D112" t="str">
            <v>15-Apr</v>
          </cell>
          <cell r="E112" t="str">
            <v>0</v>
          </cell>
          <cell r="F112" t="str">
            <v>0</v>
          </cell>
          <cell r="G112" t="str">
            <v>0</v>
          </cell>
          <cell r="H112" t="str">
            <v>0</v>
          </cell>
          <cell r="I112" t="str">
            <v>0</v>
          </cell>
          <cell r="J112" t="str">
            <v>0</v>
          </cell>
          <cell r="K112" t="str">
            <v>0</v>
          </cell>
          <cell r="L112" t="str">
            <v>0</v>
          </cell>
          <cell r="M112" t="str">
            <v>0</v>
          </cell>
          <cell r="N112" t="str">
            <v>0</v>
          </cell>
          <cell r="O112" t="str">
            <v>0</v>
          </cell>
          <cell r="P112" t="str">
            <v>0</v>
          </cell>
          <cell r="Q112" t="str">
            <v>0</v>
          </cell>
          <cell r="R112" t="str">
            <v>0</v>
          </cell>
          <cell r="S112" t="str">
            <v>0</v>
          </cell>
          <cell r="T112" t="str">
            <v>0</v>
          </cell>
          <cell r="U112" t="str">
            <v>0</v>
          </cell>
          <cell r="V112" t="str">
            <v>0</v>
          </cell>
          <cell r="W112" t="str">
            <v>0</v>
          </cell>
          <cell r="X112" t="str">
            <v>0</v>
          </cell>
          <cell r="Y112" t="str">
            <v>0</v>
          </cell>
          <cell r="Z112" t="str">
            <v>0</v>
          </cell>
          <cell r="AA112" t="str">
            <v>0</v>
          </cell>
          <cell r="AB112" t="str">
            <v>0</v>
          </cell>
          <cell r="AC112" t="str">
            <v>0</v>
          </cell>
          <cell r="AD112" t="str">
            <v>0</v>
          </cell>
          <cell r="AE112" t="str">
            <v>0</v>
          </cell>
        </row>
        <row r="113">
          <cell r="D113" t="str">
            <v>16-Apr</v>
          </cell>
          <cell r="E113" t="str">
            <v>0</v>
          </cell>
          <cell r="F113" t="str">
            <v>0</v>
          </cell>
          <cell r="G113" t="str">
            <v>0</v>
          </cell>
          <cell r="H113" t="str">
            <v>0</v>
          </cell>
          <cell r="I113" t="str">
            <v>0</v>
          </cell>
          <cell r="J113" t="str">
            <v>0</v>
          </cell>
          <cell r="K113" t="str">
            <v>0</v>
          </cell>
          <cell r="L113" t="str">
            <v>0</v>
          </cell>
          <cell r="M113" t="str">
            <v>0</v>
          </cell>
          <cell r="N113" t="str">
            <v>0</v>
          </cell>
          <cell r="O113" t="str">
            <v>0</v>
          </cell>
          <cell r="P113" t="str">
            <v>0</v>
          </cell>
          <cell r="Q113" t="str">
            <v>0</v>
          </cell>
          <cell r="R113" t="str">
            <v>0</v>
          </cell>
          <cell r="S113" t="str">
            <v>0</v>
          </cell>
          <cell r="T113" t="str">
            <v>0</v>
          </cell>
          <cell r="U113" t="str">
            <v>0</v>
          </cell>
          <cell r="V113" t="str">
            <v>0</v>
          </cell>
          <cell r="W113" t="str">
            <v>0</v>
          </cell>
          <cell r="X113" t="str">
            <v>0</v>
          </cell>
          <cell r="Y113" t="str">
            <v>0</v>
          </cell>
          <cell r="Z113" t="str">
            <v>0</v>
          </cell>
          <cell r="AA113" t="str">
            <v>0</v>
          </cell>
          <cell r="AB113" t="str">
            <v>0</v>
          </cell>
          <cell r="AC113" t="str">
            <v>0</v>
          </cell>
          <cell r="AD113" t="str">
            <v>0</v>
          </cell>
          <cell r="AE113" t="str">
            <v>0</v>
          </cell>
        </row>
        <row r="114">
          <cell r="D114" t="str">
            <v>17-Apr</v>
          </cell>
          <cell r="E114" t="str">
            <v>0</v>
          </cell>
          <cell r="F114" t="str">
            <v>0</v>
          </cell>
          <cell r="G114" t="str">
            <v>0</v>
          </cell>
          <cell r="H114" t="str">
            <v>0</v>
          </cell>
          <cell r="I114" t="str">
            <v>0</v>
          </cell>
          <cell r="J114" t="str">
            <v>0</v>
          </cell>
          <cell r="K114" t="str">
            <v>0</v>
          </cell>
          <cell r="L114" t="str">
            <v>0</v>
          </cell>
          <cell r="M114" t="str">
            <v>0</v>
          </cell>
          <cell r="N114" t="str">
            <v>0</v>
          </cell>
          <cell r="O114" t="str">
            <v>0</v>
          </cell>
          <cell r="P114" t="str">
            <v>0</v>
          </cell>
          <cell r="Q114" t="str">
            <v>0</v>
          </cell>
          <cell r="R114" t="str">
            <v>0</v>
          </cell>
          <cell r="S114" t="str">
            <v>0</v>
          </cell>
          <cell r="T114" t="str">
            <v>0</v>
          </cell>
          <cell r="U114" t="str">
            <v>0</v>
          </cell>
          <cell r="V114" t="str">
            <v>0</v>
          </cell>
          <cell r="W114" t="str">
            <v>0</v>
          </cell>
          <cell r="X114" t="str">
            <v>0</v>
          </cell>
          <cell r="Y114" t="str">
            <v>0</v>
          </cell>
          <cell r="Z114" t="str">
            <v>0</v>
          </cell>
          <cell r="AA114" t="str">
            <v>0</v>
          </cell>
          <cell r="AB114" t="str">
            <v>0</v>
          </cell>
          <cell r="AC114" t="str">
            <v>0</v>
          </cell>
          <cell r="AD114" t="str">
            <v>0</v>
          </cell>
          <cell r="AE114" t="str">
            <v>0</v>
          </cell>
        </row>
        <row r="115">
          <cell r="D115" t="str">
            <v>18-Apr</v>
          </cell>
          <cell r="E115" t="str">
            <v>0</v>
          </cell>
          <cell r="F115" t="str">
            <v>0</v>
          </cell>
          <cell r="G115" t="str">
            <v>0</v>
          </cell>
          <cell r="H115" t="str">
            <v>0</v>
          </cell>
          <cell r="I115" t="str">
            <v>0</v>
          </cell>
          <cell r="J115" t="str">
            <v>0</v>
          </cell>
          <cell r="K115" t="str">
            <v>0</v>
          </cell>
          <cell r="L115" t="str">
            <v>0</v>
          </cell>
          <cell r="M115" t="str">
            <v>0</v>
          </cell>
          <cell r="N115" t="str">
            <v>0</v>
          </cell>
          <cell r="O115" t="str">
            <v>0</v>
          </cell>
          <cell r="P115" t="str">
            <v>0</v>
          </cell>
          <cell r="Q115" t="str">
            <v>0</v>
          </cell>
          <cell r="R115" t="str">
            <v>0</v>
          </cell>
          <cell r="S115" t="str">
            <v>0</v>
          </cell>
          <cell r="T115" t="str">
            <v>0</v>
          </cell>
          <cell r="U115" t="str">
            <v>0</v>
          </cell>
          <cell r="V115" t="str">
            <v>0</v>
          </cell>
          <cell r="W115" t="str">
            <v>0</v>
          </cell>
          <cell r="X115" t="str">
            <v>0</v>
          </cell>
          <cell r="Y115" t="str">
            <v>0</v>
          </cell>
          <cell r="Z115" t="str">
            <v>0</v>
          </cell>
          <cell r="AA115" t="str">
            <v>0</v>
          </cell>
          <cell r="AB115" t="str">
            <v>0</v>
          </cell>
          <cell r="AC115" t="str">
            <v>0</v>
          </cell>
          <cell r="AD115" t="str">
            <v>0</v>
          </cell>
          <cell r="AE115" t="str">
            <v>0</v>
          </cell>
        </row>
        <row r="116">
          <cell r="D116" t="str">
            <v>19-Apr</v>
          </cell>
          <cell r="E116" t="str">
            <v>0</v>
          </cell>
          <cell r="F116" t="str">
            <v>0</v>
          </cell>
          <cell r="G116" t="str">
            <v>0</v>
          </cell>
          <cell r="H116" t="str">
            <v>0</v>
          </cell>
          <cell r="I116" t="str">
            <v>0</v>
          </cell>
          <cell r="J116" t="str">
            <v>0</v>
          </cell>
          <cell r="K116" t="str">
            <v>0</v>
          </cell>
          <cell r="L116" t="str">
            <v>0</v>
          </cell>
          <cell r="M116" t="str">
            <v>0</v>
          </cell>
          <cell r="N116" t="str">
            <v>0</v>
          </cell>
          <cell r="O116" t="str">
            <v>0</v>
          </cell>
          <cell r="P116" t="str">
            <v>0</v>
          </cell>
          <cell r="Q116" t="str">
            <v>0</v>
          </cell>
          <cell r="R116" t="str">
            <v>0</v>
          </cell>
          <cell r="S116" t="str">
            <v>0</v>
          </cell>
          <cell r="T116" t="str">
            <v>0</v>
          </cell>
          <cell r="U116" t="str">
            <v>0</v>
          </cell>
          <cell r="V116" t="str">
            <v>0</v>
          </cell>
          <cell r="W116" t="str">
            <v>0</v>
          </cell>
          <cell r="X116" t="str">
            <v>0</v>
          </cell>
          <cell r="Y116" t="str">
            <v>0</v>
          </cell>
          <cell r="Z116" t="str">
            <v>0</v>
          </cell>
          <cell r="AA116" t="str">
            <v>0</v>
          </cell>
          <cell r="AB116" t="str">
            <v>0</v>
          </cell>
          <cell r="AC116" t="str">
            <v>0</v>
          </cell>
          <cell r="AD116" t="str">
            <v>0</v>
          </cell>
          <cell r="AE116" t="str">
            <v>0</v>
          </cell>
        </row>
        <row r="117">
          <cell r="D117" t="str">
            <v>20-Apr</v>
          </cell>
          <cell r="E117" t="str">
            <v>0</v>
          </cell>
          <cell r="F117" t="str">
            <v>0</v>
          </cell>
          <cell r="G117" t="str">
            <v>0</v>
          </cell>
          <cell r="H117" t="str">
            <v>0</v>
          </cell>
          <cell r="I117" t="str">
            <v>0</v>
          </cell>
          <cell r="J117" t="str">
            <v>0</v>
          </cell>
          <cell r="K117" t="str">
            <v>0</v>
          </cell>
          <cell r="L117" t="str">
            <v>0</v>
          </cell>
          <cell r="M117" t="str">
            <v>0</v>
          </cell>
          <cell r="N117" t="str">
            <v>0</v>
          </cell>
          <cell r="O117" t="str">
            <v>0</v>
          </cell>
          <cell r="P117" t="str">
            <v>0</v>
          </cell>
          <cell r="Q117" t="str">
            <v>0</v>
          </cell>
          <cell r="R117" t="str">
            <v>0</v>
          </cell>
          <cell r="S117" t="str">
            <v>0</v>
          </cell>
          <cell r="T117" t="str">
            <v>0</v>
          </cell>
          <cell r="U117" t="str">
            <v>0</v>
          </cell>
          <cell r="V117" t="str">
            <v>0</v>
          </cell>
          <cell r="W117" t="str">
            <v>0</v>
          </cell>
          <cell r="X117" t="str">
            <v>0</v>
          </cell>
          <cell r="Y117" t="str">
            <v>0</v>
          </cell>
          <cell r="Z117" t="str">
            <v>0</v>
          </cell>
          <cell r="AA117" t="str">
            <v>0</v>
          </cell>
          <cell r="AB117" t="str">
            <v>0</v>
          </cell>
          <cell r="AC117" t="str">
            <v>0</v>
          </cell>
          <cell r="AD117" t="str">
            <v>0</v>
          </cell>
          <cell r="AE117" t="str">
            <v>0</v>
          </cell>
        </row>
        <row r="118">
          <cell r="D118" t="str">
            <v>21-Apr</v>
          </cell>
          <cell r="E118" t="str">
            <v>0</v>
          </cell>
          <cell r="F118" t="str">
            <v>0</v>
          </cell>
          <cell r="G118" t="str">
            <v>0</v>
          </cell>
          <cell r="H118" t="str">
            <v>0</v>
          </cell>
          <cell r="I118" t="str">
            <v>0</v>
          </cell>
          <cell r="J118" t="str">
            <v>0</v>
          </cell>
          <cell r="K118" t="str">
            <v>0</v>
          </cell>
          <cell r="L118" t="str">
            <v>0</v>
          </cell>
          <cell r="M118" t="str">
            <v>0</v>
          </cell>
          <cell r="N118" t="str">
            <v>0</v>
          </cell>
          <cell r="O118" t="str">
            <v>0</v>
          </cell>
          <cell r="P118" t="str">
            <v>0</v>
          </cell>
          <cell r="Q118" t="str">
            <v>0</v>
          </cell>
          <cell r="R118" t="str">
            <v>0</v>
          </cell>
          <cell r="S118" t="str">
            <v>0</v>
          </cell>
          <cell r="T118" t="str">
            <v>0</v>
          </cell>
          <cell r="U118" t="str">
            <v>0</v>
          </cell>
          <cell r="V118" t="str">
            <v>0</v>
          </cell>
          <cell r="W118" t="str">
            <v>0</v>
          </cell>
          <cell r="X118" t="str">
            <v>0</v>
          </cell>
          <cell r="Y118" t="str">
            <v>0</v>
          </cell>
          <cell r="Z118" t="str">
            <v>0</v>
          </cell>
          <cell r="AA118" t="str">
            <v>0</v>
          </cell>
          <cell r="AB118" t="str">
            <v>0</v>
          </cell>
          <cell r="AC118" t="str">
            <v>0</v>
          </cell>
          <cell r="AD118" t="str">
            <v>0</v>
          </cell>
          <cell r="AE118" t="str">
            <v>0</v>
          </cell>
        </row>
        <row r="119">
          <cell r="D119" t="str">
            <v>22-Apr</v>
          </cell>
          <cell r="E119" t="str">
            <v>0</v>
          </cell>
          <cell r="F119" t="str">
            <v>0</v>
          </cell>
          <cell r="G119" t="str">
            <v>0</v>
          </cell>
          <cell r="H119" t="str">
            <v>0</v>
          </cell>
          <cell r="I119" t="str">
            <v>0</v>
          </cell>
          <cell r="J119" t="str">
            <v>0</v>
          </cell>
          <cell r="K119" t="str">
            <v>0</v>
          </cell>
          <cell r="L119" t="str">
            <v>0</v>
          </cell>
          <cell r="M119" t="str">
            <v>0</v>
          </cell>
          <cell r="N119" t="str">
            <v>0</v>
          </cell>
          <cell r="O119" t="str">
            <v>0</v>
          </cell>
          <cell r="P119" t="str">
            <v>0</v>
          </cell>
          <cell r="Q119" t="str">
            <v>0</v>
          </cell>
          <cell r="R119" t="str">
            <v>0</v>
          </cell>
          <cell r="S119" t="str">
            <v>0</v>
          </cell>
          <cell r="T119" t="str">
            <v>0</v>
          </cell>
          <cell r="U119" t="str">
            <v>0</v>
          </cell>
          <cell r="V119" t="str">
            <v>0</v>
          </cell>
          <cell r="W119" t="str">
            <v>0</v>
          </cell>
          <cell r="X119" t="str">
            <v>0</v>
          </cell>
          <cell r="Y119" t="str">
            <v>0</v>
          </cell>
          <cell r="Z119" t="str">
            <v>0</v>
          </cell>
          <cell r="AA119" t="str">
            <v>0</v>
          </cell>
          <cell r="AB119" t="str">
            <v>0</v>
          </cell>
          <cell r="AC119" t="str">
            <v>0</v>
          </cell>
          <cell r="AD119" t="str">
            <v>0</v>
          </cell>
          <cell r="AE119" t="str">
            <v>0</v>
          </cell>
        </row>
        <row r="120">
          <cell r="D120" t="str">
            <v>23-Apr</v>
          </cell>
          <cell r="E120" t="str">
            <v>0</v>
          </cell>
          <cell r="F120" t="str">
            <v>0</v>
          </cell>
          <cell r="G120" t="str">
            <v>0</v>
          </cell>
          <cell r="H120" t="str">
            <v>0</v>
          </cell>
          <cell r="I120" t="str">
            <v>0</v>
          </cell>
          <cell r="J120" t="str">
            <v>0</v>
          </cell>
          <cell r="K120" t="str">
            <v>0</v>
          </cell>
          <cell r="L120" t="str">
            <v>0</v>
          </cell>
          <cell r="M120" t="str">
            <v>0</v>
          </cell>
          <cell r="N120" t="str">
            <v>0</v>
          </cell>
          <cell r="O120" t="str">
            <v>0</v>
          </cell>
          <cell r="P120" t="str">
            <v>0</v>
          </cell>
          <cell r="Q120" t="str">
            <v>0</v>
          </cell>
          <cell r="R120" t="str">
            <v>0</v>
          </cell>
          <cell r="S120" t="str">
            <v>0</v>
          </cell>
          <cell r="T120" t="str">
            <v>0</v>
          </cell>
          <cell r="U120" t="str">
            <v>0</v>
          </cell>
          <cell r="V120" t="str">
            <v>0</v>
          </cell>
          <cell r="W120" t="str">
            <v>0</v>
          </cell>
          <cell r="X120" t="str">
            <v>0</v>
          </cell>
          <cell r="Y120" t="str">
            <v>0</v>
          </cell>
          <cell r="Z120" t="str">
            <v>0</v>
          </cell>
          <cell r="AA120" t="str">
            <v>0</v>
          </cell>
          <cell r="AB120" t="str">
            <v>0</v>
          </cell>
          <cell r="AC120" t="str">
            <v>0</v>
          </cell>
          <cell r="AD120" t="str">
            <v>0</v>
          </cell>
          <cell r="AE120" t="str">
            <v>0</v>
          </cell>
        </row>
        <row r="121">
          <cell r="D121" t="str">
            <v>24-Apr</v>
          </cell>
          <cell r="E121" t="str">
            <v>0</v>
          </cell>
          <cell r="F121" t="str">
            <v>0</v>
          </cell>
          <cell r="G121" t="str">
            <v>0</v>
          </cell>
          <cell r="H121" t="str">
            <v>0</v>
          </cell>
          <cell r="I121" t="str">
            <v>0</v>
          </cell>
          <cell r="J121" t="str">
            <v>0</v>
          </cell>
          <cell r="K121" t="str">
            <v>0</v>
          </cell>
          <cell r="L121" t="str">
            <v>0</v>
          </cell>
          <cell r="M121" t="str">
            <v>0</v>
          </cell>
          <cell r="N121" t="str">
            <v>0</v>
          </cell>
          <cell r="O121" t="str">
            <v>0</v>
          </cell>
          <cell r="P121" t="str">
            <v>0</v>
          </cell>
          <cell r="Q121" t="str">
            <v>0</v>
          </cell>
          <cell r="R121" t="str">
            <v>0</v>
          </cell>
          <cell r="S121" t="str">
            <v>0</v>
          </cell>
          <cell r="T121" t="str">
            <v>0</v>
          </cell>
          <cell r="U121" t="str">
            <v>0</v>
          </cell>
          <cell r="V121" t="str">
            <v>0</v>
          </cell>
          <cell r="W121" t="str">
            <v>0</v>
          </cell>
          <cell r="X121" t="str">
            <v>0</v>
          </cell>
          <cell r="Y121" t="str">
            <v>0</v>
          </cell>
          <cell r="Z121" t="str">
            <v>0</v>
          </cell>
          <cell r="AA121" t="str">
            <v>0</v>
          </cell>
          <cell r="AB121" t="str">
            <v>0</v>
          </cell>
          <cell r="AC121" t="str">
            <v>0</v>
          </cell>
          <cell r="AD121" t="str">
            <v>0</v>
          </cell>
          <cell r="AE121" t="str">
            <v>0</v>
          </cell>
        </row>
        <row r="122">
          <cell r="D122" t="str">
            <v>25-Apr</v>
          </cell>
          <cell r="E122" t="str">
            <v>0</v>
          </cell>
          <cell r="F122" t="str">
            <v>0</v>
          </cell>
          <cell r="G122" t="str">
            <v>0</v>
          </cell>
          <cell r="H122" t="str">
            <v>0</v>
          </cell>
          <cell r="I122" t="str">
            <v>0</v>
          </cell>
          <cell r="J122" t="str">
            <v>0</v>
          </cell>
          <cell r="K122" t="str">
            <v>0</v>
          </cell>
          <cell r="L122" t="str">
            <v>0</v>
          </cell>
          <cell r="M122" t="str">
            <v>0</v>
          </cell>
          <cell r="N122" t="str">
            <v>0</v>
          </cell>
          <cell r="O122" t="str">
            <v>0</v>
          </cell>
          <cell r="P122" t="str">
            <v>0</v>
          </cell>
          <cell r="Q122" t="str">
            <v>0</v>
          </cell>
          <cell r="R122" t="str">
            <v>0</v>
          </cell>
          <cell r="S122" t="str">
            <v>0</v>
          </cell>
          <cell r="T122" t="str">
            <v>0</v>
          </cell>
          <cell r="U122" t="str">
            <v>0</v>
          </cell>
          <cell r="V122" t="str">
            <v>0</v>
          </cell>
          <cell r="W122" t="str">
            <v>0</v>
          </cell>
          <cell r="X122" t="str">
            <v>0</v>
          </cell>
          <cell r="Y122" t="str">
            <v>0</v>
          </cell>
          <cell r="Z122" t="str">
            <v>0</v>
          </cell>
          <cell r="AA122" t="str">
            <v>0</v>
          </cell>
          <cell r="AB122" t="str">
            <v>0</v>
          </cell>
          <cell r="AC122" t="str">
            <v>0</v>
          </cell>
          <cell r="AD122" t="str">
            <v>0</v>
          </cell>
          <cell r="AE122" t="str">
            <v>0</v>
          </cell>
        </row>
        <row r="123">
          <cell r="D123" t="str">
            <v>26-Apr</v>
          </cell>
          <cell r="E123" t="str">
            <v>0</v>
          </cell>
          <cell r="F123" t="str">
            <v>0</v>
          </cell>
          <cell r="G123" t="str">
            <v>0</v>
          </cell>
          <cell r="H123" t="str">
            <v>0</v>
          </cell>
          <cell r="I123" t="str">
            <v>0</v>
          </cell>
          <cell r="J123" t="str">
            <v>0</v>
          </cell>
          <cell r="K123" t="str">
            <v>0</v>
          </cell>
          <cell r="L123" t="str">
            <v>0</v>
          </cell>
          <cell r="M123" t="str">
            <v>0</v>
          </cell>
          <cell r="N123" t="str">
            <v>0</v>
          </cell>
          <cell r="O123" t="str">
            <v>0</v>
          </cell>
          <cell r="P123" t="str">
            <v>0</v>
          </cell>
          <cell r="Q123" t="str">
            <v>0</v>
          </cell>
          <cell r="R123" t="str">
            <v>0</v>
          </cell>
          <cell r="S123" t="str">
            <v>0</v>
          </cell>
          <cell r="T123" t="str">
            <v>0</v>
          </cell>
          <cell r="U123" t="str">
            <v>0</v>
          </cell>
          <cell r="V123" t="str">
            <v>0</v>
          </cell>
          <cell r="W123" t="str">
            <v>0</v>
          </cell>
          <cell r="X123" t="str">
            <v>0</v>
          </cell>
          <cell r="Y123" t="str">
            <v>0</v>
          </cell>
          <cell r="Z123" t="str">
            <v>0</v>
          </cell>
          <cell r="AA123" t="str">
            <v>0</v>
          </cell>
          <cell r="AB123" t="str">
            <v>0</v>
          </cell>
          <cell r="AC123" t="str">
            <v>0</v>
          </cell>
          <cell r="AD123" t="str">
            <v>0</v>
          </cell>
          <cell r="AE123" t="str">
            <v>0</v>
          </cell>
        </row>
        <row r="124">
          <cell r="D124" t="str">
            <v>27-Apr</v>
          </cell>
          <cell r="E124" t="str">
            <v>0</v>
          </cell>
          <cell r="F124" t="str">
            <v>0</v>
          </cell>
          <cell r="G124" t="str">
            <v>0</v>
          </cell>
          <cell r="H124" t="str">
            <v>0</v>
          </cell>
          <cell r="I124" t="str">
            <v>0</v>
          </cell>
          <cell r="J124" t="str">
            <v>0</v>
          </cell>
          <cell r="K124" t="str">
            <v>0</v>
          </cell>
          <cell r="L124" t="str">
            <v>0</v>
          </cell>
          <cell r="M124" t="str">
            <v>0</v>
          </cell>
          <cell r="N124" t="str">
            <v>0</v>
          </cell>
          <cell r="O124" t="str">
            <v>0</v>
          </cell>
          <cell r="P124" t="str">
            <v>0</v>
          </cell>
          <cell r="Q124" t="str">
            <v>0</v>
          </cell>
          <cell r="R124" t="str">
            <v>0</v>
          </cell>
          <cell r="S124" t="str">
            <v>0</v>
          </cell>
          <cell r="T124" t="str">
            <v>0</v>
          </cell>
          <cell r="U124" t="str">
            <v>0</v>
          </cell>
          <cell r="V124" t="str">
            <v>0</v>
          </cell>
          <cell r="W124" t="str">
            <v>0</v>
          </cell>
          <cell r="X124" t="str">
            <v>0</v>
          </cell>
          <cell r="Y124" t="str">
            <v>0</v>
          </cell>
          <cell r="Z124" t="str">
            <v>0</v>
          </cell>
          <cell r="AA124" t="str">
            <v>0</v>
          </cell>
          <cell r="AB124" t="str">
            <v>0</v>
          </cell>
          <cell r="AC124" t="str">
            <v>0</v>
          </cell>
          <cell r="AD124" t="str">
            <v>0</v>
          </cell>
          <cell r="AE124" t="str">
            <v>0</v>
          </cell>
        </row>
        <row r="125">
          <cell r="D125" t="str">
            <v>28-Apr</v>
          </cell>
          <cell r="E125" t="str">
            <v>0</v>
          </cell>
          <cell r="F125" t="str">
            <v>0</v>
          </cell>
          <cell r="G125" t="str">
            <v>0</v>
          </cell>
          <cell r="H125" t="str">
            <v>0</v>
          </cell>
          <cell r="I125" t="str">
            <v>0</v>
          </cell>
          <cell r="J125" t="str">
            <v>0</v>
          </cell>
          <cell r="K125" t="str">
            <v>0</v>
          </cell>
          <cell r="L125" t="str">
            <v>0</v>
          </cell>
          <cell r="M125" t="str">
            <v>0</v>
          </cell>
          <cell r="N125" t="str">
            <v>0</v>
          </cell>
          <cell r="O125" t="str">
            <v>0</v>
          </cell>
          <cell r="P125" t="str">
            <v>0</v>
          </cell>
          <cell r="Q125" t="str">
            <v>0</v>
          </cell>
          <cell r="R125" t="str">
            <v>0</v>
          </cell>
          <cell r="S125" t="str">
            <v>0</v>
          </cell>
          <cell r="T125" t="str">
            <v>0</v>
          </cell>
          <cell r="U125" t="str">
            <v>0</v>
          </cell>
          <cell r="V125" t="str">
            <v>0</v>
          </cell>
          <cell r="W125" t="str">
            <v>0</v>
          </cell>
          <cell r="X125" t="str">
            <v>0</v>
          </cell>
          <cell r="Y125" t="str">
            <v>0</v>
          </cell>
          <cell r="Z125" t="str">
            <v>0</v>
          </cell>
          <cell r="AA125" t="str">
            <v>0</v>
          </cell>
          <cell r="AB125" t="str">
            <v>0</v>
          </cell>
          <cell r="AC125" t="str">
            <v>0</v>
          </cell>
          <cell r="AD125" t="str">
            <v>0</v>
          </cell>
          <cell r="AE125" t="str">
            <v>0</v>
          </cell>
        </row>
        <row r="126">
          <cell r="D126" t="str">
            <v>29-Apr</v>
          </cell>
          <cell r="E126" t="str">
            <v>0</v>
          </cell>
          <cell r="F126" t="str">
            <v>0</v>
          </cell>
          <cell r="G126" t="str">
            <v>0</v>
          </cell>
          <cell r="H126" t="str">
            <v>0</v>
          </cell>
          <cell r="I126" t="str">
            <v>0</v>
          </cell>
          <cell r="J126" t="str">
            <v>0</v>
          </cell>
          <cell r="K126" t="str">
            <v>0</v>
          </cell>
          <cell r="L126" t="str">
            <v>0</v>
          </cell>
          <cell r="M126" t="str">
            <v>0</v>
          </cell>
          <cell r="N126" t="str">
            <v>0</v>
          </cell>
          <cell r="O126" t="str">
            <v>0</v>
          </cell>
          <cell r="P126" t="str">
            <v>0</v>
          </cell>
          <cell r="Q126" t="str">
            <v>0</v>
          </cell>
          <cell r="R126" t="str">
            <v>0</v>
          </cell>
          <cell r="S126" t="str">
            <v>0</v>
          </cell>
          <cell r="T126" t="str">
            <v>0</v>
          </cell>
          <cell r="U126" t="str">
            <v>0</v>
          </cell>
          <cell r="V126" t="str">
            <v>0</v>
          </cell>
          <cell r="W126" t="str">
            <v>0</v>
          </cell>
          <cell r="X126" t="str">
            <v>0</v>
          </cell>
          <cell r="Y126" t="str">
            <v>0</v>
          </cell>
          <cell r="Z126" t="str">
            <v>0</v>
          </cell>
          <cell r="AA126" t="str">
            <v>0</v>
          </cell>
          <cell r="AB126" t="str">
            <v>0</v>
          </cell>
          <cell r="AC126" t="str">
            <v>0</v>
          </cell>
          <cell r="AD126" t="str">
            <v>0</v>
          </cell>
          <cell r="AE126" t="str">
            <v>0</v>
          </cell>
        </row>
        <row r="127">
          <cell r="D127" t="str">
            <v>30-Apr</v>
          </cell>
          <cell r="E127" t="str">
            <v>0</v>
          </cell>
          <cell r="F127" t="str">
            <v>0</v>
          </cell>
          <cell r="G127" t="str">
            <v>0</v>
          </cell>
          <cell r="H127" t="str">
            <v>0</v>
          </cell>
          <cell r="I127" t="str">
            <v>0</v>
          </cell>
          <cell r="J127" t="str">
            <v>0</v>
          </cell>
          <cell r="K127" t="str">
            <v>0</v>
          </cell>
          <cell r="L127" t="str">
            <v>0</v>
          </cell>
          <cell r="M127" t="str">
            <v>0</v>
          </cell>
          <cell r="N127" t="str">
            <v>0</v>
          </cell>
          <cell r="O127" t="str">
            <v>0</v>
          </cell>
          <cell r="P127" t="str">
            <v>0</v>
          </cell>
          <cell r="Q127" t="str">
            <v>0</v>
          </cell>
          <cell r="R127" t="str">
            <v>0</v>
          </cell>
          <cell r="S127" t="str">
            <v>0</v>
          </cell>
          <cell r="T127" t="str">
            <v>0</v>
          </cell>
          <cell r="U127" t="str">
            <v>0</v>
          </cell>
          <cell r="V127" t="str">
            <v>0</v>
          </cell>
          <cell r="W127" t="str">
            <v>0</v>
          </cell>
          <cell r="X127" t="str">
            <v>0</v>
          </cell>
          <cell r="Y127" t="str">
            <v>0</v>
          </cell>
          <cell r="Z127" t="str">
            <v>0</v>
          </cell>
          <cell r="AA127" t="str">
            <v>0</v>
          </cell>
          <cell r="AB127" t="str">
            <v>0</v>
          </cell>
          <cell r="AC127" t="str">
            <v>0</v>
          </cell>
          <cell r="AD127" t="str">
            <v>0</v>
          </cell>
          <cell r="AE127" t="str">
            <v>0</v>
          </cell>
        </row>
        <row r="128">
          <cell r="D128" t="str">
            <v>01-May</v>
          </cell>
          <cell r="E128" t="str">
            <v>0</v>
          </cell>
          <cell r="F128" t="str">
            <v>0</v>
          </cell>
          <cell r="G128" t="str">
            <v>0</v>
          </cell>
          <cell r="H128" t="str">
            <v>0</v>
          </cell>
          <cell r="I128" t="str">
            <v>0</v>
          </cell>
          <cell r="J128" t="str">
            <v>0</v>
          </cell>
          <cell r="K128" t="str">
            <v>0</v>
          </cell>
          <cell r="L128" t="str">
            <v>0</v>
          </cell>
          <cell r="M128" t="str">
            <v>0</v>
          </cell>
          <cell r="N128" t="str">
            <v>0</v>
          </cell>
          <cell r="O128" t="str">
            <v>0</v>
          </cell>
          <cell r="P128" t="str">
            <v>0</v>
          </cell>
          <cell r="Q128" t="str">
            <v>0</v>
          </cell>
          <cell r="R128" t="str">
            <v>0</v>
          </cell>
          <cell r="S128" t="str">
            <v>0</v>
          </cell>
          <cell r="T128" t="str">
            <v>0</v>
          </cell>
          <cell r="U128" t="str">
            <v>0</v>
          </cell>
          <cell r="V128" t="str">
            <v>0</v>
          </cell>
          <cell r="W128" t="str">
            <v>0</v>
          </cell>
          <cell r="X128" t="str">
            <v>0</v>
          </cell>
          <cell r="Y128" t="str">
            <v>0</v>
          </cell>
          <cell r="Z128" t="str">
            <v>0</v>
          </cell>
          <cell r="AA128" t="str">
            <v>0</v>
          </cell>
          <cell r="AB128" t="str">
            <v>0</v>
          </cell>
          <cell r="AC128" t="str">
            <v>0</v>
          </cell>
          <cell r="AD128" t="str">
            <v>0</v>
          </cell>
          <cell r="AE128" t="str">
            <v>0</v>
          </cell>
        </row>
        <row r="129">
          <cell r="D129" t="str">
            <v>02-May</v>
          </cell>
          <cell r="E129" t="str">
            <v>0</v>
          </cell>
          <cell r="F129" t="str">
            <v>0</v>
          </cell>
          <cell r="G129" t="str">
            <v>0</v>
          </cell>
          <cell r="H129" t="str">
            <v>0</v>
          </cell>
          <cell r="I129" t="str">
            <v>0</v>
          </cell>
          <cell r="J129" t="str">
            <v>0</v>
          </cell>
          <cell r="K129" t="str">
            <v>0</v>
          </cell>
          <cell r="L129" t="str">
            <v>0</v>
          </cell>
          <cell r="M129" t="str">
            <v>0</v>
          </cell>
          <cell r="N129" t="str">
            <v>0</v>
          </cell>
          <cell r="O129" t="str">
            <v>0</v>
          </cell>
          <cell r="P129" t="str">
            <v>0</v>
          </cell>
          <cell r="Q129" t="str">
            <v>0</v>
          </cell>
          <cell r="R129" t="str">
            <v>0</v>
          </cell>
          <cell r="S129" t="str">
            <v>0</v>
          </cell>
          <cell r="T129" t="str">
            <v>0</v>
          </cell>
          <cell r="U129" t="str">
            <v>0</v>
          </cell>
          <cell r="V129" t="str">
            <v>0</v>
          </cell>
          <cell r="W129" t="str">
            <v>0</v>
          </cell>
          <cell r="X129" t="str">
            <v>0</v>
          </cell>
          <cell r="Y129" t="str">
            <v>0</v>
          </cell>
          <cell r="Z129" t="str">
            <v>0</v>
          </cell>
          <cell r="AA129" t="str">
            <v>0</v>
          </cell>
          <cell r="AB129" t="str">
            <v>0</v>
          </cell>
          <cell r="AC129" t="str">
            <v>0</v>
          </cell>
          <cell r="AD129" t="str">
            <v>0</v>
          </cell>
          <cell r="AE129" t="str">
            <v>0</v>
          </cell>
        </row>
        <row r="130">
          <cell r="D130" t="str">
            <v>03-May</v>
          </cell>
          <cell r="E130" t="str">
            <v>0</v>
          </cell>
          <cell r="F130" t="str">
            <v>0</v>
          </cell>
          <cell r="G130" t="str">
            <v>0</v>
          </cell>
          <cell r="H130" t="str">
            <v>0</v>
          </cell>
          <cell r="I130" t="str">
            <v>0</v>
          </cell>
          <cell r="J130" t="str">
            <v>0</v>
          </cell>
          <cell r="K130" t="str">
            <v>0</v>
          </cell>
          <cell r="L130" t="str">
            <v>0</v>
          </cell>
          <cell r="M130" t="str">
            <v>0</v>
          </cell>
          <cell r="N130" t="str">
            <v>0</v>
          </cell>
          <cell r="O130" t="str">
            <v>0</v>
          </cell>
          <cell r="P130" t="str">
            <v>0</v>
          </cell>
          <cell r="Q130" t="str">
            <v>0</v>
          </cell>
          <cell r="R130" t="str">
            <v>0</v>
          </cell>
          <cell r="S130" t="str">
            <v>0</v>
          </cell>
          <cell r="T130" t="str">
            <v>0</v>
          </cell>
          <cell r="U130" t="str">
            <v>0</v>
          </cell>
          <cell r="V130" t="str">
            <v>0</v>
          </cell>
          <cell r="W130" t="str">
            <v>0</v>
          </cell>
          <cell r="X130" t="str">
            <v>0</v>
          </cell>
          <cell r="Y130" t="str">
            <v>0</v>
          </cell>
          <cell r="Z130" t="str">
            <v>0</v>
          </cell>
          <cell r="AA130" t="str">
            <v>0</v>
          </cell>
          <cell r="AB130" t="str">
            <v>0</v>
          </cell>
          <cell r="AC130" t="str">
            <v>0</v>
          </cell>
          <cell r="AD130" t="str">
            <v>0</v>
          </cell>
          <cell r="AE130" t="str">
            <v>0</v>
          </cell>
        </row>
        <row r="131">
          <cell r="D131" t="str">
            <v>04-May</v>
          </cell>
          <cell r="E131" t="str">
            <v>0</v>
          </cell>
          <cell r="F131" t="str">
            <v>0</v>
          </cell>
          <cell r="G131" t="str">
            <v>0</v>
          </cell>
          <cell r="H131" t="str">
            <v>0</v>
          </cell>
          <cell r="I131" t="str">
            <v>0</v>
          </cell>
          <cell r="J131" t="str">
            <v>0</v>
          </cell>
          <cell r="K131" t="str">
            <v>0</v>
          </cell>
          <cell r="L131" t="str">
            <v>0</v>
          </cell>
          <cell r="M131" t="str">
            <v>0</v>
          </cell>
          <cell r="N131" t="str">
            <v>0</v>
          </cell>
          <cell r="O131" t="str">
            <v>0</v>
          </cell>
          <cell r="P131" t="str">
            <v>0</v>
          </cell>
          <cell r="Q131" t="str">
            <v>0</v>
          </cell>
          <cell r="R131" t="str">
            <v>0</v>
          </cell>
          <cell r="S131" t="str">
            <v>0</v>
          </cell>
          <cell r="T131" t="str">
            <v>0</v>
          </cell>
          <cell r="U131" t="str">
            <v>0</v>
          </cell>
          <cell r="V131" t="str">
            <v>0</v>
          </cell>
          <cell r="W131" t="str">
            <v>0</v>
          </cell>
          <cell r="X131" t="str">
            <v>0</v>
          </cell>
          <cell r="Y131" t="str">
            <v>0</v>
          </cell>
          <cell r="Z131" t="str">
            <v>0</v>
          </cell>
          <cell r="AA131" t="str">
            <v>0</v>
          </cell>
          <cell r="AB131" t="str">
            <v>0</v>
          </cell>
          <cell r="AC131" t="str">
            <v>0</v>
          </cell>
          <cell r="AD131" t="str">
            <v>0</v>
          </cell>
          <cell r="AE131" t="str">
            <v>0</v>
          </cell>
        </row>
        <row r="132">
          <cell r="D132" t="str">
            <v>05-May</v>
          </cell>
          <cell r="E132" t="str">
            <v>0</v>
          </cell>
          <cell r="F132" t="str">
            <v>0</v>
          </cell>
          <cell r="G132" t="str">
            <v>0</v>
          </cell>
          <cell r="H132" t="str">
            <v>0</v>
          </cell>
          <cell r="I132" t="str">
            <v>0</v>
          </cell>
          <cell r="J132" t="str">
            <v>0</v>
          </cell>
          <cell r="K132" t="str">
            <v>0</v>
          </cell>
          <cell r="L132" t="str">
            <v>0</v>
          </cell>
          <cell r="M132" t="str">
            <v>0</v>
          </cell>
          <cell r="N132" t="str">
            <v>0</v>
          </cell>
          <cell r="O132" t="str">
            <v>0</v>
          </cell>
          <cell r="P132" t="str">
            <v>0</v>
          </cell>
          <cell r="Q132" t="str">
            <v>0</v>
          </cell>
          <cell r="R132" t="str">
            <v>0</v>
          </cell>
          <cell r="S132" t="str">
            <v>0</v>
          </cell>
          <cell r="T132" t="str">
            <v>0</v>
          </cell>
          <cell r="U132" t="str">
            <v>0</v>
          </cell>
          <cell r="V132" t="str">
            <v>0</v>
          </cell>
          <cell r="W132" t="str">
            <v>0</v>
          </cell>
          <cell r="X132" t="str">
            <v>0</v>
          </cell>
          <cell r="Y132" t="str">
            <v>0</v>
          </cell>
          <cell r="Z132" t="str">
            <v>0</v>
          </cell>
          <cell r="AA132" t="str">
            <v>0</v>
          </cell>
          <cell r="AB132" t="str">
            <v>0</v>
          </cell>
          <cell r="AC132" t="str">
            <v>0</v>
          </cell>
          <cell r="AD132" t="str">
            <v>0</v>
          </cell>
          <cell r="AE132" t="str">
            <v>0</v>
          </cell>
        </row>
        <row r="133">
          <cell r="D133" t="str">
            <v>06-May</v>
          </cell>
          <cell r="E133" t="str">
            <v>0</v>
          </cell>
          <cell r="F133" t="str">
            <v>0</v>
          </cell>
          <cell r="G133" t="str">
            <v>0</v>
          </cell>
          <cell r="H133" t="str">
            <v>0</v>
          </cell>
          <cell r="I133" t="str">
            <v>0</v>
          </cell>
          <cell r="J133" t="str">
            <v>0</v>
          </cell>
          <cell r="K133" t="str">
            <v>0</v>
          </cell>
          <cell r="L133" t="str">
            <v>0</v>
          </cell>
          <cell r="M133" t="str">
            <v>0</v>
          </cell>
          <cell r="N133" t="str">
            <v>0</v>
          </cell>
          <cell r="O133" t="str">
            <v>0</v>
          </cell>
          <cell r="P133" t="str">
            <v>0</v>
          </cell>
          <cell r="Q133" t="str">
            <v>0</v>
          </cell>
          <cell r="R133" t="str">
            <v>0</v>
          </cell>
          <cell r="S133" t="str">
            <v>0</v>
          </cell>
          <cell r="T133" t="str">
            <v>0</v>
          </cell>
          <cell r="U133" t="str">
            <v>0</v>
          </cell>
          <cell r="V133" t="str">
            <v>0</v>
          </cell>
          <cell r="W133" t="str">
            <v>0</v>
          </cell>
          <cell r="X133" t="str">
            <v>0</v>
          </cell>
          <cell r="Y133" t="str">
            <v>0</v>
          </cell>
          <cell r="Z133" t="str">
            <v>0</v>
          </cell>
          <cell r="AA133" t="str">
            <v>0</v>
          </cell>
          <cell r="AB133" t="str">
            <v>0</v>
          </cell>
          <cell r="AC133" t="str">
            <v>0</v>
          </cell>
          <cell r="AD133" t="str">
            <v>0</v>
          </cell>
          <cell r="AE133" t="str">
            <v>0</v>
          </cell>
        </row>
        <row r="134">
          <cell r="D134" t="str">
            <v>07-May</v>
          </cell>
          <cell r="E134" t="str">
            <v>0</v>
          </cell>
          <cell r="F134" t="str">
            <v>0</v>
          </cell>
          <cell r="G134" t="str">
            <v>0</v>
          </cell>
          <cell r="H134" t="str">
            <v>0</v>
          </cell>
          <cell r="I134" t="str">
            <v>0</v>
          </cell>
          <cell r="J134" t="str">
            <v>0</v>
          </cell>
          <cell r="K134" t="str">
            <v>0</v>
          </cell>
          <cell r="L134" t="str">
            <v>0</v>
          </cell>
          <cell r="M134" t="str">
            <v>0</v>
          </cell>
          <cell r="N134" t="str">
            <v>0</v>
          </cell>
          <cell r="O134" t="str">
            <v>0</v>
          </cell>
          <cell r="P134" t="str">
            <v>0</v>
          </cell>
          <cell r="Q134" t="str">
            <v>0</v>
          </cell>
          <cell r="R134" t="str">
            <v>0</v>
          </cell>
          <cell r="S134" t="str">
            <v>0</v>
          </cell>
          <cell r="T134" t="str">
            <v>0</v>
          </cell>
          <cell r="U134" t="str">
            <v>0</v>
          </cell>
          <cell r="V134" t="str">
            <v>0</v>
          </cell>
          <cell r="W134" t="str">
            <v>0</v>
          </cell>
          <cell r="X134" t="str">
            <v>0</v>
          </cell>
          <cell r="Y134" t="str">
            <v>0</v>
          </cell>
          <cell r="Z134" t="str">
            <v>0</v>
          </cell>
          <cell r="AA134" t="str">
            <v>0</v>
          </cell>
          <cell r="AB134" t="str">
            <v>0</v>
          </cell>
          <cell r="AC134" t="str">
            <v>0</v>
          </cell>
          <cell r="AD134" t="str">
            <v>0</v>
          </cell>
          <cell r="AE134" t="str">
            <v>0</v>
          </cell>
        </row>
        <row r="135">
          <cell r="D135" t="str">
            <v>08-May</v>
          </cell>
          <cell r="E135" t="str">
            <v>0</v>
          </cell>
          <cell r="F135" t="str">
            <v>0</v>
          </cell>
          <cell r="G135" t="str">
            <v>0</v>
          </cell>
          <cell r="H135" t="str">
            <v>0</v>
          </cell>
          <cell r="I135" t="str">
            <v>0</v>
          </cell>
          <cell r="J135" t="str">
            <v>0</v>
          </cell>
          <cell r="K135" t="str">
            <v>0</v>
          </cell>
          <cell r="L135" t="str">
            <v>0</v>
          </cell>
          <cell r="M135" t="str">
            <v>0</v>
          </cell>
          <cell r="N135" t="str">
            <v>0</v>
          </cell>
          <cell r="O135" t="str">
            <v>0</v>
          </cell>
          <cell r="P135" t="str">
            <v>0</v>
          </cell>
          <cell r="Q135" t="str">
            <v>0</v>
          </cell>
          <cell r="R135" t="str">
            <v>0</v>
          </cell>
          <cell r="S135" t="str">
            <v>0</v>
          </cell>
          <cell r="T135" t="str">
            <v>0</v>
          </cell>
          <cell r="U135" t="str">
            <v>0</v>
          </cell>
          <cell r="V135" t="str">
            <v>0</v>
          </cell>
          <cell r="W135" t="str">
            <v>0</v>
          </cell>
          <cell r="X135" t="str">
            <v>0</v>
          </cell>
          <cell r="Y135" t="str">
            <v>0</v>
          </cell>
          <cell r="Z135" t="str">
            <v>0</v>
          </cell>
          <cell r="AA135" t="str">
            <v>0</v>
          </cell>
          <cell r="AB135" t="str">
            <v>0</v>
          </cell>
          <cell r="AC135" t="str">
            <v>0</v>
          </cell>
          <cell r="AD135" t="str">
            <v>0</v>
          </cell>
          <cell r="AE135" t="str">
            <v>0</v>
          </cell>
        </row>
        <row r="136">
          <cell r="D136" t="str">
            <v>09-May</v>
          </cell>
          <cell r="E136" t="str">
            <v>0</v>
          </cell>
          <cell r="F136" t="str">
            <v>0</v>
          </cell>
          <cell r="G136" t="str">
            <v>0</v>
          </cell>
          <cell r="H136" t="str">
            <v>0</v>
          </cell>
          <cell r="I136" t="str">
            <v>0</v>
          </cell>
          <cell r="J136" t="str">
            <v>0</v>
          </cell>
          <cell r="K136" t="str">
            <v>0</v>
          </cell>
          <cell r="L136" t="str">
            <v>0</v>
          </cell>
          <cell r="M136" t="str">
            <v>0</v>
          </cell>
          <cell r="N136" t="str">
            <v>0</v>
          </cell>
          <cell r="O136" t="str">
            <v>0</v>
          </cell>
          <cell r="P136" t="str">
            <v>0</v>
          </cell>
          <cell r="Q136" t="str">
            <v>0</v>
          </cell>
          <cell r="R136" t="str">
            <v>0</v>
          </cell>
          <cell r="S136" t="str">
            <v>0</v>
          </cell>
          <cell r="T136" t="str">
            <v>0</v>
          </cell>
          <cell r="U136" t="str">
            <v>0</v>
          </cell>
          <cell r="V136" t="str">
            <v>0</v>
          </cell>
          <cell r="W136" t="str">
            <v>0</v>
          </cell>
          <cell r="X136" t="str">
            <v>0</v>
          </cell>
          <cell r="Y136" t="str">
            <v>0</v>
          </cell>
          <cell r="Z136" t="str">
            <v>0</v>
          </cell>
          <cell r="AA136" t="str">
            <v>0</v>
          </cell>
          <cell r="AB136" t="str">
            <v>0</v>
          </cell>
          <cell r="AC136" t="str">
            <v>0</v>
          </cell>
          <cell r="AD136" t="str">
            <v>0</v>
          </cell>
          <cell r="AE136" t="str">
            <v>0</v>
          </cell>
        </row>
        <row r="137">
          <cell r="D137" t="str">
            <v>10-May</v>
          </cell>
          <cell r="E137" t="str">
            <v>0</v>
          </cell>
          <cell r="F137" t="str">
            <v>0</v>
          </cell>
          <cell r="G137" t="str">
            <v>0</v>
          </cell>
          <cell r="H137" t="str">
            <v>0</v>
          </cell>
          <cell r="I137" t="str">
            <v>0</v>
          </cell>
          <cell r="J137" t="str">
            <v>0</v>
          </cell>
          <cell r="K137" t="str">
            <v>0</v>
          </cell>
          <cell r="L137" t="str">
            <v>0</v>
          </cell>
          <cell r="M137" t="str">
            <v>0</v>
          </cell>
          <cell r="N137" t="str">
            <v>0</v>
          </cell>
          <cell r="O137" t="str">
            <v>0</v>
          </cell>
          <cell r="P137" t="str">
            <v>0</v>
          </cell>
          <cell r="Q137" t="str">
            <v>0</v>
          </cell>
          <cell r="R137" t="str">
            <v>0</v>
          </cell>
          <cell r="S137" t="str">
            <v>0</v>
          </cell>
          <cell r="T137" t="str">
            <v>0</v>
          </cell>
          <cell r="U137" t="str">
            <v>0</v>
          </cell>
          <cell r="V137" t="str">
            <v>0</v>
          </cell>
          <cell r="W137" t="str">
            <v>0</v>
          </cell>
          <cell r="X137" t="str">
            <v>0</v>
          </cell>
          <cell r="Y137" t="str">
            <v>0</v>
          </cell>
          <cell r="Z137" t="str">
            <v>0</v>
          </cell>
          <cell r="AA137" t="str">
            <v>0</v>
          </cell>
          <cell r="AB137" t="str">
            <v>0</v>
          </cell>
          <cell r="AC137" t="str">
            <v>0</v>
          </cell>
          <cell r="AD137" t="str">
            <v>0</v>
          </cell>
          <cell r="AE137" t="str">
            <v>0</v>
          </cell>
        </row>
        <row r="138">
          <cell r="D138" t="str">
            <v>11-May</v>
          </cell>
          <cell r="E138" t="str">
            <v>0</v>
          </cell>
          <cell r="F138" t="str">
            <v>0</v>
          </cell>
          <cell r="G138" t="str">
            <v>0</v>
          </cell>
          <cell r="H138" t="str">
            <v>0</v>
          </cell>
          <cell r="I138" t="str">
            <v>0</v>
          </cell>
          <cell r="J138" t="str">
            <v>0</v>
          </cell>
          <cell r="K138" t="str">
            <v>0</v>
          </cell>
          <cell r="L138" t="str">
            <v>0</v>
          </cell>
          <cell r="M138" t="str">
            <v>0</v>
          </cell>
          <cell r="N138" t="str">
            <v>0</v>
          </cell>
          <cell r="O138" t="str">
            <v>0</v>
          </cell>
          <cell r="P138" t="str">
            <v>0</v>
          </cell>
          <cell r="Q138" t="str">
            <v>0</v>
          </cell>
          <cell r="R138" t="str">
            <v>0</v>
          </cell>
          <cell r="S138" t="str">
            <v>0</v>
          </cell>
          <cell r="T138" t="str">
            <v>0</v>
          </cell>
          <cell r="U138" t="str">
            <v>0</v>
          </cell>
          <cell r="V138" t="str">
            <v>0</v>
          </cell>
          <cell r="W138" t="str">
            <v>0</v>
          </cell>
          <cell r="X138" t="str">
            <v>0</v>
          </cell>
          <cell r="Y138" t="str">
            <v>0</v>
          </cell>
          <cell r="Z138" t="str">
            <v>0</v>
          </cell>
          <cell r="AA138" t="str">
            <v>0</v>
          </cell>
          <cell r="AB138" t="str">
            <v>0</v>
          </cell>
          <cell r="AC138" t="str">
            <v>0</v>
          </cell>
          <cell r="AD138" t="str">
            <v>0</v>
          </cell>
          <cell r="AE138" t="str">
            <v>0</v>
          </cell>
        </row>
        <row r="139">
          <cell r="D139" t="str">
            <v>12-May</v>
          </cell>
          <cell r="E139" t="str">
            <v>0</v>
          </cell>
          <cell r="F139" t="str">
            <v>0</v>
          </cell>
          <cell r="G139" t="str">
            <v>0</v>
          </cell>
          <cell r="H139" t="str">
            <v>0</v>
          </cell>
          <cell r="I139" t="str">
            <v>0</v>
          </cell>
          <cell r="J139" t="str">
            <v>0</v>
          </cell>
          <cell r="K139" t="str">
            <v>0</v>
          </cell>
          <cell r="L139" t="str">
            <v>0</v>
          </cell>
          <cell r="M139" t="str">
            <v>0</v>
          </cell>
          <cell r="N139" t="str">
            <v>0</v>
          </cell>
          <cell r="O139" t="str">
            <v>0</v>
          </cell>
          <cell r="P139" t="str">
            <v>0</v>
          </cell>
          <cell r="Q139" t="str">
            <v>0</v>
          </cell>
          <cell r="R139" t="str">
            <v>0</v>
          </cell>
          <cell r="S139" t="str">
            <v>0</v>
          </cell>
          <cell r="T139" t="str">
            <v>0</v>
          </cell>
          <cell r="U139" t="str">
            <v>0</v>
          </cell>
          <cell r="V139" t="str">
            <v>0</v>
          </cell>
          <cell r="W139" t="str">
            <v>0</v>
          </cell>
          <cell r="X139" t="str">
            <v>0</v>
          </cell>
          <cell r="Y139" t="str">
            <v>0</v>
          </cell>
          <cell r="Z139" t="str">
            <v>0</v>
          </cell>
          <cell r="AA139" t="str">
            <v>0</v>
          </cell>
          <cell r="AB139" t="str">
            <v>0</v>
          </cell>
          <cell r="AC139" t="str">
            <v>0</v>
          </cell>
          <cell r="AD139" t="str">
            <v>0</v>
          </cell>
          <cell r="AE139" t="str">
            <v>0</v>
          </cell>
        </row>
        <row r="140">
          <cell r="D140" t="str">
            <v>13-May</v>
          </cell>
          <cell r="E140" t="str">
            <v>0</v>
          </cell>
          <cell r="F140" t="str">
            <v>0</v>
          </cell>
          <cell r="G140" t="str">
            <v>0</v>
          </cell>
          <cell r="H140" t="str">
            <v>0</v>
          </cell>
          <cell r="I140" t="str">
            <v>0</v>
          </cell>
          <cell r="J140" t="str">
            <v>0</v>
          </cell>
          <cell r="K140" t="str">
            <v>0</v>
          </cell>
          <cell r="L140" t="str">
            <v>0</v>
          </cell>
          <cell r="M140" t="str">
            <v>0</v>
          </cell>
          <cell r="N140" t="str">
            <v>0</v>
          </cell>
          <cell r="O140" t="str">
            <v>0</v>
          </cell>
          <cell r="P140" t="str">
            <v>0</v>
          </cell>
          <cell r="Q140" t="str">
            <v>0</v>
          </cell>
          <cell r="R140" t="str">
            <v>0</v>
          </cell>
          <cell r="S140" t="str">
            <v>0</v>
          </cell>
          <cell r="T140" t="str">
            <v>0</v>
          </cell>
          <cell r="U140" t="str">
            <v>0</v>
          </cell>
          <cell r="V140" t="str">
            <v>0</v>
          </cell>
          <cell r="W140" t="str">
            <v>0</v>
          </cell>
          <cell r="X140" t="str">
            <v>0</v>
          </cell>
          <cell r="Y140" t="str">
            <v>0</v>
          </cell>
          <cell r="Z140" t="str">
            <v>0</v>
          </cell>
          <cell r="AA140" t="str">
            <v>0</v>
          </cell>
          <cell r="AB140" t="str">
            <v>0</v>
          </cell>
          <cell r="AC140" t="str">
            <v>0</v>
          </cell>
          <cell r="AD140" t="str">
            <v>0</v>
          </cell>
          <cell r="AE140" t="str">
            <v>0</v>
          </cell>
        </row>
        <row r="141">
          <cell r="D141" t="str">
            <v>14-May</v>
          </cell>
          <cell r="E141" t="str">
            <v>0</v>
          </cell>
          <cell r="F141" t="str">
            <v>0</v>
          </cell>
          <cell r="G141" t="str">
            <v>0</v>
          </cell>
          <cell r="H141" t="str">
            <v>0</v>
          </cell>
          <cell r="I141" t="str">
            <v>0</v>
          </cell>
          <cell r="J141" t="str">
            <v>0</v>
          </cell>
          <cell r="K141" t="str">
            <v>0</v>
          </cell>
          <cell r="L141" t="str">
            <v>0</v>
          </cell>
          <cell r="M141" t="str">
            <v>0</v>
          </cell>
          <cell r="N141" t="str">
            <v>0</v>
          </cell>
          <cell r="O141" t="str">
            <v>0</v>
          </cell>
          <cell r="P141" t="str">
            <v>0</v>
          </cell>
          <cell r="Q141" t="str">
            <v>0</v>
          </cell>
          <cell r="R141" t="str">
            <v>0</v>
          </cell>
          <cell r="S141" t="str">
            <v>0</v>
          </cell>
          <cell r="T141" t="str">
            <v>0</v>
          </cell>
          <cell r="U141" t="str">
            <v>0</v>
          </cell>
          <cell r="V141" t="str">
            <v>0</v>
          </cell>
          <cell r="W141" t="str">
            <v>0</v>
          </cell>
          <cell r="X141" t="str">
            <v>0</v>
          </cell>
          <cell r="Y141" t="str">
            <v>0</v>
          </cell>
          <cell r="Z141" t="str">
            <v>0</v>
          </cell>
          <cell r="AA141" t="str">
            <v>0</v>
          </cell>
          <cell r="AB141" t="str">
            <v>0</v>
          </cell>
          <cell r="AC141" t="str">
            <v>0</v>
          </cell>
          <cell r="AD141" t="str">
            <v>0</v>
          </cell>
          <cell r="AE141" t="str">
            <v>0</v>
          </cell>
        </row>
        <row r="142">
          <cell r="D142" t="str">
            <v>15-May</v>
          </cell>
          <cell r="E142" t="str">
            <v>0</v>
          </cell>
          <cell r="F142" t="str">
            <v>0</v>
          </cell>
          <cell r="G142" t="str">
            <v>0</v>
          </cell>
          <cell r="H142" t="str">
            <v>0</v>
          </cell>
          <cell r="I142" t="str">
            <v>0</v>
          </cell>
          <cell r="J142" t="str">
            <v>0</v>
          </cell>
          <cell r="K142" t="str">
            <v>0</v>
          </cell>
          <cell r="L142" t="str">
            <v>0</v>
          </cell>
          <cell r="M142" t="str">
            <v>0</v>
          </cell>
          <cell r="N142" t="str">
            <v>0</v>
          </cell>
          <cell r="O142" t="str">
            <v>0</v>
          </cell>
          <cell r="P142" t="str">
            <v>0</v>
          </cell>
          <cell r="Q142" t="str">
            <v>0</v>
          </cell>
          <cell r="R142" t="str">
            <v>0</v>
          </cell>
          <cell r="S142" t="str">
            <v>0</v>
          </cell>
          <cell r="T142" t="str">
            <v>0</v>
          </cell>
          <cell r="U142" t="str">
            <v>0</v>
          </cell>
          <cell r="V142" t="str">
            <v>0</v>
          </cell>
          <cell r="W142" t="str">
            <v>0</v>
          </cell>
          <cell r="X142" t="str">
            <v>0</v>
          </cell>
          <cell r="Y142" t="str">
            <v>0</v>
          </cell>
          <cell r="Z142" t="str">
            <v>0</v>
          </cell>
          <cell r="AA142" t="str">
            <v>0</v>
          </cell>
          <cell r="AB142" t="str">
            <v>0</v>
          </cell>
          <cell r="AC142" t="str">
            <v>0</v>
          </cell>
          <cell r="AD142" t="str">
            <v>0</v>
          </cell>
          <cell r="AE142" t="str">
            <v>0</v>
          </cell>
        </row>
        <row r="143">
          <cell r="D143" t="str">
            <v>16-May</v>
          </cell>
          <cell r="E143" t="str">
            <v>0</v>
          </cell>
          <cell r="F143" t="str">
            <v>0</v>
          </cell>
          <cell r="G143" t="str">
            <v>0</v>
          </cell>
          <cell r="H143" t="str">
            <v>0</v>
          </cell>
          <cell r="I143" t="str">
            <v>0</v>
          </cell>
          <cell r="J143" t="str">
            <v>0</v>
          </cell>
          <cell r="K143" t="str">
            <v>0</v>
          </cell>
          <cell r="L143" t="str">
            <v>0</v>
          </cell>
          <cell r="M143" t="str">
            <v>0</v>
          </cell>
          <cell r="N143" t="str">
            <v>0</v>
          </cell>
          <cell r="O143" t="str">
            <v>0</v>
          </cell>
          <cell r="P143" t="str">
            <v>0</v>
          </cell>
          <cell r="Q143" t="str">
            <v>0</v>
          </cell>
          <cell r="R143" t="str">
            <v>0</v>
          </cell>
          <cell r="S143" t="str">
            <v>0</v>
          </cell>
          <cell r="T143" t="str">
            <v>0</v>
          </cell>
          <cell r="U143" t="str">
            <v>0</v>
          </cell>
          <cell r="V143" t="str">
            <v>0</v>
          </cell>
          <cell r="W143" t="str">
            <v>0</v>
          </cell>
          <cell r="X143" t="str">
            <v>0</v>
          </cell>
          <cell r="Y143" t="str">
            <v>0</v>
          </cell>
          <cell r="Z143" t="str">
            <v>0</v>
          </cell>
          <cell r="AA143" t="str">
            <v>0</v>
          </cell>
          <cell r="AB143" t="str">
            <v>0</v>
          </cell>
          <cell r="AC143" t="str">
            <v>0</v>
          </cell>
          <cell r="AD143" t="str">
            <v>0</v>
          </cell>
          <cell r="AE143" t="str">
            <v>0</v>
          </cell>
        </row>
        <row r="144">
          <cell r="D144" t="str">
            <v>17-May</v>
          </cell>
          <cell r="E144" t="str">
            <v>0</v>
          </cell>
          <cell r="F144" t="str">
            <v>0</v>
          </cell>
          <cell r="G144" t="str">
            <v>0</v>
          </cell>
          <cell r="H144" t="str">
            <v>0</v>
          </cell>
          <cell r="I144" t="str">
            <v>0</v>
          </cell>
          <cell r="J144" t="str">
            <v>0</v>
          </cell>
          <cell r="K144" t="str">
            <v>0</v>
          </cell>
          <cell r="L144" t="str">
            <v>0</v>
          </cell>
          <cell r="M144" t="str">
            <v>0</v>
          </cell>
          <cell r="N144" t="str">
            <v>0</v>
          </cell>
          <cell r="O144" t="str">
            <v>0</v>
          </cell>
          <cell r="P144" t="str">
            <v>0</v>
          </cell>
          <cell r="Q144" t="str">
            <v>0</v>
          </cell>
          <cell r="R144" t="str">
            <v>0</v>
          </cell>
          <cell r="S144" t="str">
            <v>0</v>
          </cell>
          <cell r="T144" t="str">
            <v>0</v>
          </cell>
          <cell r="U144" t="str">
            <v>0</v>
          </cell>
          <cell r="V144" t="str">
            <v>0</v>
          </cell>
          <cell r="W144" t="str">
            <v>0</v>
          </cell>
          <cell r="X144" t="str">
            <v>0</v>
          </cell>
          <cell r="Y144" t="str">
            <v>0</v>
          </cell>
          <cell r="Z144" t="str">
            <v>0</v>
          </cell>
          <cell r="AA144" t="str">
            <v>0</v>
          </cell>
          <cell r="AB144" t="str">
            <v>0</v>
          </cell>
          <cell r="AC144" t="str">
            <v>0</v>
          </cell>
          <cell r="AD144" t="str">
            <v>0</v>
          </cell>
          <cell r="AE144" t="str">
            <v>0</v>
          </cell>
        </row>
        <row r="145">
          <cell r="D145" t="str">
            <v>18-May</v>
          </cell>
          <cell r="E145" t="str">
            <v>0</v>
          </cell>
          <cell r="F145" t="str">
            <v>0</v>
          </cell>
          <cell r="G145" t="str">
            <v>0</v>
          </cell>
          <cell r="H145" t="str">
            <v>0</v>
          </cell>
          <cell r="I145" t="str">
            <v>0</v>
          </cell>
          <cell r="J145" t="str">
            <v>0</v>
          </cell>
          <cell r="K145" t="str">
            <v>0</v>
          </cell>
          <cell r="L145" t="str">
            <v>0</v>
          </cell>
          <cell r="M145" t="str">
            <v>0</v>
          </cell>
          <cell r="N145" t="str">
            <v>0</v>
          </cell>
          <cell r="O145" t="str">
            <v>0</v>
          </cell>
          <cell r="P145" t="str">
            <v>0</v>
          </cell>
          <cell r="Q145" t="str">
            <v>0</v>
          </cell>
          <cell r="R145" t="str">
            <v>0</v>
          </cell>
          <cell r="S145" t="str">
            <v>0</v>
          </cell>
          <cell r="T145" t="str">
            <v>0</v>
          </cell>
          <cell r="U145" t="str">
            <v>0</v>
          </cell>
          <cell r="V145" t="str">
            <v>0</v>
          </cell>
          <cell r="W145" t="str">
            <v>0</v>
          </cell>
          <cell r="X145" t="str">
            <v>0</v>
          </cell>
          <cell r="Y145" t="str">
            <v>0</v>
          </cell>
          <cell r="Z145" t="str">
            <v>0</v>
          </cell>
          <cell r="AA145" t="str">
            <v>0</v>
          </cell>
          <cell r="AB145" t="str">
            <v>0</v>
          </cell>
          <cell r="AC145" t="str">
            <v>0</v>
          </cell>
          <cell r="AD145" t="str">
            <v>0</v>
          </cell>
          <cell r="AE145" t="str">
            <v>0</v>
          </cell>
        </row>
        <row r="146">
          <cell r="D146" t="str">
            <v>19-May</v>
          </cell>
          <cell r="E146" t="str">
            <v>0</v>
          </cell>
          <cell r="F146" t="str">
            <v>0</v>
          </cell>
          <cell r="G146" t="str">
            <v>0</v>
          </cell>
          <cell r="H146" t="str">
            <v>0</v>
          </cell>
          <cell r="I146" t="str">
            <v>0</v>
          </cell>
          <cell r="J146" t="str">
            <v>0</v>
          </cell>
          <cell r="K146" t="str">
            <v>0</v>
          </cell>
          <cell r="L146" t="str">
            <v>0</v>
          </cell>
          <cell r="M146" t="str">
            <v>0</v>
          </cell>
          <cell r="N146" t="str">
            <v>0</v>
          </cell>
          <cell r="O146" t="str">
            <v>0</v>
          </cell>
          <cell r="P146" t="str">
            <v>0</v>
          </cell>
          <cell r="Q146" t="str">
            <v>0</v>
          </cell>
          <cell r="R146" t="str">
            <v>0</v>
          </cell>
          <cell r="S146" t="str">
            <v>0</v>
          </cell>
          <cell r="T146" t="str">
            <v>0</v>
          </cell>
          <cell r="U146" t="str">
            <v>0</v>
          </cell>
          <cell r="V146" t="str">
            <v>0</v>
          </cell>
          <cell r="W146" t="str">
            <v>0</v>
          </cell>
          <cell r="X146" t="str">
            <v>0</v>
          </cell>
          <cell r="Y146" t="str">
            <v>0</v>
          </cell>
          <cell r="Z146" t="str">
            <v>0</v>
          </cell>
          <cell r="AA146" t="str">
            <v>0</v>
          </cell>
          <cell r="AB146" t="str">
            <v>0</v>
          </cell>
          <cell r="AC146" t="str">
            <v>0</v>
          </cell>
          <cell r="AD146" t="str">
            <v>0</v>
          </cell>
          <cell r="AE146" t="str">
            <v>0</v>
          </cell>
        </row>
        <row r="147">
          <cell r="D147" t="str">
            <v>20-May</v>
          </cell>
          <cell r="E147" t="str">
            <v>0</v>
          </cell>
          <cell r="F147" t="str">
            <v>0</v>
          </cell>
          <cell r="G147" t="str">
            <v>0</v>
          </cell>
          <cell r="H147" t="str">
            <v>0</v>
          </cell>
          <cell r="I147" t="str">
            <v>0</v>
          </cell>
          <cell r="J147" t="str">
            <v>0</v>
          </cell>
          <cell r="K147" t="str">
            <v>0</v>
          </cell>
          <cell r="L147" t="str">
            <v>0</v>
          </cell>
          <cell r="M147" t="str">
            <v>0</v>
          </cell>
          <cell r="N147" t="str">
            <v>0</v>
          </cell>
          <cell r="O147" t="str">
            <v>0</v>
          </cell>
          <cell r="P147" t="str">
            <v>0</v>
          </cell>
          <cell r="Q147" t="str">
            <v>0</v>
          </cell>
          <cell r="R147" t="str">
            <v>0</v>
          </cell>
          <cell r="S147" t="str">
            <v>0</v>
          </cell>
          <cell r="T147" t="str">
            <v>0</v>
          </cell>
          <cell r="U147" t="str">
            <v>0</v>
          </cell>
          <cell r="V147" t="str">
            <v>0</v>
          </cell>
          <cell r="W147" t="str">
            <v>0</v>
          </cell>
          <cell r="X147" t="str">
            <v>0</v>
          </cell>
          <cell r="Y147" t="str">
            <v>0</v>
          </cell>
          <cell r="Z147" t="str">
            <v>0</v>
          </cell>
          <cell r="AA147" t="str">
            <v>0</v>
          </cell>
          <cell r="AB147" t="str">
            <v>0</v>
          </cell>
          <cell r="AC147" t="str">
            <v>0</v>
          </cell>
          <cell r="AD147" t="str">
            <v>0</v>
          </cell>
          <cell r="AE147" t="str">
            <v>0</v>
          </cell>
        </row>
        <row r="148">
          <cell r="D148" t="str">
            <v>21-May</v>
          </cell>
          <cell r="E148" t="str">
            <v>0</v>
          </cell>
          <cell r="F148" t="str">
            <v>0</v>
          </cell>
          <cell r="G148" t="str">
            <v>0</v>
          </cell>
          <cell r="H148" t="str">
            <v>0</v>
          </cell>
          <cell r="I148" t="str">
            <v>0</v>
          </cell>
          <cell r="J148" t="str">
            <v>0</v>
          </cell>
          <cell r="K148" t="str">
            <v>0</v>
          </cell>
          <cell r="L148" t="str">
            <v>0</v>
          </cell>
          <cell r="M148" t="str">
            <v>0</v>
          </cell>
          <cell r="N148" t="str">
            <v>0</v>
          </cell>
          <cell r="O148" t="str">
            <v>0</v>
          </cell>
          <cell r="P148" t="str">
            <v>0</v>
          </cell>
          <cell r="Q148" t="str">
            <v>0</v>
          </cell>
          <cell r="R148" t="str">
            <v>0</v>
          </cell>
          <cell r="S148" t="str">
            <v>0</v>
          </cell>
          <cell r="T148" t="str">
            <v>0</v>
          </cell>
          <cell r="U148" t="str">
            <v>0</v>
          </cell>
          <cell r="V148" t="str">
            <v>0</v>
          </cell>
          <cell r="W148" t="str">
            <v>0</v>
          </cell>
          <cell r="X148" t="str">
            <v>0</v>
          </cell>
          <cell r="Y148" t="str">
            <v>0</v>
          </cell>
          <cell r="Z148" t="str">
            <v>0</v>
          </cell>
          <cell r="AA148" t="str">
            <v>0</v>
          </cell>
          <cell r="AB148" t="str">
            <v>0</v>
          </cell>
          <cell r="AC148" t="str">
            <v>0</v>
          </cell>
          <cell r="AD148" t="str">
            <v>0</v>
          </cell>
          <cell r="AE148" t="str">
            <v>0</v>
          </cell>
        </row>
        <row r="149">
          <cell r="D149" t="str">
            <v>22-May</v>
          </cell>
          <cell r="E149" t="str">
            <v>0</v>
          </cell>
          <cell r="F149" t="str">
            <v>0</v>
          </cell>
          <cell r="G149" t="str">
            <v>0</v>
          </cell>
          <cell r="H149" t="str">
            <v>0</v>
          </cell>
          <cell r="I149" t="str">
            <v>0</v>
          </cell>
          <cell r="J149" t="str">
            <v>0</v>
          </cell>
          <cell r="K149" t="str">
            <v>0</v>
          </cell>
          <cell r="L149" t="str">
            <v>0</v>
          </cell>
          <cell r="M149" t="str">
            <v>0</v>
          </cell>
          <cell r="N149" t="str">
            <v>0</v>
          </cell>
          <cell r="O149" t="str">
            <v>0</v>
          </cell>
          <cell r="P149" t="str">
            <v>0</v>
          </cell>
          <cell r="Q149" t="str">
            <v>0</v>
          </cell>
          <cell r="R149" t="str">
            <v>0</v>
          </cell>
          <cell r="S149" t="str">
            <v>0</v>
          </cell>
          <cell r="T149" t="str">
            <v>0</v>
          </cell>
          <cell r="U149" t="str">
            <v>0</v>
          </cell>
          <cell r="V149" t="str">
            <v>0</v>
          </cell>
          <cell r="W149" t="str">
            <v>0</v>
          </cell>
          <cell r="X149" t="str">
            <v>0</v>
          </cell>
          <cell r="Y149" t="str">
            <v>0</v>
          </cell>
          <cell r="Z149" t="str">
            <v>0</v>
          </cell>
          <cell r="AA149" t="str">
            <v>0</v>
          </cell>
          <cell r="AB149" t="str">
            <v>0</v>
          </cell>
          <cell r="AC149" t="str">
            <v>0</v>
          </cell>
          <cell r="AD149" t="str">
            <v>0</v>
          </cell>
          <cell r="AE149" t="str">
            <v>0</v>
          </cell>
        </row>
        <row r="150">
          <cell r="D150" t="str">
            <v>23-May</v>
          </cell>
          <cell r="E150" t="str">
            <v>0</v>
          </cell>
          <cell r="F150" t="str">
            <v>0</v>
          </cell>
          <cell r="G150" t="str">
            <v>0</v>
          </cell>
          <cell r="H150" t="str">
            <v>0</v>
          </cell>
          <cell r="I150" t="str">
            <v>0</v>
          </cell>
          <cell r="J150" t="str">
            <v>0</v>
          </cell>
          <cell r="K150" t="str">
            <v>0</v>
          </cell>
          <cell r="L150" t="str">
            <v>0</v>
          </cell>
          <cell r="M150" t="str">
            <v>0</v>
          </cell>
          <cell r="N150" t="str">
            <v>0</v>
          </cell>
          <cell r="O150" t="str">
            <v>0</v>
          </cell>
          <cell r="P150" t="str">
            <v>0</v>
          </cell>
          <cell r="Q150" t="str">
            <v>0</v>
          </cell>
          <cell r="R150" t="str">
            <v>0</v>
          </cell>
          <cell r="S150" t="str">
            <v>0</v>
          </cell>
          <cell r="T150" t="str">
            <v>0</v>
          </cell>
          <cell r="U150" t="str">
            <v>0</v>
          </cell>
          <cell r="V150" t="str">
            <v>0</v>
          </cell>
          <cell r="W150" t="str">
            <v>0</v>
          </cell>
          <cell r="X150" t="str">
            <v>0</v>
          </cell>
          <cell r="Y150" t="str">
            <v>0</v>
          </cell>
          <cell r="Z150" t="str">
            <v>0</v>
          </cell>
          <cell r="AA150" t="str">
            <v>0</v>
          </cell>
          <cell r="AB150" t="str">
            <v>0</v>
          </cell>
          <cell r="AC150" t="str">
            <v>0</v>
          </cell>
          <cell r="AD150" t="str">
            <v>0</v>
          </cell>
          <cell r="AE150" t="str">
            <v>0</v>
          </cell>
        </row>
        <row r="151">
          <cell r="D151" t="str">
            <v>24-May</v>
          </cell>
          <cell r="E151" t="str">
            <v>0</v>
          </cell>
          <cell r="F151" t="str">
            <v>0</v>
          </cell>
          <cell r="G151" t="str">
            <v>0</v>
          </cell>
          <cell r="H151" t="str">
            <v>0</v>
          </cell>
          <cell r="I151" t="str">
            <v>0</v>
          </cell>
          <cell r="J151" t="str">
            <v>0</v>
          </cell>
          <cell r="K151" t="str">
            <v>0</v>
          </cell>
          <cell r="L151" t="str">
            <v>0</v>
          </cell>
          <cell r="M151" t="str">
            <v>0</v>
          </cell>
          <cell r="N151" t="str">
            <v>0</v>
          </cell>
          <cell r="O151" t="str">
            <v>0</v>
          </cell>
          <cell r="P151" t="str">
            <v>0</v>
          </cell>
          <cell r="Q151" t="str">
            <v>0</v>
          </cell>
          <cell r="R151" t="str">
            <v>0</v>
          </cell>
          <cell r="S151" t="str">
            <v>0</v>
          </cell>
          <cell r="T151" t="str">
            <v>0</v>
          </cell>
          <cell r="U151" t="str">
            <v>0</v>
          </cell>
          <cell r="V151" t="str">
            <v>0</v>
          </cell>
          <cell r="W151" t="str">
            <v>0</v>
          </cell>
          <cell r="X151" t="str">
            <v>0</v>
          </cell>
          <cell r="Y151" t="str">
            <v>0</v>
          </cell>
          <cell r="Z151" t="str">
            <v>0</v>
          </cell>
          <cell r="AA151" t="str">
            <v>0</v>
          </cell>
          <cell r="AB151" t="str">
            <v>0</v>
          </cell>
          <cell r="AC151" t="str">
            <v>0</v>
          </cell>
          <cell r="AD151" t="str">
            <v>0</v>
          </cell>
          <cell r="AE151" t="str">
            <v>0</v>
          </cell>
        </row>
        <row r="152">
          <cell r="D152" t="str">
            <v>25-May</v>
          </cell>
          <cell r="E152" t="str">
            <v>0</v>
          </cell>
          <cell r="F152" t="str">
            <v>0</v>
          </cell>
          <cell r="G152" t="str">
            <v>0</v>
          </cell>
          <cell r="H152" t="str">
            <v>0</v>
          </cell>
          <cell r="I152" t="str">
            <v>0</v>
          </cell>
          <cell r="J152" t="str">
            <v>0</v>
          </cell>
          <cell r="K152" t="str">
            <v>0</v>
          </cell>
          <cell r="L152" t="str">
            <v>0</v>
          </cell>
          <cell r="M152" t="str">
            <v>0</v>
          </cell>
          <cell r="N152" t="str">
            <v>0</v>
          </cell>
          <cell r="O152" t="str">
            <v>0</v>
          </cell>
          <cell r="P152" t="str">
            <v>0</v>
          </cell>
          <cell r="Q152" t="str">
            <v>0</v>
          </cell>
          <cell r="R152" t="str">
            <v>0</v>
          </cell>
          <cell r="S152" t="str">
            <v>0</v>
          </cell>
          <cell r="T152" t="str">
            <v>0</v>
          </cell>
          <cell r="U152" t="str">
            <v>0</v>
          </cell>
          <cell r="V152" t="str">
            <v>0</v>
          </cell>
          <cell r="W152" t="str">
            <v>0</v>
          </cell>
          <cell r="X152" t="str">
            <v>0</v>
          </cell>
          <cell r="Y152" t="str">
            <v>0</v>
          </cell>
          <cell r="Z152" t="str">
            <v>0</v>
          </cell>
          <cell r="AA152" t="str">
            <v>0</v>
          </cell>
          <cell r="AB152" t="str">
            <v>0</v>
          </cell>
          <cell r="AC152" t="str">
            <v>0</v>
          </cell>
          <cell r="AD152" t="str">
            <v>0</v>
          </cell>
          <cell r="AE152" t="str">
            <v>0</v>
          </cell>
        </row>
        <row r="153">
          <cell r="D153" t="str">
            <v>26-May</v>
          </cell>
          <cell r="E153" t="str">
            <v>0</v>
          </cell>
          <cell r="F153" t="str">
            <v>0</v>
          </cell>
          <cell r="G153" t="str">
            <v>0</v>
          </cell>
          <cell r="H153" t="str">
            <v>0</v>
          </cell>
          <cell r="I153" t="str">
            <v>0</v>
          </cell>
          <cell r="J153" t="str">
            <v>0</v>
          </cell>
          <cell r="K153" t="str">
            <v>0</v>
          </cell>
          <cell r="L153" t="str">
            <v>0</v>
          </cell>
          <cell r="M153" t="str">
            <v>0</v>
          </cell>
          <cell r="N153" t="str">
            <v>0</v>
          </cell>
          <cell r="O153" t="str">
            <v>0</v>
          </cell>
          <cell r="P153" t="str">
            <v>0</v>
          </cell>
          <cell r="Q153" t="str">
            <v>0</v>
          </cell>
          <cell r="R153" t="str">
            <v>0</v>
          </cell>
          <cell r="S153" t="str">
            <v>0</v>
          </cell>
          <cell r="T153" t="str">
            <v>0</v>
          </cell>
          <cell r="U153" t="str">
            <v>0</v>
          </cell>
          <cell r="V153" t="str">
            <v>0</v>
          </cell>
          <cell r="W153" t="str">
            <v>0</v>
          </cell>
          <cell r="X153" t="str">
            <v>0</v>
          </cell>
          <cell r="Y153" t="str">
            <v>0</v>
          </cell>
          <cell r="Z153" t="str">
            <v>0</v>
          </cell>
          <cell r="AA153" t="str">
            <v>0</v>
          </cell>
          <cell r="AB153" t="str">
            <v>0</v>
          </cell>
          <cell r="AC153" t="str">
            <v>0</v>
          </cell>
          <cell r="AD153" t="str">
            <v>0</v>
          </cell>
          <cell r="AE153" t="str">
            <v>0</v>
          </cell>
        </row>
        <row r="154">
          <cell r="D154" t="str">
            <v>27-May</v>
          </cell>
          <cell r="E154" t="str">
            <v>0</v>
          </cell>
          <cell r="F154" t="str">
            <v>0</v>
          </cell>
          <cell r="G154" t="str">
            <v>0</v>
          </cell>
          <cell r="H154" t="str">
            <v>0</v>
          </cell>
          <cell r="I154" t="str">
            <v>0</v>
          </cell>
          <cell r="J154" t="str">
            <v>0</v>
          </cell>
          <cell r="K154" t="str">
            <v>0</v>
          </cell>
          <cell r="L154" t="str">
            <v>0</v>
          </cell>
          <cell r="M154" t="str">
            <v>0</v>
          </cell>
          <cell r="N154" t="str">
            <v>0</v>
          </cell>
          <cell r="O154" t="str">
            <v>0</v>
          </cell>
          <cell r="P154" t="str">
            <v>0</v>
          </cell>
          <cell r="Q154" t="str">
            <v>0</v>
          </cell>
          <cell r="R154" t="str">
            <v>0</v>
          </cell>
          <cell r="S154" t="str">
            <v>0</v>
          </cell>
          <cell r="T154" t="str">
            <v>0</v>
          </cell>
          <cell r="U154" t="str">
            <v>0</v>
          </cell>
          <cell r="V154" t="str">
            <v>0</v>
          </cell>
          <cell r="W154" t="str">
            <v>0</v>
          </cell>
          <cell r="X154" t="str">
            <v>0</v>
          </cell>
          <cell r="Y154" t="str">
            <v>0</v>
          </cell>
          <cell r="Z154" t="str">
            <v>0</v>
          </cell>
          <cell r="AA154" t="str">
            <v>0</v>
          </cell>
          <cell r="AB154" t="str">
            <v>0</v>
          </cell>
          <cell r="AC154" t="str">
            <v>0</v>
          </cell>
          <cell r="AD154" t="str">
            <v>0</v>
          </cell>
          <cell r="AE154" t="str">
            <v>0</v>
          </cell>
        </row>
        <row r="155">
          <cell r="D155" t="str">
            <v>28-May</v>
          </cell>
          <cell r="E155" t="str">
            <v>0</v>
          </cell>
          <cell r="F155" t="str">
            <v>0</v>
          </cell>
          <cell r="G155" t="str">
            <v>0</v>
          </cell>
          <cell r="H155" t="str">
            <v>0</v>
          </cell>
          <cell r="I155" t="str">
            <v>0</v>
          </cell>
          <cell r="J155" t="str">
            <v>0</v>
          </cell>
          <cell r="K155" t="str">
            <v>0</v>
          </cell>
          <cell r="L155" t="str">
            <v>0</v>
          </cell>
          <cell r="M155" t="str">
            <v>0</v>
          </cell>
          <cell r="N155" t="str">
            <v>0</v>
          </cell>
          <cell r="O155" t="str">
            <v>0</v>
          </cell>
          <cell r="P155" t="str">
            <v>0</v>
          </cell>
          <cell r="Q155" t="str">
            <v>0</v>
          </cell>
          <cell r="R155" t="str">
            <v>0</v>
          </cell>
          <cell r="S155" t="str">
            <v>0</v>
          </cell>
          <cell r="T155" t="str">
            <v>0</v>
          </cell>
          <cell r="U155" t="str">
            <v>0</v>
          </cell>
          <cell r="V155" t="str">
            <v>0</v>
          </cell>
          <cell r="W155" t="str">
            <v>0</v>
          </cell>
          <cell r="X155" t="str">
            <v>0</v>
          </cell>
          <cell r="Y155" t="str">
            <v>0</v>
          </cell>
          <cell r="Z155" t="str">
            <v>0</v>
          </cell>
          <cell r="AA155" t="str">
            <v>0</v>
          </cell>
          <cell r="AB155" t="str">
            <v>0</v>
          </cell>
          <cell r="AC155" t="str">
            <v>0</v>
          </cell>
          <cell r="AD155" t="str">
            <v>0</v>
          </cell>
          <cell r="AE155" t="str">
            <v>0</v>
          </cell>
        </row>
        <row r="156">
          <cell r="D156" t="str">
            <v>29-May</v>
          </cell>
          <cell r="E156" t="str">
            <v>0</v>
          </cell>
          <cell r="F156" t="str">
            <v>0</v>
          </cell>
          <cell r="G156" t="str">
            <v>0</v>
          </cell>
          <cell r="H156" t="str">
            <v>0</v>
          </cell>
          <cell r="I156" t="str">
            <v>0</v>
          </cell>
          <cell r="J156" t="str">
            <v>0</v>
          </cell>
          <cell r="K156" t="str">
            <v>0</v>
          </cell>
          <cell r="L156" t="str">
            <v>0</v>
          </cell>
          <cell r="M156" t="str">
            <v>0</v>
          </cell>
          <cell r="N156" t="str">
            <v>0</v>
          </cell>
          <cell r="O156" t="str">
            <v>0</v>
          </cell>
          <cell r="P156" t="str">
            <v>0</v>
          </cell>
          <cell r="Q156" t="str">
            <v>0</v>
          </cell>
          <cell r="R156" t="str">
            <v>0</v>
          </cell>
          <cell r="S156" t="str">
            <v>0</v>
          </cell>
          <cell r="T156" t="str">
            <v>0</v>
          </cell>
          <cell r="U156" t="str">
            <v>0</v>
          </cell>
          <cell r="V156" t="str">
            <v>0</v>
          </cell>
          <cell r="W156" t="str">
            <v>0</v>
          </cell>
          <cell r="X156" t="str">
            <v>0</v>
          </cell>
          <cell r="Y156" t="str">
            <v>0</v>
          </cell>
          <cell r="Z156" t="str">
            <v>0</v>
          </cell>
          <cell r="AA156" t="str">
            <v>0</v>
          </cell>
          <cell r="AB156" t="str">
            <v>0</v>
          </cell>
          <cell r="AC156" t="str">
            <v>0</v>
          </cell>
          <cell r="AD156" t="str">
            <v>0</v>
          </cell>
          <cell r="AE156" t="str">
            <v>0</v>
          </cell>
        </row>
        <row r="157">
          <cell r="D157" t="str">
            <v>30-May</v>
          </cell>
          <cell r="E157" t="str">
            <v>0</v>
          </cell>
          <cell r="F157" t="str">
            <v>0</v>
          </cell>
          <cell r="G157" t="str">
            <v>0</v>
          </cell>
          <cell r="H157" t="str">
            <v>0</v>
          </cell>
          <cell r="I157" t="str">
            <v>0</v>
          </cell>
          <cell r="J157" t="str">
            <v>0</v>
          </cell>
          <cell r="K157" t="str">
            <v>0</v>
          </cell>
          <cell r="L157" t="str">
            <v>0</v>
          </cell>
          <cell r="M157" t="str">
            <v>0</v>
          </cell>
          <cell r="N157" t="str">
            <v>0</v>
          </cell>
          <cell r="O157" t="str">
            <v>0</v>
          </cell>
          <cell r="P157" t="str">
            <v>0</v>
          </cell>
          <cell r="Q157" t="str">
            <v>0</v>
          </cell>
          <cell r="R157" t="str">
            <v>0</v>
          </cell>
          <cell r="S157" t="str">
            <v>0</v>
          </cell>
          <cell r="T157" t="str">
            <v>0</v>
          </cell>
          <cell r="U157" t="str">
            <v>0</v>
          </cell>
          <cell r="V157" t="str">
            <v>0</v>
          </cell>
          <cell r="W157" t="str">
            <v>0</v>
          </cell>
          <cell r="X157" t="str">
            <v>0</v>
          </cell>
          <cell r="Y157" t="str">
            <v>0</v>
          </cell>
          <cell r="Z157" t="str">
            <v>0</v>
          </cell>
          <cell r="AA157" t="str">
            <v>0</v>
          </cell>
          <cell r="AB157" t="str">
            <v>0</v>
          </cell>
          <cell r="AC157" t="str">
            <v>0</v>
          </cell>
          <cell r="AD157" t="str">
            <v>0</v>
          </cell>
          <cell r="AE157" t="str">
            <v>0</v>
          </cell>
        </row>
        <row r="158">
          <cell r="D158" t="str">
            <v>31-May</v>
          </cell>
          <cell r="E158" t="str">
            <v>0</v>
          </cell>
          <cell r="F158" t="str">
            <v>0</v>
          </cell>
          <cell r="G158" t="str">
            <v>0</v>
          </cell>
          <cell r="H158" t="str">
            <v>0</v>
          </cell>
          <cell r="I158" t="str">
            <v>0</v>
          </cell>
          <cell r="J158" t="str">
            <v>0</v>
          </cell>
          <cell r="K158" t="str">
            <v>0</v>
          </cell>
          <cell r="L158" t="str">
            <v>0</v>
          </cell>
          <cell r="M158" t="str">
            <v>0</v>
          </cell>
          <cell r="N158" t="str">
            <v>0</v>
          </cell>
          <cell r="O158" t="str">
            <v>0</v>
          </cell>
          <cell r="P158" t="str">
            <v>0</v>
          </cell>
          <cell r="Q158" t="str">
            <v>0</v>
          </cell>
          <cell r="R158" t="str">
            <v>0</v>
          </cell>
          <cell r="S158" t="str">
            <v>0</v>
          </cell>
          <cell r="T158" t="str">
            <v>0</v>
          </cell>
          <cell r="U158" t="str">
            <v>0</v>
          </cell>
          <cell r="V158" t="str">
            <v>0</v>
          </cell>
          <cell r="W158" t="str">
            <v>0</v>
          </cell>
          <cell r="X158" t="str">
            <v>0</v>
          </cell>
          <cell r="Y158" t="str">
            <v>0</v>
          </cell>
          <cell r="Z158" t="str">
            <v>0</v>
          </cell>
          <cell r="AA158" t="str">
            <v>0</v>
          </cell>
          <cell r="AB158" t="str">
            <v>0</v>
          </cell>
          <cell r="AC158" t="str">
            <v>0</v>
          </cell>
          <cell r="AD158" t="str">
            <v>0</v>
          </cell>
          <cell r="AE158" t="str">
            <v>0</v>
          </cell>
        </row>
        <row r="159">
          <cell r="D159" t="str">
            <v>01-Jun</v>
          </cell>
          <cell r="E159" t="str">
            <v>0</v>
          </cell>
          <cell r="F159" t="str">
            <v>0</v>
          </cell>
          <cell r="G159" t="str">
            <v>0</v>
          </cell>
          <cell r="H159" t="str">
            <v>0</v>
          </cell>
          <cell r="I159" t="str">
            <v>0</v>
          </cell>
          <cell r="J159" t="str">
            <v>0</v>
          </cell>
          <cell r="K159" t="str">
            <v>0</v>
          </cell>
          <cell r="L159" t="str">
            <v>0</v>
          </cell>
          <cell r="M159" t="str">
            <v>0</v>
          </cell>
          <cell r="N159" t="str">
            <v>0</v>
          </cell>
          <cell r="O159" t="str">
            <v>0</v>
          </cell>
          <cell r="P159" t="str">
            <v>0</v>
          </cell>
          <cell r="Q159" t="str">
            <v>0</v>
          </cell>
          <cell r="R159" t="str">
            <v>0</v>
          </cell>
          <cell r="S159" t="str">
            <v>0</v>
          </cell>
          <cell r="T159" t="str">
            <v>0</v>
          </cell>
          <cell r="U159" t="str">
            <v>0</v>
          </cell>
          <cell r="V159" t="str">
            <v>0</v>
          </cell>
          <cell r="W159" t="str">
            <v>0</v>
          </cell>
          <cell r="X159" t="str">
            <v>0</v>
          </cell>
          <cell r="Y159" t="str">
            <v>0</v>
          </cell>
          <cell r="Z159" t="str">
            <v>0</v>
          </cell>
          <cell r="AA159" t="str">
            <v>0</v>
          </cell>
          <cell r="AB159" t="str">
            <v>0</v>
          </cell>
          <cell r="AC159" t="str">
            <v>0</v>
          </cell>
          <cell r="AD159" t="str">
            <v>0</v>
          </cell>
          <cell r="AE159" t="str">
            <v>0</v>
          </cell>
        </row>
        <row r="160">
          <cell r="D160" t="str">
            <v>02-Jun</v>
          </cell>
          <cell r="E160" t="str">
            <v>0</v>
          </cell>
          <cell r="F160" t="str">
            <v>0</v>
          </cell>
          <cell r="G160" t="str">
            <v>0</v>
          </cell>
          <cell r="H160" t="str">
            <v>0</v>
          </cell>
          <cell r="I160" t="str">
            <v>0</v>
          </cell>
          <cell r="J160" t="str">
            <v>0</v>
          </cell>
          <cell r="K160" t="str">
            <v>0</v>
          </cell>
          <cell r="L160" t="str">
            <v>0</v>
          </cell>
          <cell r="M160" t="str">
            <v>0</v>
          </cell>
          <cell r="N160" t="str">
            <v>0</v>
          </cell>
          <cell r="O160" t="str">
            <v>0</v>
          </cell>
          <cell r="P160" t="str">
            <v>0</v>
          </cell>
          <cell r="Q160" t="str">
            <v>0</v>
          </cell>
          <cell r="R160" t="str">
            <v>0</v>
          </cell>
          <cell r="S160" t="str">
            <v>0</v>
          </cell>
          <cell r="T160" t="str">
            <v>0</v>
          </cell>
          <cell r="U160" t="str">
            <v>0</v>
          </cell>
          <cell r="V160" t="str">
            <v>0</v>
          </cell>
          <cell r="W160" t="str">
            <v>0</v>
          </cell>
          <cell r="X160" t="str">
            <v>0</v>
          </cell>
          <cell r="Y160" t="str">
            <v>0</v>
          </cell>
          <cell r="Z160" t="str">
            <v>0</v>
          </cell>
          <cell r="AA160" t="str">
            <v>0</v>
          </cell>
          <cell r="AB160" t="str">
            <v>0</v>
          </cell>
          <cell r="AC160" t="str">
            <v>0</v>
          </cell>
          <cell r="AD160" t="str">
            <v>0</v>
          </cell>
          <cell r="AE160" t="str">
            <v>0</v>
          </cell>
        </row>
        <row r="161">
          <cell r="D161" t="str">
            <v>03-Jun</v>
          </cell>
          <cell r="E161" t="str">
            <v>0</v>
          </cell>
          <cell r="F161" t="str">
            <v>0</v>
          </cell>
          <cell r="G161" t="str">
            <v>0</v>
          </cell>
          <cell r="H161" t="str">
            <v>0</v>
          </cell>
          <cell r="I161" t="str">
            <v>0</v>
          </cell>
          <cell r="J161" t="str">
            <v>0</v>
          </cell>
          <cell r="K161" t="str">
            <v>0</v>
          </cell>
          <cell r="L161" t="str">
            <v>0</v>
          </cell>
          <cell r="M161" t="str">
            <v>0</v>
          </cell>
          <cell r="N161" t="str">
            <v>0</v>
          </cell>
          <cell r="O161" t="str">
            <v>0</v>
          </cell>
          <cell r="P161" t="str">
            <v>0</v>
          </cell>
          <cell r="Q161" t="str">
            <v>0</v>
          </cell>
          <cell r="R161" t="str">
            <v>0</v>
          </cell>
          <cell r="S161" t="str">
            <v>0</v>
          </cell>
          <cell r="T161" t="str">
            <v>0</v>
          </cell>
          <cell r="U161" t="str">
            <v>0</v>
          </cell>
          <cell r="V161" t="str">
            <v>0</v>
          </cell>
          <cell r="W161" t="str">
            <v>0</v>
          </cell>
          <cell r="X161" t="str">
            <v>0</v>
          </cell>
          <cell r="Y161" t="str">
            <v>0</v>
          </cell>
          <cell r="Z161" t="str">
            <v>0</v>
          </cell>
          <cell r="AA161" t="str">
            <v>0</v>
          </cell>
          <cell r="AB161" t="str">
            <v>0</v>
          </cell>
          <cell r="AC161" t="str">
            <v>0</v>
          </cell>
          <cell r="AD161" t="str">
            <v>0</v>
          </cell>
          <cell r="AE161" t="str">
            <v>0</v>
          </cell>
        </row>
        <row r="162">
          <cell r="D162" t="str">
            <v>04-Jun</v>
          </cell>
          <cell r="E162" t="str">
            <v>0</v>
          </cell>
          <cell r="F162" t="str">
            <v>0</v>
          </cell>
          <cell r="G162" t="str">
            <v>0</v>
          </cell>
          <cell r="H162" t="str">
            <v>0</v>
          </cell>
          <cell r="I162" t="str">
            <v>0</v>
          </cell>
          <cell r="J162" t="str">
            <v>0</v>
          </cell>
          <cell r="K162" t="str">
            <v>0</v>
          </cell>
          <cell r="L162" t="str">
            <v>0</v>
          </cell>
          <cell r="M162" t="str">
            <v>0</v>
          </cell>
          <cell r="N162" t="str">
            <v>0</v>
          </cell>
          <cell r="O162" t="str">
            <v>0</v>
          </cell>
          <cell r="P162" t="str">
            <v>0</v>
          </cell>
          <cell r="Q162" t="str">
            <v>0</v>
          </cell>
          <cell r="R162" t="str">
            <v>0</v>
          </cell>
          <cell r="S162" t="str">
            <v>0</v>
          </cell>
          <cell r="T162" t="str">
            <v>0</v>
          </cell>
          <cell r="U162" t="str">
            <v>0</v>
          </cell>
          <cell r="V162" t="str">
            <v>0</v>
          </cell>
          <cell r="W162" t="str">
            <v>0</v>
          </cell>
          <cell r="X162" t="str">
            <v>0</v>
          </cell>
          <cell r="Y162" t="str">
            <v>0</v>
          </cell>
          <cell r="Z162" t="str">
            <v>0</v>
          </cell>
          <cell r="AA162" t="str">
            <v>0</v>
          </cell>
          <cell r="AB162" t="str">
            <v>0</v>
          </cell>
          <cell r="AC162" t="str">
            <v>0</v>
          </cell>
          <cell r="AD162" t="str">
            <v>0</v>
          </cell>
          <cell r="AE162" t="str">
            <v>0</v>
          </cell>
        </row>
        <row r="163">
          <cell r="D163" t="str">
            <v>05-Jun</v>
          </cell>
          <cell r="E163" t="str">
            <v>0</v>
          </cell>
          <cell r="F163" t="str">
            <v>0</v>
          </cell>
          <cell r="G163" t="str">
            <v>0</v>
          </cell>
          <cell r="H163" t="str">
            <v>0</v>
          </cell>
          <cell r="I163" t="str">
            <v>0</v>
          </cell>
          <cell r="J163" t="str">
            <v>0</v>
          </cell>
          <cell r="K163" t="str">
            <v>0</v>
          </cell>
          <cell r="L163" t="str">
            <v>0</v>
          </cell>
          <cell r="M163" t="str">
            <v>0</v>
          </cell>
          <cell r="N163" t="str">
            <v>0</v>
          </cell>
          <cell r="O163" t="str">
            <v>0</v>
          </cell>
          <cell r="P163" t="str">
            <v>0</v>
          </cell>
          <cell r="Q163" t="str">
            <v>0</v>
          </cell>
          <cell r="R163" t="str">
            <v>0</v>
          </cell>
          <cell r="S163" t="str">
            <v>0</v>
          </cell>
          <cell r="T163" t="str">
            <v>0</v>
          </cell>
          <cell r="U163" t="str">
            <v>0</v>
          </cell>
          <cell r="V163" t="str">
            <v>0</v>
          </cell>
          <cell r="W163" t="str">
            <v>0</v>
          </cell>
          <cell r="X163" t="str">
            <v>0</v>
          </cell>
          <cell r="Y163" t="str">
            <v>0</v>
          </cell>
          <cell r="Z163" t="str">
            <v>0</v>
          </cell>
          <cell r="AA163" t="str">
            <v>0</v>
          </cell>
          <cell r="AB163" t="str">
            <v>0</v>
          </cell>
          <cell r="AC163" t="str">
            <v>0</v>
          </cell>
          <cell r="AD163" t="str">
            <v>0</v>
          </cell>
          <cell r="AE163" t="str">
            <v>0</v>
          </cell>
        </row>
        <row r="164">
          <cell r="D164" t="str">
            <v>06-Jun</v>
          </cell>
          <cell r="E164" t="str">
            <v>0</v>
          </cell>
          <cell r="F164" t="str">
            <v>0</v>
          </cell>
          <cell r="G164" t="str">
            <v>0</v>
          </cell>
          <cell r="H164" t="str">
            <v>0</v>
          </cell>
          <cell r="I164" t="str">
            <v>0</v>
          </cell>
          <cell r="J164" t="str">
            <v>0</v>
          </cell>
          <cell r="K164" t="str">
            <v>0</v>
          </cell>
          <cell r="L164" t="str">
            <v>0</v>
          </cell>
          <cell r="M164" t="str">
            <v>0</v>
          </cell>
          <cell r="N164" t="str">
            <v>0</v>
          </cell>
          <cell r="O164" t="str">
            <v>0</v>
          </cell>
          <cell r="P164" t="str">
            <v>0</v>
          </cell>
          <cell r="Q164" t="str">
            <v>0</v>
          </cell>
          <cell r="R164" t="str">
            <v>0</v>
          </cell>
          <cell r="S164" t="str">
            <v>0</v>
          </cell>
          <cell r="T164" t="str">
            <v>0</v>
          </cell>
          <cell r="U164" t="str">
            <v>0</v>
          </cell>
          <cell r="V164" t="str">
            <v>0</v>
          </cell>
          <cell r="W164" t="str">
            <v>0</v>
          </cell>
          <cell r="X164" t="str">
            <v>0</v>
          </cell>
          <cell r="Y164" t="str">
            <v>0</v>
          </cell>
          <cell r="Z164" t="str">
            <v>0</v>
          </cell>
          <cell r="AA164" t="str">
            <v>0</v>
          </cell>
          <cell r="AB164" t="str">
            <v>0</v>
          </cell>
          <cell r="AC164" t="str">
            <v>0</v>
          </cell>
          <cell r="AD164" t="str">
            <v>0</v>
          </cell>
          <cell r="AE164" t="str">
            <v>0</v>
          </cell>
        </row>
        <row r="165">
          <cell r="D165" t="str">
            <v>07-Jun</v>
          </cell>
          <cell r="E165" t="str">
            <v>0</v>
          </cell>
          <cell r="F165" t="str">
            <v>0</v>
          </cell>
          <cell r="G165" t="str">
            <v>0</v>
          </cell>
          <cell r="H165" t="str">
            <v>0</v>
          </cell>
          <cell r="I165" t="str">
            <v>0</v>
          </cell>
          <cell r="J165" t="str">
            <v>0</v>
          </cell>
          <cell r="K165" t="str">
            <v>0</v>
          </cell>
          <cell r="L165" t="str">
            <v>0</v>
          </cell>
          <cell r="M165" t="str">
            <v>0</v>
          </cell>
          <cell r="N165" t="str">
            <v>0</v>
          </cell>
          <cell r="O165" t="str">
            <v>0</v>
          </cell>
          <cell r="P165" t="str">
            <v>0</v>
          </cell>
          <cell r="Q165" t="str">
            <v>0</v>
          </cell>
          <cell r="R165" t="str">
            <v>0</v>
          </cell>
          <cell r="S165" t="str">
            <v>0</v>
          </cell>
          <cell r="T165" t="str">
            <v>0</v>
          </cell>
          <cell r="U165" t="str">
            <v>0</v>
          </cell>
          <cell r="V165" t="str">
            <v>0</v>
          </cell>
          <cell r="W165" t="str">
            <v>0</v>
          </cell>
          <cell r="X165" t="str">
            <v>0</v>
          </cell>
          <cell r="Y165" t="str">
            <v>0</v>
          </cell>
          <cell r="Z165" t="str">
            <v>0</v>
          </cell>
          <cell r="AA165" t="str">
            <v>0</v>
          </cell>
          <cell r="AB165" t="str">
            <v>0</v>
          </cell>
          <cell r="AC165" t="str">
            <v>0</v>
          </cell>
          <cell r="AD165" t="str">
            <v>0</v>
          </cell>
          <cell r="AE165" t="str">
            <v>0</v>
          </cell>
        </row>
        <row r="166">
          <cell r="D166" t="str">
            <v>08-Jun</v>
          </cell>
          <cell r="E166" t="str">
            <v>0</v>
          </cell>
          <cell r="F166" t="str">
            <v>0</v>
          </cell>
          <cell r="G166" t="str">
            <v>0</v>
          </cell>
          <cell r="H166" t="str">
            <v>0</v>
          </cell>
          <cell r="I166" t="str">
            <v>0</v>
          </cell>
          <cell r="J166" t="str">
            <v>0</v>
          </cell>
          <cell r="K166" t="str">
            <v>0</v>
          </cell>
          <cell r="L166" t="str">
            <v>0</v>
          </cell>
          <cell r="M166" t="str">
            <v>0</v>
          </cell>
          <cell r="N166" t="str">
            <v>0</v>
          </cell>
          <cell r="O166" t="str">
            <v>0</v>
          </cell>
          <cell r="P166" t="str">
            <v>0</v>
          </cell>
          <cell r="Q166" t="str">
            <v>0</v>
          </cell>
          <cell r="R166" t="str">
            <v>0</v>
          </cell>
          <cell r="S166" t="str">
            <v>0</v>
          </cell>
          <cell r="T166" t="str">
            <v>0</v>
          </cell>
          <cell r="U166" t="str">
            <v>0</v>
          </cell>
          <cell r="V166" t="str">
            <v>0</v>
          </cell>
          <cell r="W166" t="str">
            <v>0</v>
          </cell>
          <cell r="X166" t="str">
            <v>0</v>
          </cell>
          <cell r="Y166" t="str">
            <v>0</v>
          </cell>
          <cell r="Z166" t="str">
            <v>0</v>
          </cell>
          <cell r="AA166" t="str">
            <v>0</v>
          </cell>
          <cell r="AB166" t="str">
            <v>0</v>
          </cell>
          <cell r="AC166" t="str">
            <v>0</v>
          </cell>
          <cell r="AD166" t="str">
            <v>0</v>
          </cell>
          <cell r="AE166" t="str">
            <v>0</v>
          </cell>
        </row>
        <row r="167">
          <cell r="D167" t="str">
            <v>09-Jun</v>
          </cell>
          <cell r="E167" t="str">
            <v>0</v>
          </cell>
          <cell r="F167" t="str">
            <v>0</v>
          </cell>
          <cell r="G167" t="str">
            <v>0</v>
          </cell>
          <cell r="H167" t="str">
            <v>0</v>
          </cell>
          <cell r="I167" t="str">
            <v>0</v>
          </cell>
          <cell r="J167" t="str">
            <v>0</v>
          </cell>
          <cell r="K167" t="str">
            <v>0</v>
          </cell>
          <cell r="L167" t="str">
            <v>0</v>
          </cell>
          <cell r="M167" t="str">
            <v>0</v>
          </cell>
          <cell r="N167" t="str">
            <v>0</v>
          </cell>
          <cell r="O167" t="str">
            <v>0</v>
          </cell>
          <cell r="P167" t="str">
            <v>0</v>
          </cell>
          <cell r="Q167" t="str">
            <v>0</v>
          </cell>
          <cell r="R167" t="str">
            <v>0</v>
          </cell>
          <cell r="S167" t="str">
            <v>0</v>
          </cell>
          <cell r="T167" t="str">
            <v>0</v>
          </cell>
          <cell r="U167" t="str">
            <v>0</v>
          </cell>
          <cell r="V167" t="str">
            <v>0</v>
          </cell>
          <cell r="W167" t="str">
            <v>0</v>
          </cell>
          <cell r="X167" t="str">
            <v>0</v>
          </cell>
          <cell r="Y167" t="str">
            <v>0</v>
          </cell>
          <cell r="Z167" t="str">
            <v>0</v>
          </cell>
          <cell r="AA167" t="str">
            <v>0</v>
          </cell>
          <cell r="AB167" t="str">
            <v>0</v>
          </cell>
          <cell r="AC167" t="str">
            <v>0</v>
          </cell>
          <cell r="AD167" t="str">
            <v>0</v>
          </cell>
          <cell r="AE167" t="str">
            <v>0</v>
          </cell>
        </row>
        <row r="168">
          <cell r="D168" t="str">
            <v>10-Jun</v>
          </cell>
          <cell r="E168" t="str">
            <v>0</v>
          </cell>
          <cell r="F168" t="str">
            <v>0</v>
          </cell>
          <cell r="G168" t="str">
            <v>0</v>
          </cell>
          <cell r="H168" t="str">
            <v>0</v>
          </cell>
          <cell r="I168" t="str">
            <v>0</v>
          </cell>
          <cell r="J168" t="str">
            <v>0</v>
          </cell>
          <cell r="K168" t="str">
            <v>0</v>
          </cell>
          <cell r="L168" t="str">
            <v>0</v>
          </cell>
          <cell r="M168" t="str">
            <v>0</v>
          </cell>
          <cell r="N168" t="str">
            <v>0</v>
          </cell>
          <cell r="O168" t="str">
            <v>0</v>
          </cell>
          <cell r="P168" t="str">
            <v>0</v>
          </cell>
          <cell r="Q168" t="str">
            <v>0</v>
          </cell>
          <cell r="R168" t="str">
            <v>0</v>
          </cell>
          <cell r="S168" t="str">
            <v>0</v>
          </cell>
          <cell r="T168" t="str">
            <v>0</v>
          </cell>
          <cell r="U168" t="str">
            <v>0</v>
          </cell>
          <cell r="V168" t="str">
            <v>0</v>
          </cell>
          <cell r="W168" t="str">
            <v>0</v>
          </cell>
          <cell r="X168" t="str">
            <v>0</v>
          </cell>
          <cell r="Y168" t="str">
            <v>0</v>
          </cell>
          <cell r="Z168" t="str">
            <v>0</v>
          </cell>
          <cell r="AA168" t="str">
            <v>0</v>
          </cell>
          <cell r="AB168" t="str">
            <v>0</v>
          </cell>
          <cell r="AC168" t="str">
            <v>0</v>
          </cell>
          <cell r="AD168" t="str">
            <v>0</v>
          </cell>
          <cell r="AE168" t="str">
            <v>0</v>
          </cell>
        </row>
        <row r="169">
          <cell r="D169" t="str">
            <v>11-Jun</v>
          </cell>
          <cell r="E169" t="str">
            <v>0</v>
          </cell>
          <cell r="F169" t="str">
            <v>0</v>
          </cell>
          <cell r="G169" t="str">
            <v>0</v>
          </cell>
          <cell r="H169" t="str">
            <v>0</v>
          </cell>
          <cell r="I169" t="str">
            <v>0</v>
          </cell>
          <cell r="J169" t="str">
            <v>0</v>
          </cell>
          <cell r="K169" t="str">
            <v>0</v>
          </cell>
          <cell r="L169" t="str">
            <v>0</v>
          </cell>
          <cell r="M169" t="str">
            <v>0</v>
          </cell>
          <cell r="N169" t="str">
            <v>0</v>
          </cell>
          <cell r="O169" t="str">
            <v>0</v>
          </cell>
          <cell r="P169" t="str">
            <v>0</v>
          </cell>
          <cell r="Q169" t="str">
            <v>0</v>
          </cell>
          <cell r="R169" t="str">
            <v>0</v>
          </cell>
          <cell r="S169" t="str">
            <v>0</v>
          </cell>
          <cell r="T169" t="str">
            <v>0</v>
          </cell>
          <cell r="U169" t="str">
            <v>0</v>
          </cell>
          <cell r="V169" t="str">
            <v>0</v>
          </cell>
          <cell r="W169" t="str">
            <v>0</v>
          </cell>
          <cell r="X169" t="str">
            <v>0</v>
          </cell>
          <cell r="Y169" t="str">
            <v>0</v>
          </cell>
          <cell r="Z169" t="str">
            <v>0</v>
          </cell>
          <cell r="AA169" t="str">
            <v>0</v>
          </cell>
          <cell r="AB169" t="str">
            <v>0</v>
          </cell>
          <cell r="AC169" t="str">
            <v>0</v>
          </cell>
          <cell r="AD169" t="str">
            <v>0</v>
          </cell>
          <cell r="AE169" t="str">
            <v>0</v>
          </cell>
        </row>
        <row r="170">
          <cell r="D170" t="str">
            <v>12-Jun</v>
          </cell>
          <cell r="E170" t="str">
            <v>0</v>
          </cell>
          <cell r="F170" t="str">
            <v>0</v>
          </cell>
          <cell r="G170" t="str">
            <v>0</v>
          </cell>
          <cell r="H170" t="str">
            <v>0</v>
          </cell>
          <cell r="I170" t="str">
            <v>0</v>
          </cell>
          <cell r="J170" t="str">
            <v>0</v>
          </cell>
          <cell r="K170" t="str">
            <v>0</v>
          </cell>
          <cell r="L170" t="str">
            <v>0</v>
          </cell>
          <cell r="M170" t="str">
            <v>0</v>
          </cell>
          <cell r="N170" t="str">
            <v>0</v>
          </cell>
          <cell r="O170" t="str">
            <v>0</v>
          </cell>
          <cell r="P170" t="str">
            <v>0</v>
          </cell>
          <cell r="Q170" t="str">
            <v>0</v>
          </cell>
          <cell r="R170" t="str">
            <v>0</v>
          </cell>
          <cell r="S170" t="str">
            <v>0</v>
          </cell>
          <cell r="T170" t="str">
            <v>0</v>
          </cell>
          <cell r="U170" t="str">
            <v>0</v>
          </cell>
          <cell r="V170" t="str">
            <v>0</v>
          </cell>
          <cell r="W170" t="str">
            <v>0</v>
          </cell>
          <cell r="X170" t="str">
            <v>0</v>
          </cell>
          <cell r="Y170" t="str">
            <v>0</v>
          </cell>
          <cell r="Z170" t="str">
            <v>0</v>
          </cell>
          <cell r="AA170" t="str">
            <v>0</v>
          </cell>
          <cell r="AB170" t="str">
            <v>0</v>
          </cell>
          <cell r="AC170" t="str">
            <v>0</v>
          </cell>
          <cell r="AD170" t="str">
            <v>0</v>
          </cell>
          <cell r="AE170" t="str">
            <v>0</v>
          </cell>
        </row>
        <row r="171">
          <cell r="D171" t="str">
            <v>13-Jun</v>
          </cell>
          <cell r="E171" t="str">
            <v>0</v>
          </cell>
          <cell r="F171" t="str">
            <v>0</v>
          </cell>
          <cell r="G171" t="str">
            <v>0</v>
          </cell>
          <cell r="H171" t="str">
            <v>0</v>
          </cell>
          <cell r="I171" t="str">
            <v>0</v>
          </cell>
          <cell r="J171" t="str">
            <v>0</v>
          </cell>
          <cell r="K171" t="str">
            <v>0</v>
          </cell>
          <cell r="L171" t="str">
            <v>0</v>
          </cell>
          <cell r="M171" t="str">
            <v>0</v>
          </cell>
          <cell r="N171" t="str">
            <v>0</v>
          </cell>
          <cell r="O171" t="str">
            <v>0</v>
          </cell>
          <cell r="P171" t="str">
            <v>0</v>
          </cell>
          <cell r="Q171" t="str">
            <v>0</v>
          </cell>
          <cell r="R171" t="str">
            <v>0</v>
          </cell>
          <cell r="S171" t="str">
            <v>0</v>
          </cell>
          <cell r="T171" t="str">
            <v>0</v>
          </cell>
          <cell r="U171" t="str">
            <v>0</v>
          </cell>
          <cell r="V171" t="str">
            <v>0</v>
          </cell>
          <cell r="W171" t="str">
            <v>0</v>
          </cell>
          <cell r="X171" t="str">
            <v>0</v>
          </cell>
          <cell r="Y171" t="str">
            <v>0</v>
          </cell>
          <cell r="Z171" t="str">
            <v>0</v>
          </cell>
          <cell r="AA171" t="str">
            <v>0</v>
          </cell>
          <cell r="AB171" t="str">
            <v>0</v>
          </cell>
          <cell r="AC171" t="str">
            <v>0</v>
          </cell>
          <cell r="AD171" t="str">
            <v>0</v>
          </cell>
          <cell r="AE171" t="str">
            <v>0</v>
          </cell>
        </row>
        <row r="172">
          <cell r="D172" t="str">
            <v>14-Jun</v>
          </cell>
          <cell r="E172" t="str">
            <v>0</v>
          </cell>
          <cell r="F172" t="str">
            <v>0</v>
          </cell>
          <cell r="G172" t="str">
            <v>0</v>
          </cell>
          <cell r="H172" t="str">
            <v>0</v>
          </cell>
          <cell r="I172" t="str">
            <v>0</v>
          </cell>
          <cell r="J172" t="str">
            <v>0</v>
          </cell>
          <cell r="K172" t="str">
            <v>0</v>
          </cell>
          <cell r="L172" t="str">
            <v>0</v>
          </cell>
          <cell r="M172" t="str">
            <v>0</v>
          </cell>
          <cell r="N172" t="str">
            <v>0</v>
          </cell>
          <cell r="O172" t="str">
            <v>0</v>
          </cell>
          <cell r="P172" t="str">
            <v>0</v>
          </cell>
          <cell r="Q172" t="str">
            <v>0</v>
          </cell>
          <cell r="R172" t="str">
            <v>0</v>
          </cell>
          <cell r="S172" t="str">
            <v>0</v>
          </cell>
          <cell r="T172" t="str">
            <v>0</v>
          </cell>
          <cell r="U172" t="str">
            <v>0</v>
          </cell>
          <cell r="V172" t="str">
            <v>0</v>
          </cell>
          <cell r="W172" t="str">
            <v>0</v>
          </cell>
          <cell r="X172" t="str">
            <v>0</v>
          </cell>
          <cell r="Y172" t="str">
            <v>0</v>
          </cell>
          <cell r="Z172" t="str">
            <v>0</v>
          </cell>
          <cell r="AA172" t="str">
            <v>0</v>
          </cell>
          <cell r="AB172" t="str">
            <v>0</v>
          </cell>
          <cell r="AC172" t="str">
            <v>0</v>
          </cell>
          <cell r="AD172" t="str">
            <v>0</v>
          </cell>
          <cell r="AE172" t="str">
            <v>0</v>
          </cell>
        </row>
        <row r="173">
          <cell r="D173" t="str">
            <v>15-Jun</v>
          </cell>
          <cell r="E173" t="str">
            <v>0</v>
          </cell>
          <cell r="F173" t="str">
            <v>0</v>
          </cell>
          <cell r="G173" t="str">
            <v>0</v>
          </cell>
          <cell r="H173" t="str">
            <v>0</v>
          </cell>
          <cell r="I173" t="str">
            <v>0</v>
          </cell>
          <cell r="J173" t="str">
            <v>0</v>
          </cell>
          <cell r="K173" t="str">
            <v>0</v>
          </cell>
          <cell r="L173" t="str">
            <v>0</v>
          </cell>
          <cell r="M173" t="str">
            <v>0</v>
          </cell>
          <cell r="N173" t="str">
            <v>0</v>
          </cell>
          <cell r="O173" t="str">
            <v>0</v>
          </cell>
          <cell r="P173" t="str">
            <v>0</v>
          </cell>
          <cell r="Q173" t="str">
            <v>0</v>
          </cell>
          <cell r="R173" t="str">
            <v>0</v>
          </cell>
          <cell r="S173" t="str">
            <v>0</v>
          </cell>
          <cell r="T173" t="str">
            <v>0</v>
          </cell>
          <cell r="U173" t="str">
            <v>0</v>
          </cell>
          <cell r="V173" t="str">
            <v>0</v>
          </cell>
          <cell r="W173" t="str">
            <v>0</v>
          </cell>
          <cell r="X173" t="str">
            <v>0</v>
          </cell>
          <cell r="Y173" t="str">
            <v>0</v>
          </cell>
          <cell r="Z173" t="str">
            <v>0</v>
          </cell>
          <cell r="AA173" t="str">
            <v>0</v>
          </cell>
          <cell r="AB173" t="str">
            <v>0</v>
          </cell>
          <cell r="AC173" t="str">
            <v>0</v>
          </cell>
          <cell r="AD173" t="str">
            <v>0</v>
          </cell>
          <cell r="AE173" t="str">
            <v>0</v>
          </cell>
        </row>
        <row r="174">
          <cell r="D174" t="str">
            <v>16-Jun</v>
          </cell>
          <cell r="E174" t="str">
            <v>0</v>
          </cell>
          <cell r="F174" t="str">
            <v>0</v>
          </cell>
          <cell r="G174" t="str">
            <v>0</v>
          </cell>
          <cell r="H174" t="str">
            <v>0</v>
          </cell>
          <cell r="I174" t="str">
            <v>0</v>
          </cell>
          <cell r="J174" t="str">
            <v>0</v>
          </cell>
          <cell r="K174" t="str">
            <v>0</v>
          </cell>
          <cell r="L174" t="str">
            <v>0</v>
          </cell>
          <cell r="M174" t="str">
            <v>0</v>
          </cell>
          <cell r="N174" t="str">
            <v>0</v>
          </cell>
          <cell r="O174" t="str">
            <v>0</v>
          </cell>
          <cell r="P174" t="str">
            <v>0</v>
          </cell>
          <cell r="Q174" t="str">
            <v>0</v>
          </cell>
          <cell r="R174" t="str">
            <v>0</v>
          </cell>
          <cell r="S174" t="str">
            <v>0</v>
          </cell>
          <cell r="T174" t="str">
            <v>0</v>
          </cell>
          <cell r="U174" t="str">
            <v>0</v>
          </cell>
          <cell r="V174" t="str">
            <v>0</v>
          </cell>
          <cell r="W174" t="str">
            <v>0</v>
          </cell>
          <cell r="X174" t="str">
            <v>0</v>
          </cell>
          <cell r="Y174" t="str">
            <v>0</v>
          </cell>
          <cell r="Z174" t="str">
            <v>0</v>
          </cell>
          <cell r="AA174" t="str">
            <v>0</v>
          </cell>
          <cell r="AB174" t="str">
            <v>0</v>
          </cell>
          <cell r="AC174" t="str">
            <v>0</v>
          </cell>
          <cell r="AD174" t="str">
            <v>0</v>
          </cell>
          <cell r="AE174" t="str">
            <v>0</v>
          </cell>
        </row>
        <row r="175">
          <cell r="D175" t="str">
            <v>17-Jun</v>
          </cell>
          <cell r="E175" t="str">
            <v>0</v>
          </cell>
          <cell r="F175" t="str">
            <v>0</v>
          </cell>
          <cell r="G175" t="str">
            <v>0</v>
          </cell>
          <cell r="H175" t="str">
            <v>0</v>
          </cell>
          <cell r="I175" t="str">
            <v>0</v>
          </cell>
          <cell r="J175" t="str">
            <v>0</v>
          </cell>
          <cell r="K175" t="str">
            <v>0</v>
          </cell>
          <cell r="L175" t="str">
            <v>0</v>
          </cell>
          <cell r="M175" t="str">
            <v>0</v>
          </cell>
          <cell r="N175" t="str">
            <v>0</v>
          </cell>
          <cell r="O175" t="str">
            <v>0</v>
          </cell>
          <cell r="P175" t="str">
            <v>0</v>
          </cell>
          <cell r="Q175" t="str">
            <v>0</v>
          </cell>
          <cell r="R175" t="str">
            <v>0</v>
          </cell>
          <cell r="S175" t="str">
            <v>0</v>
          </cell>
          <cell r="T175" t="str">
            <v>0</v>
          </cell>
          <cell r="U175" t="str">
            <v>0</v>
          </cell>
          <cell r="V175" t="str">
            <v>0</v>
          </cell>
          <cell r="W175" t="str">
            <v>0</v>
          </cell>
          <cell r="X175" t="str">
            <v>0</v>
          </cell>
          <cell r="Y175" t="str">
            <v>0</v>
          </cell>
          <cell r="Z175" t="str">
            <v>0</v>
          </cell>
          <cell r="AA175" t="str">
            <v>0</v>
          </cell>
          <cell r="AB175" t="str">
            <v>0</v>
          </cell>
          <cell r="AC175" t="str">
            <v>0</v>
          </cell>
          <cell r="AD175" t="str">
            <v>0</v>
          </cell>
          <cell r="AE175" t="str">
            <v>0</v>
          </cell>
        </row>
        <row r="176">
          <cell r="D176" t="str">
            <v>18-Jun</v>
          </cell>
          <cell r="E176" t="str">
            <v>0</v>
          </cell>
          <cell r="F176" t="str">
            <v>0</v>
          </cell>
          <cell r="G176" t="str">
            <v>0</v>
          </cell>
          <cell r="H176" t="str">
            <v>0</v>
          </cell>
          <cell r="I176" t="str">
            <v>0</v>
          </cell>
          <cell r="J176" t="str">
            <v>0</v>
          </cell>
          <cell r="K176" t="str">
            <v>0</v>
          </cell>
          <cell r="L176" t="str">
            <v>0</v>
          </cell>
          <cell r="M176" t="str">
            <v>0</v>
          </cell>
          <cell r="N176" t="str">
            <v>0</v>
          </cell>
          <cell r="O176" t="str">
            <v>0</v>
          </cell>
          <cell r="P176" t="str">
            <v>0</v>
          </cell>
          <cell r="Q176" t="str">
            <v>0</v>
          </cell>
          <cell r="R176" t="str">
            <v>0</v>
          </cell>
          <cell r="S176" t="str">
            <v>0</v>
          </cell>
          <cell r="T176" t="str">
            <v>0</v>
          </cell>
          <cell r="U176" t="str">
            <v>0</v>
          </cell>
          <cell r="V176" t="str">
            <v>0</v>
          </cell>
          <cell r="W176" t="str">
            <v>0</v>
          </cell>
          <cell r="X176" t="str">
            <v>0</v>
          </cell>
          <cell r="Y176" t="str">
            <v>0</v>
          </cell>
          <cell r="Z176" t="str">
            <v>0</v>
          </cell>
          <cell r="AA176" t="str">
            <v>0</v>
          </cell>
          <cell r="AB176" t="str">
            <v>0</v>
          </cell>
          <cell r="AC176" t="str">
            <v>0</v>
          </cell>
          <cell r="AD176" t="str">
            <v>0</v>
          </cell>
          <cell r="AE176" t="str">
            <v>0</v>
          </cell>
        </row>
        <row r="177">
          <cell r="D177" t="str">
            <v>19-Jun</v>
          </cell>
          <cell r="E177" t="str">
            <v>0</v>
          </cell>
          <cell r="F177" t="str">
            <v>0</v>
          </cell>
          <cell r="G177" t="str">
            <v>0</v>
          </cell>
          <cell r="H177" t="str">
            <v>0</v>
          </cell>
          <cell r="I177" t="str">
            <v>0</v>
          </cell>
          <cell r="J177" t="str">
            <v>0</v>
          </cell>
          <cell r="K177" t="str">
            <v>0</v>
          </cell>
          <cell r="L177" t="str">
            <v>0</v>
          </cell>
          <cell r="M177" t="str">
            <v>0</v>
          </cell>
          <cell r="N177" t="str">
            <v>0</v>
          </cell>
          <cell r="O177" t="str">
            <v>0</v>
          </cell>
          <cell r="P177" t="str">
            <v>0</v>
          </cell>
          <cell r="Q177" t="str">
            <v>0</v>
          </cell>
          <cell r="R177" t="str">
            <v>0</v>
          </cell>
          <cell r="S177" t="str">
            <v>0</v>
          </cell>
          <cell r="T177" t="str">
            <v>0</v>
          </cell>
          <cell r="U177" t="str">
            <v>0</v>
          </cell>
          <cell r="V177" t="str">
            <v>0</v>
          </cell>
          <cell r="W177" t="str">
            <v>0</v>
          </cell>
          <cell r="X177" t="str">
            <v>0</v>
          </cell>
          <cell r="Y177" t="str">
            <v>0</v>
          </cell>
          <cell r="Z177" t="str">
            <v>0</v>
          </cell>
          <cell r="AA177" t="str">
            <v>0</v>
          </cell>
          <cell r="AB177" t="str">
            <v>0</v>
          </cell>
          <cell r="AC177" t="str">
            <v>0</v>
          </cell>
          <cell r="AD177" t="str">
            <v>0</v>
          </cell>
          <cell r="AE177" t="str">
            <v>0</v>
          </cell>
        </row>
        <row r="178">
          <cell r="D178" t="str">
            <v>20-Jun</v>
          </cell>
          <cell r="E178" t="str">
            <v>0</v>
          </cell>
          <cell r="F178" t="str">
            <v>0</v>
          </cell>
          <cell r="G178" t="str">
            <v>0</v>
          </cell>
          <cell r="H178" t="str">
            <v>0</v>
          </cell>
          <cell r="I178" t="str">
            <v>0</v>
          </cell>
          <cell r="J178" t="str">
            <v>0</v>
          </cell>
          <cell r="K178" t="str">
            <v>0</v>
          </cell>
          <cell r="L178" t="str">
            <v>0</v>
          </cell>
          <cell r="M178" t="str">
            <v>0</v>
          </cell>
          <cell r="N178" t="str">
            <v>0</v>
          </cell>
          <cell r="O178" t="str">
            <v>0</v>
          </cell>
          <cell r="P178" t="str">
            <v>0</v>
          </cell>
          <cell r="Q178" t="str">
            <v>0</v>
          </cell>
          <cell r="R178" t="str">
            <v>0</v>
          </cell>
          <cell r="S178" t="str">
            <v>0</v>
          </cell>
          <cell r="T178" t="str">
            <v>0</v>
          </cell>
          <cell r="U178" t="str">
            <v>0</v>
          </cell>
          <cell r="V178" t="str">
            <v>0</v>
          </cell>
          <cell r="W178" t="str">
            <v>0</v>
          </cell>
          <cell r="X178" t="str">
            <v>0</v>
          </cell>
          <cell r="Y178" t="str">
            <v>0</v>
          </cell>
          <cell r="Z178" t="str">
            <v>0</v>
          </cell>
          <cell r="AA178" t="str">
            <v>0</v>
          </cell>
          <cell r="AB178" t="str">
            <v>0</v>
          </cell>
          <cell r="AC178" t="str">
            <v>0</v>
          </cell>
          <cell r="AD178" t="str">
            <v>0</v>
          </cell>
          <cell r="AE178" t="str">
            <v>0</v>
          </cell>
        </row>
        <row r="179">
          <cell r="D179" t="str">
            <v>21-Jun</v>
          </cell>
          <cell r="E179" t="str">
            <v>0</v>
          </cell>
          <cell r="F179" t="str">
            <v>0</v>
          </cell>
          <cell r="G179" t="str">
            <v>0</v>
          </cell>
          <cell r="H179" t="str">
            <v>0</v>
          </cell>
          <cell r="I179" t="str">
            <v>0</v>
          </cell>
          <cell r="J179" t="str">
            <v>0</v>
          </cell>
          <cell r="K179" t="str">
            <v>0</v>
          </cell>
          <cell r="L179" t="str">
            <v>0</v>
          </cell>
          <cell r="M179" t="str">
            <v>0</v>
          </cell>
          <cell r="N179" t="str">
            <v>0</v>
          </cell>
          <cell r="O179" t="str">
            <v>0</v>
          </cell>
          <cell r="P179" t="str">
            <v>0</v>
          </cell>
          <cell r="Q179" t="str">
            <v>0</v>
          </cell>
          <cell r="R179" t="str">
            <v>0</v>
          </cell>
          <cell r="S179" t="str">
            <v>0</v>
          </cell>
          <cell r="T179" t="str">
            <v>0</v>
          </cell>
          <cell r="U179" t="str">
            <v>0</v>
          </cell>
          <cell r="V179" t="str">
            <v>0</v>
          </cell>
          <cell r="W179" t="str">
            <v>0</v>
          </cell>
          <cell r="X179" t="str">
            <v>0</v>
          </cell>
          <cell r="Y179" t="str">
            <v>0</v>
          </cell>
          <cell r="Z179" t="str">
            <v>0</v>
          </cell>
          <cell r="AA179" t="str">
            <v>0</v>
          </cell>
          <cell r="AB179" t="str">
            <v>0</v>
          </cell>
          <cell r="AC179" t="str">
            <v>0</v>
          </cell>
          <cell r="AD179" t="str">
            <v>0</v>
          </cell>
          <cell r="AE179" t="str">
            <v>0</v>
          </cell>
        </row>
        <row r="180">
          <cell r="D180" t="str">
            <v>22-Jun</v>
          </cell>
          <cell r="E180" t="str">
            <v>0</v>
          </cell>
          <cell r="F180" t="str">
            <v>0</v>
          </cell>
          <cell r="G180" t="str">
            <v>0</v>
          </cell>
          <cell r="H180" t="str">
            <v>0</v>
          </cell>
          <cell r="I180" t="str">
            <v>0</v>
          </cell>
          <cell r="J180" t="str">
            <v>0</v>
          </cell>
          <cell r="K180" t="str">
            <v>0</v>
          </cell>
          <cell r="L180" t="str">
            <v>0</v>
          </cell>
          <cell r="M180" t="str">
            <v>0</v>
          </cell>
          <cell r="N180" t="str">
            <v>0</v>
          </cell>
          <cell r="O180" t="str">
            <v>0</v>
          </cell>
          <cell r="P180" t="str">
            <v>0</v>
          </cell>
          <cell r="Q180" t="str">
            <v>0</v>
          </cell>
          <cell r="R180" t="str">
            <v>0</v>
          </cell>
          <cell r="S180" t="str">
            <v>0</v>
          </cell>
          <cell r="T180" t="str">
            <v>0</v>
          </cell>
          <cell r="U180" t="str">
            <v>0</v>
          </cell>
          <cell r="V180" t="str">
            <v>0</v>
          </cell>
          <cell r="W180" t="str">
            <v>0</v>
          </cell>
          <cell r="X180" t="str">
            <v>0</v>
          </cell>
          <cell r="Y180" t="str">
            <v>0</v>
          </cell>
          <cell r="Z180" t="str">
            <v>0</v>
          </cell>
          <cell r="AA180" t="str">
            <v>0</v>
          </cell>
          <cell r="AB180" t="str">
            <v>0</v>
          </cell>
          <cell r="AC180" t="str">
            <v>0</v>
          </cell>
          <cell r="AD180" t="str">
            <v>0</v>
          </cell>
          <cell r="AE180" t="str">
            <v>0</v>
          </cell>
        </row>
        <row r="181">
          <cell r="D181" t="str">
            <v>23-Jun</v>
          </cell>
          <cell r="E181" t="str">
            <v>0</v>
          </cell>
          <cell r="F181" t="str">
            <v>0</v>
          </cell>
          <cell r="G181" t="str">
            <v>0</v>
          </cell>
          <cell r="H181" t="str">
            <v>0</v>
          </cell>
          <cell r="I181" t="str">
            <v>0</v>
          </cell>
          <cell r="J181" t="str">
            <v>0</v>
          </cell>
          <cell r="K181" t="str">
            <v>0</v>
          </cell>
          <cell r="L181" t="str">
            <v>0</v>
          </cell>
          <cell r="M181" t="str">
            <v>0</v>
          </cell>
          <cell r="N181" t="str">
            <v>0</v>
          </cell>
          <cell r="O181" t="str">
            <v>0</v>
          </cell>
          <cell r="P181" t="str">
            <v>0</v>
          </cell>
          <cell r="Q181" t="str">
            <v>0</v>
          </cell>
          <cell r="R181" t="str">
            <v>0</v>
          </cell>
          <cell r="S181" t="str">
            <v>0</v>
          </cell>
          <cell r="T181" t="str">
            <v>0</v>
          </cell>
          <cell r="U181" t="str">
            <v>0</v>
          </cell>
          <cell r="V181" t="str">
            <v>0</v>
          </cell>
          <cell r="W181" t="str">
            <v>0</v>
          </cell>
          <cell r="X181" t="str">
            <v>0</v>
          </cell>
          <cell r="Y181" t="str">
            <v>0</v>
          </cell>
          <cell r="Z181" t="str">
            <v>0</v>
          </cell>
          <cell r="AA181" t="str">
            <v>0</v>
          </cell>
          <cell r="AB181" t="str">
            <v>0</v>
          </cell>
          <cell r="AC181" t="str">
            <v>0</v>
          </cell>
          <cell r="AD181" t="str">
            <v>0</v>
          </cell>
          <cell r="AE181" t="str">
            <v>0</v>
          </cell>
        </row>
        <row r="182">
          <cell r="D182" t="str">
            <v>24-Jun</v>
          </cell>
          <cell r="E182" t="str">
            <v>0</v>
          </cell>
          <cell r="F182" t="str">
            <v>0</v>
          </cell>
          <cell r="G182" t="str">
            <v>0</v>
          </cell>
          <cell r="H182" t="str">
            <v>0</v>
          </cell>
          <cell r="I182" t="str">
            <v>0</v>
          </cell>
          <cell r="J182" t="str">
            <v>0</v>
          </cell>
          <cell r="K182" t="str">
            <v>0</v>
          </cell>
          <cell r="L182" t="str">
            <v>0</v>
          </cell>
          <cell r="M182" t="str">
            <v>0</v>
          </cell>
          <cell r="N182" t="str">
            <v>0</v>
          </cell>
          <cell r="O182" t="str">
            <v>0</v>
          </cell>
          <cell r="P182" t="str">
            <v>0</v>
          </cell>
          <cell r="Q182" t="str">
            <v>0</v>
          </cell>
          <cell r="R182" t="str">
            <v>0</v>
          </cell>
          <cell r="S182" t="str">
            <v>0</v>
          </cell>
          <cell r="T182" t="str">
            <v>0</v>
          </cell>
          <cell r="U182" t="str">
            <v>0</v>
          </cell>
          <cell r="V182" t="str">
            <v>0</v>
          </cell>
          <cell r="W182" t="str">
            <v>0</v>
          </cell>
          <cell r="X182" t="str">
            <v>0</v>
          </cell>
          <cell r="Y182" t="str">
            <v>0</v>
          </cell>
          <cell r="Z182" t="str">
            <v>0</v>
          </cell>
          <cell r="AA182" t="str">
            <v>0</v>
          </cell>
          <cell r="AB182" t="str">
            <v>0</v>
          </cell>
          <cell r="AC182" t="str">
            <v>0</v>
          </cell>
          <cell r="AD182" t="str">
            <v>0</v>
          </cell>
          <cell r="AE182" t="str">
            <v>0</v>
          </cell>
        </row>
        <row r="183">
          <cell r="D183" t="str">
            <v>25-Jun</v>
          </cell>
          <cell r="E183" t="str">
            <v>0</v>
          </cell>
          <cell r="F183" t="str">
            <v>0</v>
          </cell>
          <cell r="G183" t="str">
            <v>0</v>
          </cell>
          <cell r="H183" t="str">
            <v>0</v>
          </cell>
          <cell r="I183" t="str">
            <v>0</v>
          </cell>
          <cell r="J183" t="str">
            <v>0</v>
          </cell>
          <cell r="K183" t="str">
            <v>0</v>
          </cell>
          <cell r="L183" t="str">
            <v>0</v>
          </cell>
          <cell r="M183" t="str">
            <v>0</v>
          </cell>
          <cell r="N183" t="str">
            <v>0</v>
          </cell>
          <cell r="O183" t="str">
            <v>0</v>
          </cell>
          <cell r="P183" t="str">
            <v>0</v>
          </cell>
          <cell r="Q183" t="str">
            <v>0</v>
          </cell>
          <cell r="R183" t="str">
            <v>0</v>
          </cell>
          <cell r="S183" t="str">
            <v>0</v>
          </cell>
          <cell r="T183" t="str">
            <v>0</v>
          </cell>
          <cell r="U183" t="str">
            <v>0</v>
          </cell>
          <cell r="V183" t="str">
            <v>0</v>
          </cell>
          <cell r="W183" t="str">
            <v>0</v>
          </cell>
          <cell r="X183" t="str">
            <v>0</v>
          </cell>
          <cell r="Y183" t="str">
            <v>0</v>
          </cell>
          <cell r="Z183" t="str">
            <v>0</v>
          </cell>
          <cell r="AA183" t="str">
            <v>0</v>
          </cell>
          <cell r="AB183" t="str">
            <v>0</v>
          </cell>
          <cell r="AC183" t="str">
            <v>0</v>
          </cell>
          <cell r="AD183" t="str">
            <v>0</v>
          </cell>
          <cell r="AE183" t="str">
            <v>0</v>
          </cell>
        </row>
        <row r="184">
          <cell r="D184" t="str">
            <v>26-Jun</v>
          </cell>
          <cell r="E184" t="str">
            <v>0</v>
          </cell>
          <cell r="F184" t="str">
            <v>0</v>
          </cell>
          <cell r="G184" t="str">
            <v>0</v>
          </cell>
          <cell r="H184" t="str">
            <v>0</v>
          </cell>
          <cell r="I184" t="str">
            <v>0</v>
          </cell>
          <cell r="J184" t="str">
            <v>0</v>
          </cell>
          <cell r="K184" t="str">
            <v>0</v>
          </cell>
          <cell r="L184" t="str">
            <v>0</v>
          </cell>
          <cell r="M184" t="str">
            <v>0</v>
          </cell>
          <cell r="N184" t="str">
            <v>0</v>
          </cell>
          <cell r="O184" t="str">
            <v>0</v>
          </cell>
          <cell r="P184" t="str">
            <v>0</v>
          </cell>
          <cell r="Q184" t="str">
            <v>0</v>
          </cell>
          <cell r="R184" t="str">
            <v>0</v>
          </cell>
          <cell r="S184" t="str">
            <v>0</v>
          </cell>
          <cell r="T184" t="str">
            <v>0</v>
          </cell>
          <cell r="U184" t="str">
            <v>0</v>
          </cell>
          <cell r="V184" t="str">
            <v>0</v>
          </cell>
          <cell r="W184" t="str">
            <v>0</v>
          </cell>
          <cell r="X184" t="str">
            <v>0</v>
          </cell>
          <cell r="Y184" t="str">
            <v>0</v>
          </cell>
          <cell r="Z184" t="str">
            <v>0</v>
          </cell>
          <cell r="AA184" t="str">
            <v>0</v>
          </cell>
          <cell r="AB184" t="str">
            <v>0</v>
          </cell>
          <cell r="AC184" t="str">
            <v>0</v>
          </cell>
          <cell r="AD184" t="str">
            <v>0</v>
          </cell>
          <cell r="AE184" t="str">
            <v>0</v>
          </cell>
        </row>
        <row r="185">
          <cell r="D185" t="str">
            <v>27-Jun</v>
          </cell>
          <cell r="E185" t="str">
            <v>0</v>
          </cell>
          <cell r="F185" t="str">
            <v>0</v>
          </cell>
          <cell r="G185" t="str">
            <v>0</v>
          </cell>
          <cell r="H185" t="str">
            <v>0</v>
          </cell>
          <cell r="I185" t="str">
            <v>0</v>
          </cell>
          <cell r="J185" t="str">
            <v>0</v>
          </cell>
          <cell r="K185" t="str">
            <v>0</v>
          </cell>
          <cell r="L185" t="str">
            <v>0</v>
          </cell>
          <cell r="M185" t="str">
            <v>0</v>
          </cell>
          <cell r="N185" t="str">
            <v>0</v>
          </cell>
          <cell r="O185" t="str">
            <v>0</v>
          </cell>
          <cell r="P185" t="str">
            <v>0</v>
          </cell>
          <cell r="Q185" t="str">
            <v>0</v>
          </cell>
          <cell r="R185" t="str">
            <v>0</v>
          </cell>
          <cell r="S185" t="str">
            <v>0</v>
          </cell>
          <cell r="T185" t="str">
            <v>0</v>
          </cell>
          <cell r="U185" t="str">
            <v>0</v>
          </cell>
          <cell r="V185" t="str">
            <v>0</v>
          </cell>
          <cell r="W185" t="str">
            <v>0</v>
          </cell>
          <cell r="X185" t="str">
            <v>0</v>
          </cell>
          <cell r="Y185" t="str">
            <v>0</v>
          </cell>
          <cell r="Z185" t="str">
            <v>0</v>
          </cell>
          <cell r="AA185" t="str">
            <v>0</v>
          </cell>
          <cell r="AB185" t="str">
            <v>0</v>
          </cell>
          <cell r="AC185" t="str">
            <v>0</v>
          </cell>
          <cell r="AD185" t="str">
            <v>0</v>
          </cell>
          <cell r="AE185" t="str">
            <v>0</v>
          </cell>
        </row>
        <row r="186">
          <cell r="D186" t="str">
            <v>28-Jun</v>
          </cell>
          <cell r="E186" t="str">
            <v>0</v>
          </cell>
          <cell r="F186" t="str">
            <v>0</v>
          </cell>
          <cell r="G186" t="str">
            <v>0</v>
          </cell>
          <cell r="H186" t="str">
            <v>0</v>
          </cell>
          <cell r="I186" t="str">
            <v>0</v>
          </cell>
          <cell r="J186" t="str">
            <v>0</v>
          </cell>
          <cell r="K186" t="str">
            <v>0</v>
          </cell>
          <cell r="L186" t="str">
            <v>0</v>
          </cell>
          <cell r="M186" t="str">
            <v>0</v>
          </cell>
          <cell r="N186" t="str">
            <v>0</v>
          </cell>
          <cell r="O186" t="str">
            <v>0</v>
          </cell>
          <cell r="P186" t="str">
            <v>0</v>
          </cell>
          <cell r="Q186" t="str">
            <v>0</v>
          </cell>
          <cell r="R186" t="str">
            <v>0</v>
          </cell>
          <cell r="S186" t="str">
            <v>0</v>
          </cell>
          <cell r="T186" t="str">
            <v>0</v>
          </cell>
          <cell r="U186" t="str">
            <v>0</v>
          </cell>
          <cell r="V186" t="str">
            <v>0</v>
          </cell>
          <cell r="W186" t="str">
            <v>0</v>
          </cell>
          <cell r="X186" t="str">
            <v>0</v>
          </cell>
          <cell r="Y186" t="str">
            <v>0</v>
          </cell>
          <cell r="Z186" t="str">
            <v>0</v>
          </cell>
          <cell r="AA186" t="str">
            <v>0</v>
          </cell>
          <cell r="AB186" t="str">
            <v>0</v>
          </cell>
          <cell r="AC186" t="str">
            <v>0</v>
          </cell>
          <cell r="AD186" t="str">
            <v>0</v>
          </cell>
          <cell r="AE186" t="str">
            <v>0</v>
          </cell>
        </row>
        <row r="187">
          <cell r="D187" t="str">
            <v>29-Jun</v>
          </cell>
          <cell r="E187" t="str">
            <v>0</v>
          </cell>
          <cell r="F187" t="str">
            <v>0</v>
          </cell>
          <cell r="G187" t="str">
            <v>0</v>
          </cell>
          <cell r="H187" t="str">
            <v>0</v>
          </cell>
          <cell r="I187" t="str">
            <v>0</v>
          </cell>
          <cell r="J187" t="str">
            <v>0</v>
          </cell>
          <cell r="K187" t="str">
            <v>0</v>
          </cell>
          <cell r="L187" t="str">
            <v>0</v>
          </cell>
          <cell r="M187" t="str">
            <v>0</v>
          </cell>
          <cell r="N187" t="str">
            <v>0</v>
          </cell>
          <cell r="O187" t="str">
            <v>0</v>
          </cell>
          <cell r="P187" t="str">
            <v>0</v>
          </cell>
          <cell r="Q187" t="str">
            <v>0</v>
          </cell>
          <cell r="R187" t="str">
            <v>0</v>
          </cell>
          <cell r="S187" t="str">
            <v>0</v>
          </cell>
          <cell r="T187" t="str">
            <v>0</v>
          </cell>
          <cell r="U187" t="str">
            <v>0</v>
          </cell>
          <cell r="V187" t="str">
            <v>0</v>
          </cell>
          <cell r="W187" t="str">
            <v>0</v>
          </cell>
          <cell r="X187" t="str">
            <v>0</v>
          </cell>
          <cell r="Y187" t="str">
            <v>0</v>
          </cell>
          <cell r="Z187" t="str">
            <v>0</v>
          </cell>
          <cell r="AA187" t="str">
            <v>0</v>
          </cell>
          <cell r="AB187" t="str">
            <v>0</v>
          </cell>
          <cell r="AC187" t="str">
            <v>0</v>
          </cell>
          <cell r="AD187" t="str">
            <v>0</v>
          </cell>
          <cell r="AE187" t="str">
            <v>0</v>
          </cell>
        </row>
        <row r="188">
          <cell r="D188" t="str">
            <v>30-Jun</v>
          </cell>
          <cell r="E188" t="str">
            <v>0</v>
          </cell>
          <cell r="F188" t="str">
            <v>0</v>
          </cell>
          <cell r="G188" t="str">
            <v>0</v>
          </cell>
          <cell r="H188" t="str">
            <v>0</v>
          </cell>
          <cell r="I188" t="str">
            <v>0</v>
          </cell>
          <cell r="J188" t="str">
            <v>0</v>
          </cell>
          <cell r="K188" t="str">
            <v>0</v>
          </cell>
          <cell r="L188" t="str">
            <v>0</v>
          </cell>
          <cell r="M188" t="str">
            <v>0</v>
          </cell>
          <cell r="N188" t="str">
            <v>0</v>
          </cell>
          <cell r="O188" t="str">
            <v>0</v>
          </cell>
          <cell r="P188" t="str">
            <v>0</v>
          </cell>
          <cell r="Q188" t="str">
            <v>0</v>
          </cell>
          <cell r="R188" t="str">
            <v>0</v>
          </cell>
          <cell r="S188" t="str">
            <v>0</v>
          </cell>
          <cell r="T188" t="str">
            <v>0</v>
          </cell>
          <cell r="U188" t="str">
            <v>0</v>
          </cell>
          <cell r="V188" t="str">
            <v>0</v>
          </cell>
          <cell r="W188" t="str">
            <v>0</v>
          </cell>
          <cell r="X188" t="str">
            <v>0</v>
          </cell>
          <cell r="Y188" t="str">
            <v>0</v>
          </cell>
          <cell r="Z188" t="str">
            <v>0</v>
          </cell>
          <cell r="AA188" t="str">
            <v>0</v>
          </cell>
          <cell r="AB188" t="str">
            <v>0</v>
          </cell>
          <cell r="AC188" t="str">
            <v>0</v>
          </cell>
          <cell r="AD188" t="str">
            <v>0</v>
          </cell>
          <cell r="AE188" t="str">
            <v>0</v>
          </cell>
        </row>
        <row r="189">
          <cell r="D189" t="str">
            <v>01-Jul</v>
          </cell>
          <cell r="E189" t="str">
            <v>0</v>
          </cell>
          <cell r="F189" t="str">
            <v>0</v>
          </cell>
          <cell r="G189" t="str">
            <v>0</v>
          </cell>
          <cell r="H189" t="str">
            <v>0</v>
          </cell>
          <cell r="I189" t="str">
            <v>0</v>
          </cell>
          <cell r="J189" t="str">
            <v>0</v>
          </cell>
          <cell r="K189" t="str">
            <v>0</v>
          </cell>
          <cell r="L189" t="str">
            <v>0</v>
          </cell>
          <cell r="M189" t="str">
            <v>0</v>
          </cell>
          <cell r="N189" t="str">
            <v>0</v>
          </cell>
          <cell r="O189" t="str">
            <v>0</v>
          </cell>
          <cell r="P189" t="str">
            <v>0</v>
          </cell>
          <cell r="Q189" t="str">
            <v>0</v>
          </cell>
          <cell r="R189" t="str">
            <v>0</v>
          </cell>
          <cell r="S189" t="str">
            <v>0</v>
          </cell>
          <cell r="T189" t="str">
            <v>0</v>
          </cell>
          <cell r="U189" t="str">
            <v>0</v>
          </cell>
          <cell r="V189" t="str">
            <v>0</v>
          </cell>
          <cell r="W189" t="str">
            <v>0</v>
          </cell>
          <cell r="X189" t="str">
            <v>0</v>
          </cell>
          <cell r="Y189" t="str">
            <v>0</v>
          </cell>
          <cell r="Z189" t="str">
            <v>0</v>
          </cell>
          <cell r="AA189" t="str">
            <v>0</v>
          </cell>
          <cell r="AB189" t="str">
            <v>0</v>
          </cell>
          <cell r="AC189" t="str">
            <v>0</v>
          </cell>
          <cell r="AD189" t="str">
            <v>0</v>
          </cell>
          <cell r="AE189" t="str">
            <v>0</v>
          </cell>
        </row>
        <row r="190">
          <cell r="D190" t="str">
            <v>02-Jul</v>
          </cell>
          <cell r="E190" t="str">
            <v>0</v>
          </cell>
          <cell r="F190" t="str">
            <v>0</v>
          </cell>
          <cell r="G190" t="str">
            <v>0</v>
          </cell>
          <cell r="H190" t="str">
            <v>0</v>
          </cell>
          <cell r="I190" t="str">
            <v>0</v>
          </cell>
          <cell r="J190" t="str">
            <v>0</v>
          </cell>
          <cell r="K190" t="str">
            <v>0</v>
          </cell>
          <cell r="L190" t="str">
            <v>0</v>
          </cell>
          <cell r="M190" t="str">
            <v>0</v>
          </cell>
          <cell r="N190" t="str">
            <v>0</v>
          </cell>
          <cell r="O190" t="str">
            <v>0</v>
          </cell>
          <cell r="P190" t="str">
            <v>0</v>
          </cell>
          <cell r="Q190" t="str">
            <v>0</v>
          </cell>
          <cell r="R190" t="str">
            <v>0</v>
          </cell>
          <cell r="S190" t="str">
            <v>0</v>
          </cell>
          <cell r="T190" t="str">
            <v>0</v>
          </cell>
          <cell r="U190" t="str">
            <v>0</v>
          </cell>
          <cell r="V190" t="str">
            <v>0</v>
          </cell>
          <cell r="W190" t="str">
            <v>0</v>
          </cell>
          <cell r="X190" t="str">
            <v>0</v>
          </cell>
          <cell r="Y190" t="str">
            <v>0</v>
          </cell>
          <cell r="Z190" t="str">
            <v>0</v>
          </cell>
          <cell r="AA190" t="str">
            <v>0</v>
          </cell>
          <cell r="AB190" t="str">
            <v>0</v>
          </cell>
          <cell r="AC190" t="str">
            <v>0</v>
          </cell>
          <cell r="AD190" t="str">
            <v>0</v>
          </cell>
          <cell r="AE190" t="str">
            <v>0</v>
          </cell>
        </row>
        <row r="191">
          <cell r="D191" t="str">
            <v>03-Jul</v>
          </cell>
          <cell r="E191" t="str">
            <v>0</v>
          </cell>
          <cell r="F191" t="str">
            <v>0</v>
          </cell>
          <cell r="G191" t="str">
            <v>0</v>
          </cell>
          <cell r="H191" t="str">
            <v>0</v>
          </cell>
          <cell r="I191" t="str">
            <v>0</v>
          </cell>
          <cell r="J191" t="str">
            <v>0</v>
          </cell>
          <cell r="K191" t="str">
            <v>0</v>
          </cell>
          <cell r="L191" t="str">
            <v>0</v>
          </cell>
          <cell r="M191" t="str">
            <v>0</v>
          </cell>
          <cell r="N191" t="str">
            <v>0</v>
          </cell>
          <cell r="O191" t="str">
            <v>0</v>
          </cell>
          <cell r="P191" t="str">
            <v>0</v>
          </cell>
          <cell r="Q191" t="str">
            <v>0</v>
          </cell>
          <cell r="R191" t="str">
            <v>0</v>
          </cell>
          <cell r="S191" t="str">
            <v>0</v>
          </cell>
          <cell r="T191" t="str">
            <v>0</v>
          </cell>
          <cell r="U191" t="str">
            <v>0</v>
          </cell>
          <cell r="V191" t="str">
            <v>0</v>
          </cell>
          <cell r="W191" t="str">
            <v>0</v>
          </cell>
          <cell r="X191" t="str">
            <v>0</v>
          </cell>
          <cell r="Y191" t="str">
            <v>0</v>
          </cell>
          <cell r="Z191" t="str">
            <v>0</v>
          </cell>
          <cell r="AA191" t="str">
            <v>0</v>
          </cell>
          <cell r="AB191" t="str">
            <v>0</v>
          </cell>
          <cell r="AC191" t="str">
            <v>0</v>
          </cell>
          <cell r="AD191" t="str">
            <v>0</v>
          </cell>
          <cell r="AE191" t="str">
            <v>0</v>
          </cell>
        </row>
        <row r="192">
          <cell r="D192" t="str">
            <v>04-Jul</v>
          </cell>
          <cell r="E192" t="str">
            <v>0</v>
          </cell>
          <cell r="F192" t="str">
            <v>0</v>
          </cell>
          <cell r="G192" t="str">
            <v>0</v>
          </cell>
          <cell r="H192" t="str">
            <v>0</v>
          </cell>
          <cell r="I192" t="str">
            <v>0</v>
          </cell>
          <cell r="J192" t="str">
            <v>0</v>
          </cell>
          <cell r="K192" t="str">
            <v>0</v>
          </cell>
          <cell r="L192" t="str">
            <v>0</v>
          </cell>
          <cell r="M192" t="str">
            <v>0</v>
          </cell>
          <cell r="N192" t="str">
            <v>0</v>
          </cell>
          <cell r="O192" t="str">
            <v>0</v>
          </cell>
          <cell r="P192" t="str">
            <v>0</v>
          </cell>
          <cell r="Q192" t="str">
            <v>0</v>
          </cell>
          <cell r="R192" t="str">
            <v>0</v>
          </cell>
          <cell r="S192" t="str">
            <v>0</v>
          </cell>
          <cell r="T192" t="str">
            <v>0</v>
          </cell>
          <cell r="U192" t="str">
            <v>0</v>
          </cell>
          <cell r="V192" t="str">
            <v>0</v>
          </cell>
          <cell r="W192" t="str">
            <v>0</v>
          </cell>
          <cell r="X192" t="str">
            <v>0</v>
          </cell>
          <cell r="Y192" t="str">
            <v>0</v>
          </cell>
          <cell r="Z192" t="str">
            <v>0</v>
          </cell>
          <cell r="AA192" t="str">
            <v>0</v>
          </cell>
          <cell r="AB192" t="str">
            <v>0</v>
          </cell>
          <cell r="AC192" t="str">
            <v>0</v>
          </cell>
          <cell r="AD192" t="str">
            <v>0</v>
          </cell>
          <cell r="AE192" t="str">
            <v>0</v>
          </cell>
        </row>
        <row r="193">
          <cell r="D193" t="str">
            <v>05-Jul</v>
          </cell>
          <cell r="E193" t="str">
            <v>0</v>
          </cell>
          <cell r="F193" t="str">
            <v>0</v>
          </cell>
          <cell r="G193" t="str">
            <v>0</v>
          </cell>
          <cell r="H193" t="str">
            <v>0</v>
          </cell>
          <cell r="I193" t="str">
            <v>0</v>
          </cell>
          <cell r="J193" t="str">
            <v>0</v>
          </cell>
          <cell r="K193" t="str">
            <v>0</v>
          </cell>
          <cell r="L193" t="str">
            <v>0</v>
          </cell>
          <cell r="M193" t="str">
            <v>0</v>
          </cell>
          <cell r="N193" t="str">
            <v>0</v>
          </cell>
          <cell r="O193" t="str">
            <v>0</v>
          </cell>
          <cell r="P193" t="str">
            <v>0</v>
          </cell>
          <cell r="Q193" t="str">
            <v>0</v>
          </cell>
          <cell r="R193" t="str">
            <v>0</v>
          </cell>
          <cell r="S193" t="str">
            <v>0</v>
          </cell>
          <cell r="T193" t="str">
            <v>0</v>
          </cell>
          <cell r="U193" t="str">
            <v>0</v>
          </cell>
          <cell r="V193" t="str">
            <v>0</v>
          </cell>
          <cell r="W193" t="str">
            <v>0</v>
          </cell>
          <cell r="X193" t="str">
            <v>0</v>
          </cell>
          <cell r="Y193" t="str">
            <v>0</v>
          </cell>
          <cell r="Z193" t="str">
            <v>0</v>
          </cell>
          <cell r="AA193" t="str">
            <v>0</v>
          </cell>
          <cell r="AB193" t="str">
            <v>0</v>
          </cell>
          <cell r="AC193" t="str">
            <v>0</v>
          </cell>
          <cell r="AD193" t="str">
            <v>0</v>
          </cell>
          <cell r="AE193" t="str">
            <v>0</v>
          </cell>
        </row>
        <row r="194">
          <cell r="D194" t="str">
            <v>06-Jul</v>
          </cell>
          <cell r="E194" t="str">
            <v>0</v>
          </cell>
          <cell r="F194" t="str">
            <v>0</v>
          </cell>
          <cell r="G194" t="str">
            <v>0</v>
          </cell>
          <cell r="H194" t="str">
            <v>0</v>
          </cell>
          <cell r="I194" t="str">
            <v>0</v>
          </cell>
          <cell r="J194" t="str">
            <v>0</v>
          </cell>
          <cell r="K194" t="str">
            <v>0</v>
          </cell>
          <cell r="L194" t="str">
            <v>0</v>
          </cell>
          <cell r="M194" t="str">
            <v>0</v>
          </cell>
          <cell r="N194" t="str">
            <v>0</v>
          </cell>
          <cell r="O194" t="str">
            <v>0</v>
          </cell>
          <cell r="P194" t="str">
            <v>0</v>
          </cell>
          <cell r="Q194" t="str">
            <v>0</v>
          </cell>
          <cell r="R194" t="str">
            <v>0</v>
          </cell>
          <cell r="S194" t="str">
            <v>0</v>
          </cell>
          <cell r="T194" t="str">
            <v>0</v>
          </cell>
          <cell r="U194" t="str">
            <v>0</v>
          </cell>
          <cell r="V194" t="str">
            <v>0</v>
          </cell>
          <cell r="W194" t="str">
            <v>0</v>
          </cell>
          <cell r="X194" t="str">
            <v>0</v>
          </cell>
          <cell r="Y194" t="str">
            <v>0</v>
          </cell>
          <cell r="Z194" t="str">
            <v>0</v>
          </cell>
          <cell r="AA194" t="str">
            <v>0</v>
          </cell>
          <cell r="AB194" t="str">
            <v>0</v>
          </cell>
          <cell r="AC194" t="str">
            <v>0</v>
          </cell>
          <cell r="AD194" t="str">
            <v>0</v>
          </cell>
          <cell r="AE194" t="str">
            <v>0</v>
          </cell>
        </row>
        <row r="195">
          <cell r="D195" t="str">
            <v>07-Jul</v>
          </cell>
          <cell r="E195" t="str">
            <v>0</v>
          </cell>
          <cell r="F195" t="str">
            <v>0</v>
          </cell>
          <cell r="G195" t="str">
            <v>0</v>
          </cell>
          <cell r="H195" t="str">
            <v>0</v>
          </cell>
          <cell r="I195" t="str">
            <v>0</v>
          </cell>
          <cell r="J195" t="str">
            <v>0</v>
          </cell>
          <cell r="K195" t="str">
            <v>0</v>
          </cell>
          <cell r="L195" t="str">
            <v>0</v>
          </cell>
          <cell r="M195" t="str">
            <v>0</v>
          </cell>
          <cell r="N195" t="str">
            <v>0</v>
          </cell>
          <cell r="O195" t="str">
            <v>0</v>
          </cell>
          <cell r="P195" t="str">
            <v>0</v>
          </cell>
          <cell r="Q195" t="str">
            <v>0</v>
          </cell>
          <cell r="R195" t="str">
            <v>0</v>
          </cell>
          <cell r="S195" t="str">
            <v>0</v>
          </cell>
          <cell r="T195" t="str">
            <v>0</v>
          </cell>
          <cell r="U195" t="str">
            <v>0</v>
          </cell>
          <cell r="V195" t="str">
            <v>0</v>
          </cell>
          <cell r="W195" t="str">
            <v>0</v>
          </cell>
          <cell r="X195" t="str">
            <v>0</v>
          </cell>
          <cell r="Y195" t="str">
            <v>0</v>
          </cell>
          <cell r="Z195" t="str">
            <v>0</v>
          </cell>
          <cell r="AA195" t="str">
            <v>0</v>
          </cell>
          <cell r="AB195" t="str">
            <v>0</v>
          </cell>
          <cell r="AC195" t="str">
            <v>0</v>
          </cell>
          <cell r="AD195" t="str">
            <v>0</v>
          </cell>
          <cell r="AE195" t="str">
            <v>0</v>
          </cell>
        </row>
        <row r="196">
          <cell r="D196" t="str">
            <v>08-Jul</v>
          </cell>
          <cell r="E196" t="str">
            <v>0</v>
          </cell>
          <cell r="F196" t="str">
            <v>0</v>
          </cell>
          <cell r="G196" t="str">
            <v>0</v>
          </cell>
          <cell r="H196" t="str">
            <v>0</v>
          </cell>
          <cell r="I196" t="str">
            <v>0</v>
          </cell>
          <cell r="J196" t="str">
            <v>0</v>
          </cell>
          <cell r="K196" t="str">
            <v>0</v>
          </cell>
          <cell r="L196" t="str">
            <v>0</v>
          </cell>
          <cell r="M196" t="str">
            <v>0</v>
          </cell>
          <cell r="N196" t="str">
            <v>0</v>
          </cell>
          <cell r="O196" t="str">
            <v>0</v>
          </cell>
          <cell r="P196" t="str">
            <v>0</v>
          </cell>
          <cell r="Q196" t="str">
            <v>0</v>
          </cell>
          <cell r="R196" t="str">
            <v>0</v>
          </cell>
          <cell r="S196" t="str">
            <v>0</v>
          </cell>
          <cell r="T196" t="str">
            <v>0</v>
          </cell>
          <cell r="U196" t="str">
            <v>0</v>
          </cell>
          <cell r="V196" t="str">
            <v>0</v>
          </cell>
          <cell r="W196" t="str">
            <v>0</v>
          </cell>
          <cell r="X196" t="str">
            <v>0</v>
          </cell>
          <cell r="Y196" t="str">
            <v>0</v>
          </cell>
          <cell r="Z196" t="str">
            <v>0</v>
          </cell>
          <cell r="AA196" t="str">
            <v>0</v>
          </cell>
          <cell r="AB196" t="str">
            <v>0</v>
          </cell>
          <cell r="AC196" t="str">
            <v>0</v>
          </cell>
          <cell r="AD196" t="str">
            <v>0</v>
          </cell>
          <cell r="AE196" t="str">
            <v>0</v>
          </cell>
        </row>
        <row r="197">
          <cell r="D197" t="str">
            <v>09-Jul</v>
          </cell>
          <cell r="E197" t="str">
            <v>0</v>
          </cell>
          <cell r="F197" t="str">
            <v>0</v>
          </cell>
          <cell r="G197" t="str">
            <v>0</v>
          </cell>
          <cell r="H197" t="str">
            <v>0</v>
          </cell>
          <cell r="I197" t="str">
            <v>0</v>
          </cell>
          <cell r="J197" t="str">
            <v>0</v>
          </cell>
          <cell r="K197" t="str">
            <v>0</v>
          </cell>
          <cell r="L197" t="str">
            <v>0</v>
          </cell>
          <cell r="M197" t="str">
            <v>0</v>
          </cell>
          <cell r="N197" t="str">
            <v>0</v>
          </cell>
          <cell r="O197" t="str">
            <v>0</v>
          </cell>
          <cell r="P197" t="str">
            <v>0</v>
          </cell>
          <cell r="Q197" t="str">
            <v>0</v>
          </cell>
          <cell r="R197" t="str">
            <v>0</v>
          </cell>
          <cell r="S197" t="str">
            <v>0</v>
          </cell>
          <cell r="T197" t="str">
            <v>0</v>
          </cell>
          <cell r="U197" t="str">
            <v>0</v>
          </cell>
          <cell r="V197" t="str">
            <v>0</v>
          </cell>
          <cell r="W197" t="str">
            <v>0</v>
          </cell>
          <cell r="X197" t="str">
            <v>0</v>
          </cell>
          <cell r="Y197" t="str">
            <v>0</v>
          </cell>
          <cell r="Z197" t="str">
            <v>0</v>
          </cell>
          <cell r="AA197" t="str">
            <v>0</v>
          </cell>
          <cell r="AB197" t="str">
            <v>0</v>
          </cell>
          <cell r="AC197" t="str">
            <v>0</v>
          </cell>
          <cell r="AD197" t="str">
            <v>0</v>
          </cell>
          <cell r="AE197" t="str">
            <v>0</v>
          </cell>
        </row>
        <row r="198">
          <cell r="D198" t="str">
            <v>10-Jul</v>
          </cell>
          <cell r="E198" t="str">
            <v>0</v>
          </cell>
          <cell r="F198" t="str">
            <v>0</v>
          </cell>
          <cell r="G198" t="str">
            <v>0</v>
          </cell>
          <cell r="H198" t="str">
            <v>0</v>
          </cell>
          <cell r="I198" t="str">
            <v>0</v>
          </cell>
          <cell r="J198" t="str">
            <v>0</v>
          </cell>
          <cell r="K198" t="str">
            <v>0</v>
          </cell>
          <cell r="L198" t="str">
            <v>0</v>
          </cell>
          <cell r="M198" t="str">
            <v>0</v>
          </cell>
          <cell r="N198" t="str">
            <v>0</v>
          </cell>
          <cell r="O198" t="str">
            <v>0</v>
          </cell>
          <cell r="P198" t="str">
            <v>0</v>
          </cell>
          <cell r="Q198" t="str">
            <v>0</v>
          </cell>
          <cell r="R198" t="str">
            <v>0</v>
          </cell>
          <cell r="S198" t="str">
            <v>0</v>
          </cell>
          <cell r="T198" t="str">
            <v>0</v>
          </cell>
          <cell r="U198" t="str">
            <v>0</v>
          </cell>
          <cell r="V198" t="str">
            <v>0</v>
          </cell>
          <cell r="W198" t="str">
            <v>0</v>
          </cell>
          <cell r="X198" t="str">
            <v>0</v>
          </cell>
          <cell r="Y198" t="str">
            <v>0</v>
          </cell>
          <cell r="Z198" t="str">
            <v>0</v>
          </cell>
          <cell r="AA198" t="str">
            <v>0</v>
          </cell>
          <cell r="AB198" t="str">
            <v>0</v>
          </cell>
          <cell r="AC198" t="str">
            <v>0</v>
          </cell>
          <cell r="AD198" t="str">
            <v>0</v>
          </cell>
          <cell r="AE198" t="str">
            <v>0</v>
          </cell>
        </row>
        <row r="199">
          <cell r="D199" t="str">
            <v>11-Jul</v>
          </cell>
          <cell r="E199" t="str">
            <v>0</v>
          </cell>
          <cell r="F199" t="str">
            <v>0</v>
          </cell>
          <cell r="G199" t="str">
            <v>0</v>
          </cell>
          <cell r="H199" t="str">
            <v>0</v>
          </cell>
          <cell r="I199" t="str">
            <v>0</v>
          </cell>
          <cell r="J199" t="str">
            <v>0</v>
          </cell>
          <cell r="K199" t="str">
            <v>0</v>
          </cell>
          <cell r="L199" t="str">
            <v>0</v>
          </cell>
          <cell r="M199" t="str">
            <v>0</v>
          </cell>
          <cell r="N199" t="str">
            <v>0</v>
          </cell>
          <cell r="O199" t="str">
            <v>0</v>
          </cell>
          <cell r="P199" t="str">
            <v>0</v>
          </cell>
          <cell r="Q199" t="str">
            <v>0</v>
          </cell>
          <cell r="R199" t="str">
            <v>0</v>
          </cell>
          <cell r="S199" t="str">
            <v>0</v>
          </cell>
          <cell r="T199" t="str">
            <v>0</v>
          </cell>
          <cell r="U199" t="str">
            <v>0</v>
          </cell>
          <cell r="V199" t="str">
            <v>0</v>
          </cell>
          <cell r="W199" t="str">
            <v>0</v>
          </cell>
          <cell r="X199" t="str">
            <v>0</v>
          </cell>
          <cell r="Y199" t="str">
            <v>0</v>
          </cell>
          <cell r="Z199" t="str">
            <v>0</v>
          </cell>
          <cell r="AA199" t="str">
            <v>0</v>
          </cell>
          <cell r="AB199" t="str">
            <v>0</v>
          </cell>
          <cell r="AC199" t="str">
            <v>0</v>
          </cell>
          <cell r="AD199" t="str">
            <v>0</v>
          </cell>
          <cell r="AE199" t="str">
            <v>0</v>
          </cell>
        </row>
        <row r="200">
          <cell r="D200" t="str">
            <v>12-Jul</v>
          </cell>
          <cell r="E200" t="str">
            <v>0</v>
          </cell>
          <cell r="F200" t="str">
            <v>0</v>
          </cell>
          <cell r="G200" t="str">
            <v>0</v>
          </cell>
          <cell r="H200" t="str">
            <v>0</v>
          </cell>
          <cell r="I200" t="str">
            <v>0</v>
          </cell>
          <cell r="J200" t="str">
            <v>0</v>
          </cell>
          <cell r="K200" t="str">
            <v>0</v>
          </cell>
          <cell r="L200" t="str">
            <v>0</v>
          </cell>
          <cell r="M200" t="str">
            <v>0</v>
          </cell>
          <cell r="N200" t="str">
            <v>0</v>
          </cell>
          <cell r="O200" t="str">
            <v>0</v>
          </cell>
          <cell r="P200" t="str">
            <v>0</v>
          </cell>
          <cell r="Q200" t="str">
            <v>0</v>
          </cell>
          <cell r="R200" t="str">
            <v>0</v>
          </cell>
          <cell r="S200" t="str">
            <v>0</v>
          </cell>
          <cell r="T200" t="str">
            <v>0</v>
          </cell>
          <cell r="U200" t="str">
            <v>0</v>
          </cell>
          <cell r="V200" t="str">
            <v>0</v>
          </cell>
          <cell r="W200" t="str">
            <v>0</v>
          </cell>
          <cell r="X200" t="str">
            <v>0</v>
          </cell>
          <cell r="Y200" t="str">
            <v>0</v>
          </cell>
          <cell r="Z200" t="str">
            <v>0</v>
          </cell>
          <cell r="AA200" t="str">
            <v>0</v>
          </cell>
          <cell r="AB200" t="str">
            <v>0</v>
          </cell>
          <cell r="AC200" t="str">
            <v>0</v>
          </cell>
          <cell r="AD200" t="str">
            <v>0</v>
          </cell>
          <cell r="AE200" t="str">
            <v>0</v>
          </cell>
        </row>
        <row r="201">
          <cell r="D201" t="str">
            <v>13-Jul</v>
          </cell>
          <cell r="E201" t="str">
            <v>0</v>
          </cell>
          <cell r="F201" t="str">
            <v>0</v>
          </cell>
          <cell r="G201" t="str">
            <v>0</v>
          </cell>
          <cell r="H201" t="str">
            <v>0</v>
          </cell>
          <cell r="I201" t="str">
            <v>0</v>
          </cell>
          <cell r="J201" t="str">
            <v>0</v>
          </cell>
          <cell r="K201" t="str">
            <v>0</v>
          </cell>
          <cell r="L201" t="str">
            <v>0</v>
          </cell>
          <cell r="M201" t="str">
            <v>0</v>
          </cell>
          <cell r="N201" t="str">
            <v>0</v>
          </cell>
          <cell r="O201" t="str">
            <v>0</v>
          </cell>
          <cell r="P201" t="str">
            <v>0</v>
          </cell>
          <cell r="Q201" t="str">
            <v>0</v>
          </cell>
          <cell r="R201" t="str">
            <v>0</v>
          </cell>
          <cell r="S201" t="str">
            <v>0</v>
          </cell>
          <cell r="T201" t="str">
            <v>0</v>
          </cell>
          <cell r="U201" t="str">
            <v>0</v>
          </cell>
          <cell r="V201" t="str">
            <v>0</v>
          </cell>
          <cell r="W201" t="str">
            <v>0</v>
          </cell>
          <cell r="X201" t="str">
            <v>0</v>
          </cell>
          <cell r="Y201" t="str">
            <v>0</v>
          </cell>
          <cell r="Z201" t="str">
            <v>0</v>
          </cell>
          <cell r="AA201" t="str">
            <v>0</v>
          </cell>
          <cell r="AB201" t="str">
            <v>0</v>
          </cell>
          <cell r="AC201" t="str">
            <v>0</v>
          </cell>
          <cell r="AD201" t="str">
            <v>0</v>
          </cell>
          <cell r="AE201" t="str">
            <v>0</v>
          </cell>
        </row>
        <row r="202">
          <cell r="D202" t="str">
            <v>14-Jul</v>
          </cell>
          <cell r="E202" t="str">
            <v>0</v>
          </cell>
          <cell r="F202" t="str">
            <v>0</v>
          </cell>
          <cell r="G202" t="str">
            <v>0</v>
          </cell>
          <cell r="H202" t="str">
            <v>0</v>
          </cell>
          <cell r="I202" t="str">
            <v>0</v>
          </cell>
          <cell r="J202" t="str">
            <v>0</v>
          </cell>
          <cell r="K202" t="str">
            <v>0</v>
          </cell>
          <cell r="L202" t="str">
            <v>0</v>
          </cell>
          <cell r="M202" t="str">
            <v>0</v>
          </cell>
          <cell r="N202" t="str">
            <v>0</v>
          </cell>
          <cell r="O202" t="str">
            <v>0</v>
          </cell>
          <cell r="P202" t="str">
            <v>0</v>
          </cell>
          <cell r="Q202" t="str">
            <v>0</v>
          </cell>
          <cell r="R202" t="str">
            <v>0</v>
          </cell>
          <cell r="S202" t="str">
            <v>0</v>
          </cell>
          <cell r="T202" t="str">
            <v>0</v>
          </cell>
          <cell r="U202" t="str">
            <v>0</v>
          </cell>
          <cell r="V202" t="str">
            <v>0</v>
          </cell>
          <cell r="W202" t="str">
            <v>0</v>
          </cell>
          <cell r="X202" t="str">
            <v>0</v>
          </cell>
          <cell r="Y202" t="str">
            <v>0</v>
          </cell>
          <cell r="Z202" t="str">
            <v>0</v>
          </cell>
          <cell r="AA202" t="str">
            <v>0</v>
          </cell>
          <cell r="AB202" t="str">
            <v>0</v>
          </cell>
          <cell r="AC202" t="str">
            <v>0</v>
          </cell>
          <cell r="AD202" t="str">
            <v>0</v>
          </cell>
          <cell r="AE202" t="str">
            <v>0</v>
          </cell>
        </row>
        <row r="203">
          <cell r="D203" t="str">
            <v>15-Jul</v>
          </cell>
          <cell r="E203" t="str">
            <v>0</v>
          </cell>
          <cell r="F203" t="str">
            <v>0</v>
          </cell>
          <cell r="G203" t="str">
            <v>0</v>
          </cell>
          <cell r="H203" t="str">
            <v>0</v>
          </cell>
          <cell r="I203" t="str">
            <v>0</v>
          </cell>
          <cell r="J203" t="str">
            <v>0</v>
          </cell>
          <cell r="K203" t="str">
            <v>0</v>
          </cell>
          <cell r="L203" t="str">
            <v>0</v>
          </cell>
          <cell r="M203" t="str">
            <v>0</v>
          </cell>
          <cell r="N203" t="str">
            <v>0</v>
          </cell>
          <cell r="O203" t="str">
            <v>0</v>
          </cell>
          <cell r="P203" t="str">
            <v>0</v>
          </cell>
          <cell r="Q203" t="str">
            <v>0</v>
          </cell>
          <cell r="R203" t="str">
            <v>0</v>
          </cell>
          <cell r="S203" t="str">
            <v>0</v>
          </cell>
          <cell r="T203" t="str">
            <v>0</v>
          </cell>
          <cell r="U203" t="str">
            <v>0</v>
          </cell>
          <cell r="V203" t="str">
            <v>0</v>
          </cell>
          <cell r="W203" t="str">
            <v>0</v>
          </cell>
          <cell r="X203" t="str">
            <v>0</v>
          </cell>
          <cell r="Y203" t="str">
            <v>0</v>
          </cell>
          <cell r="Z203" t="str">
            <v>0</v>
          </cell>
          <cell r="AA203" t="str">
            <v>0</v>
          </cell>
          <cell r="AB203" t="str">
            <v>0</v>
          </cell>
          <cell r="AC203" t="str">
            <v>0</v>
          </cell>
          <cell r="AD203" t="str">
            <v>0</v>
          </cell>
          <cell r="AE203" t="str">
            <v>0</v>
          </cell>
        </row>
        <row r="204">
          <cell r="D204" t="str">
            <v>16-Jul</v>
          </cell>
          <cell r="E204" t="str">
            <v>0</v>
          </cell>
          <cell r="F204" t="str">
            <v>0</v>
          </cell>
          <cell r="G204" t="str">
            <v>0</v>
          </cell>
          <cell r="H204" t="str">
            <v>0</v>
          </cell>
          <cell r="I204" t="str">
            <v>0</v>
          </cell>
          <cell r="J204" t="str">
            <v>0</v>
          </cell>
          <cell r="K204" t="str">
            <v>0</v>
          </cell>
          <cell r="L204" t="str">
            <v>0</v>
          </cell>
          <cell r="M204" t="str">
            <v>0</v>
          </cell>
          <cell r="N204" t="str">
            <v>0</v>
          </cell>
          <cell r="O204" t="str">
            <v>0</v>
          </cell>
          <cell r="P204" t="str">
            <v>0</v>
          </cell>
          <cell r="Q204" t="str">
            <v>0</v>
          </cell>
          <cell r="R204" t="str">
            <v>0</v>
          </cell>
          <cell r="S204" t="str">
            <v>0</v>
          </cell>
          <cell r="T204" t="str">
            <v>0</v>
          </cell>
          <cell r="U204" t="str">
            <v>0</v>
          </cell>
          <cell r="V204" t="str">
            <v>0</v>
          </cell>
          <cell r="W204" t="str">
            <v>0</v>
          </cell>
          <cell r="X204" t="str">
            <v>0</v>
          </cell>
          <cell r="Y204" t="str">
            <v>0</v>
          </cell>
          <cell r="Z204" t="str">
            <v>0</v>
          </cell>
          <cell r="AA204" t="str">
            <v>0</v>
          </cell>
          <cell r="AB204" t="str">
            <v>0</v>
          </cell>
          <cell r="AC204" t="str">
            <v>0</v>
          </cell>
          <cell r="AD204" t="str">
            <v>0</v>
          </cell>
          <cell r="AE204" t="str">
            <v>0</v>
          </cell>
        </row>
        <row r="205">
          <cell r="D205" t="str">
            <v>17-Jul</v>
          </cell>
          <cell r="E205" t="str">
            <v>0</v>
          </cell>
          <cell r="F205" t="str">
            <v>0</v>
          </cell>
          <cell r="G205" t="str">
            <v>0</v>
          </cell>
          <cell r="H205" t="str">
            <v>0</v>
          </cell>
          <cell r="I205" t="str">
            <v>0</v>
          </cell>
          <cell r="J205" t="str">
            <v>0</v>
          </cell>
          <cell r="K205" t="str">
            <v>0</v>
          </cell>
          <cell r="L205" t="str">
            <v>0</v>
          </cell>
          <cell r="M205" t="str">
            <v>0</v>
          </cell>
          <cell r="N205" t="str">
            <v>0</v>
          </cell>
          <cell r="O205" t="str">
            <v>0</v>
          </cell>
          <cell r="P205" t="str">
            <v>0</v>
          </cell>
          <cell r="Q205" t="str">
            <v>0</v>
          </cell>
          <cell r="R205" t="str">
            <v>0</v>
          </cell>
          <cell r="S205" t="str">
            <v>0</v>
          </cell>
          <cell r="T205" t="str">
            <v>0</v>
          </cell>
          <cell r="U205" t="str">
            <v>0</v>
          </cell>
          <cell r="V205" t="str">
            <v>0</v>
          </cell>
          <cell r="W205" t="str">
            <v>0</v>
          </cell>
          <cell r="X205" t="str">
            <v>0</v>
          </cell>
          <cell r="Y205" t="str">
            <v>0</v>
          </cell>
          <cell r="Z205" t="str">
            <v>0</v>
          </cell>
          <cell r="AA205" t="str">
            <v>0</v>
          </cell>
          <cell r="AB205" t="str">
            <v>0</v>
          </cell>
          <cell r="AC205" t="str">
            <v>0</v>
          </cell>
          <cell r="AD205" t="str">
            <v>0</v>
          </cell>
          <cell r="AE205" t="str">
            <v>0</v>
          </cell>
        </row>
        <row r="206">
          <cell r="D206" t="str">
            <v>18-Jul</v>
          </cell>
          <cell r="E206" t="str">
            <v>0</v>
          </cell>
          <cell r="F206" t="str">
            <v>0</v>
          </cell>
          <cell r="G206" t="str">
            <v>0</v>
          </cell>
          <cell r="H206" t="str">
            <v>0</v>
          </cell>
          <cell r="I206" t="str">
            <v>0</v>
          </cell>
          <cell r="J206" t="str">
            <v>0</v>
          </cell>
          <cell r="K206" t="str">
            <v>0</v>
          </cell>
          <cell r="L206" t="str">
            <v>0</v>
          </cell>
          <cell r="M206" t="str">
            <v>0</v>
          </cell>
          <cell r="N206" t="str">
            <v>0</v>
          </cell>
          <cell r="O206" t="str">
            <v>0</v>
          </cell>
          <cell r="P206" t="str">
            <v>0</v>
          </cell>
          <cell r="Q206" t="str">
            <v>0</v>
          </cell>
          <cell r="R206" t="str">
            <v>0</v>
          </cell>
          <cell r="S206" t="str">
            <v>0</v>
          </cell>
          <cell r="T206" t="str">
            <v>0</v>
          </cell>
          <cell r="U206" t="str">
            <v>0</v>
          </cell>
          <cell r="V206" t="str">
            <v>0</v>
          </cell>
          <cell r="W206" t="str">
            <v>0</v>
          </cell>
          <cell r="X206" t="str">
            <v>0</v>
          </cell>
          <cell r="Y206" t="str">
            <v>0</v>
          </cell>
          <cell r="Z206" t="str">
            <v>0</v>
          </cell>
          <cell r="AA206" t="str">
            <v>0</v>
          </cell>
          <cell r="AB206" t="str">
            <v>0</v>
          </cell>
          <cell r="AC206" t="str">
            <v>0</v>
          </cell>
          <cell r="AD206" t="str">
            <v>0</v>
          </cell>
          <cell r="AE206" t="str">
            <v>0</v>
          </cell>
        </row>
        <row r="207">
          <cell r="D207" t="str">
            <v>19-Jul</v>
          </cell>
          <cell r="E207" t="str">
            <v>0</v>
          </cell>
          <cell r="F207" t="str">
            <v>0</v>
          </cell>
          <cell r="G207" t="str">
            <v>0</v>
          </cell>
          <cell r="H207" t="str">
            <v>0</v>
          </cell>
          <cell r="I207" t="str">
            <v>0</v>
          </cell>
          <cell r="J207" t="str">
            <v>0</v>
          </cell>
          <cell r="K207" t="str">
            <v>0</v>
          </cell>
          <cell r="L207" t="str">
            <v>0</v>
          </cell>
          <cell r="M207" t="str">
            <v>0</v>
          </cell>
          <cell r="N207" t="str">
            <v>0</v>
          </cell>
          <cell r="O207" t="str">
            <v>0</v>
          </cell>
          <cell r="P207" t="str">
            <v>0</v>
          </cell>
          <cell r="Q207" t="str">
            <v>0</v>
          </cell>
          <cell r="R207" t="str">
            <v>0</v>
          </cell>
          <cell r="S207" t="str">
            <v>0</v>
          </cell>
          <cell r="T207" t="str">
            <v>0</v>
          </cell>
          <cell r="U207" t="str">
            <v>0</v>
          </cell>
          <cell r="V207" t="str">
            <v>0</v>
          </cell>
          <cell r="W207" t="str">
            <v>0</v>
          </cell>
          <cell r="X207" t="str">
            <v>0</v>
          </cell>
          <cell r="Y207" t="str">
            <v>0</v>
          </cell>
          <cell r="Z207" t="str">
            <v>0</v>
          </cell>
          <cell r="AA207" t="str">
            <v>0</v>
          </cell>
          <cell r="AB207" t="str">
            <v>0</v>
          </cell>
          <cell r="AC207" t="str">
            <v>0</v>
          </cell>
          <cell r="AD207" t="str">
            <v>0</v>
          </cell>
          <cell r="AE207" t="str">
            <v>0</v>
          </cell>
        </row>
        <row r="208">
          <cell r="D208" t="str">
            <v>20-Jul</v>
          </cell>
          <cell r="E208" t="str">
            <v>0</v>
          </cell>
          <cell r="F208" t="str">
            <v>0</v>
          </cell>
          <cell r="G208" t="str">
            <v>0</v>
          </cell>
          <cell r="H208" t="str">
            <v>0</v>
          </cell>
          <cell r="I208" t="str">
            <v>0</v>
          </cell>
          <cell r="J208" t="str">
            <v>0</v>
          </cell>
          <cell r="K208" t="str">
            <v>0</v>
          </cell>
          <cell r="L208" t="str">
            <v>0</v>
          </cell>
          <cell r="M208" t="str">
            <v>0</v>
          </cell>
          <cell r="N208" t="str">
            <v>0</v>
          </cell>
          <cell r="O208" t="str">
            <v>0</v>
          </cell>
          <cell r="P208" t="str">
            <v>0</v>
          </cell>
          <cell r="Q208" t="str">
            <v>0</v>
          </cell>
          <cell r="R208" t="str">
            <v>0</v>
          </cell>
          <cell r="S208" t="str">
            <v>0</v>
          </cell>
          <cell r="T208" t="str">
            <v>0</v>
          </cell>
          <cell r="U208" t="str">
            <v>0</v>
          </cell>
          <cell r="V208" t="str">
            <v>0</v>
          </cell>
          <cell r="W208" t="str">
            <v>0</v>
          </cell>
          <cell r="X208" t="str">
            <v>0</v>
          </cell>
          <cell r="Y208" t="str">
            <v>0</v>
          </cell>
          <cell r="Z208" t="str">
            <v>0</v>
          </cell>
          <cell r="AA208" t="str">
            <v>0</v>
          </cell>
          <cell r="AB208" t="str">
            <v>0</v>
          </cell>
          <cell r="AC208" t="str">
            <v>0</v>
          </cell>
          <cell r="AD208" t="str">
            <v>0</v>
          </cell>
          <cell r="AE208" t="str">
            <v>0</v>
          </cell>
        </row>
        <row r="209">
          <cell r="D209" t="str">
            <v>21-Jul</v>
          </cell>
          <cell r="E209" t="str">
            <v>0</v>
          </cell>
          <cell r="F209" t="str">
            <v>0</v>
          </cell>
          <cell r="G209" t="str">
            <v>0</v>
          </cell>
          <cell r="H209" t="str">
            <v>0</v>
          </cell>
          <cell r="I209" t="str">
            <v>0</v>
          </cell>
          <cell r="J209" t="str">
            <v>0</v>
          </cell>
          <cell r="K209" t="str">
            <v>0</v>
          </cell>
          <cell r="L209" t="str">
            <v>0</v>
          </cell>
          <cell r="M209" t="str">
            <v>0</v>
          </cell>
          <cell r="N209" t="str">
            <v>0</v>
          </cell>
          <cell r="O209" t="str">
            <v>0</v>
          </cell>
          <cell r="P209" t="str">
            <v>0</v>
          </cell>
          <cell r="Q209" t="str">
            <v>0</v>
          </cell>
          <cell r="R209" t="str">
            <v>0</v>
          </cell>
          <cell r="S209" t="str">
            <v>0</v>
          </cell>
          <cell r="T209" t="str">
            <v>0</v>
          </cell>
          <cell r="U209" t="str">
            <v>0</v>
          </cell>
          <cell r="V209" t="str">
            <v>0</v>
          </cell>
          <cell r="W209" t="str">
            <v>0</v>
          </cell>
          <cell r="X209" t="str">
            <v>0</v>
          </cell>
          <cell r="Y209" t="str">
            <v>0</v>
          </cell>
          <cell r="Z209" t="str">
            <v>0</v>
          </cell>
          <cell r="AA209" t="str">
            <v>0</v>
          </cell>
          <cell r="AB209" t="str">
            <v>0</v>
          </cell>
          <cell r="AC209" t="str">
            <v>0</v>
          </cell>
          <cell r="AD209" t="str">
            <v>0</v>
          </cell>
          <cell r="AE209" t="str">
            <v>0</v>
          </cell>
        </row>
        <row r="210">
          <cell r="D210" t="str">
            <v>22-Jul</v>
          </cell>
          <cell r="E210" t="str">
            <v>0</v>
          </cell>
          <cell r="F210" t="str">
            <v>0</v>
          </cell>
          <cell r="G210" t="str">
            <v>0</v>
          </cell>
          <cell r="H210" t="str">
            <v>0</v>
          </cell>
          <cell r="I210" t="str">
            <v>0</v>
          </cell>
          <cell r="J210" t="str">
            <v>0</v>
          </cell>
          <cell r="K210" t="str">
            <v>0</v>
          </cell>
          <cell r="L210" t="str">
            <v>0</v>
          </cell>
          <cell r="M210" t="str">
            <v>0</v>
          </cell>
          <cell r="N210" t="str">
            <v>0</v>
          </cell>
          <cell r="O210" t="str">
            <v>0</v>
          </cell>
          <cell r="P210" t="str">
            <v>0</v>
          </cell>
          <cell r="Q210" t="str">
            <v>0</v>
          </cell>
          <cell r="R210" t="str">
            <v>0</v>
          </cell>
          <cell r="S210" t="str">
            <v>0</v>
          </cell>
          <cell r="T210" t="str">
            <v>0</v>
          </cell>
          <cell r="U210" t="str">
            <v>0</v>
          </cell>
          <cell r="V210" t="str">
            <v>0</v>
          </cell>
          <cell r="W210" t="str">
            <v>0</v>
          </cell>
          <cell r="X210" t="str">
            <v>0</v>
          </cell>
          <cell r="Y210" t="str">
            <v>0</v>
          </cell>
          <cell r="Z210" t="str">
            <v>0</v>
          </cell>
          <cell r="AA210" t="str">
            <v>0</v>
          </cell>
          <cell r="AB210" t="str">
            <v>0</v>
          </cell>
          <cell r="AC210" t="str">
            <v>0</v>
          </cell>
          <cell r="AD210" t="str">
            <v>0</v>
          </cell>
          <cell r="AE210" t="str">
            <v>0</v>
          </cell>
        </row>
        <row r="211">
          <cell r="D211" t="str">
            <v>23-Jul</v>
          </cell>
          <cell r="E211" t="str">
            <v>0</v>
          </cell>
          <cell r="F211" t="str">
            <v>0</v>
          </cell>
          <cell r="G211" t="str">
            <v>0</v>
          </cell>
          <cell r="H211" t="str">
            <v>0</v>
          </cell>
          <cell r="I211" t="str">
            <v>0</v>
          </cell>
          <cell r="J211" t="str">
            <v>0</v>
          </cell>
          <cell r="K211" t="str">
            <v>0</v>
          </cell>
          <cell r="L211" t="str">
            <v>0</v>
          </cell>
          <cell r="M211" t="str">
            <v>0</v>
          </cell>
          <cell r="N211" t="str">
            <v>0</v>
          </cell>
          <cell r="O211" t="str">
            <v>0</v>
          </cell>
          <cell r="P211" t="str">
            <v>0</v>
          </cell>
          <cell r="Q211" t="str">
            <v>0</v>
          </cell>
          <cell r="R211" t="str">
            <v>0</v>
          </cell>
          <cell r="S211" t="str">
            <v>0</v>
          </cell>
          <cell r="T211" t="str">
            <v>0</v>
          </cell>
          <cell r="U211" t="str">
            <v>0</v>
          </cell>
          <cell r="V211" t="str">
            <v>0</v>
          </cell>
          <cell r="W211" t="str">
            <v>0</v>
          </cell>
          <cell r="X211" t="str">
            <v>0</v>
          </cell>
          <cell r="Y211" t="str">
            <v>0</v>
          </cell>
          <cell r="Z211" t="str">
            <v>0</v>
          </cell>
          <cell r="AA211" t="str">
            <v>0</v>
          </cell>
          <cell r="AB211" t="str">
            <v>0</v>
          </cell>
          <cell r="AC211" t="str">
            <v>0</v>
          </cell>
          <cell r="AD211" t="str">
            <v>0</v>
          </cell>
          <cell r="AE211" t="str">
            <v>0</v>
          </cell>
        </row>
        <row r="212">
          <cell r="D212" t="str">
            <v>24-Jul</v>
          </cell>
          <cell r="E212" t="str">
            <v>0</v>
          </cell>
          <cell r="F212" t="str">
            <v>0</v>
          </cell>
          <cell r="G212" t="str">
            <v>0</v>
          </cell>
          <cell r="H212" t="str">
            <v>0</v>
          </cell>
          <cell r="I212" t="str">
            <v>0</v>
          </cell>
          <cell r="J212" t="str">
            <v>0</v>
          </cell>
          <cell r="K212" t="str">
            <v>0</v>
          </cell>
          <cell r="L212" t="str">
            <v>0</v>
          </cell>
          <cell r="M212" t="str">
            <v>0</v>
          </cell>
          <cell r="N212" t="str">
            <v>0</v>
          </cell>
          <cell r="O212" t="str">
            <v>0</v>
          </cell>
          <cell r="P212" t="str">
            <v>0</v>
          </cell>
          <cell r="Q212" t="str">
            <v>0</v>
          </cell>
          <cell r="R212" t="str">
            <v>0</v>
          </cell>
          <cell r="S212" t="str">
            <v>0</v>
          </cell>
          <cell r="T212" t="str">
            <v>0</v>
          </cell>
          <cell r="U212" t="str">
            <v>0</v>
          </cell>
          <cell r="V212" t="str">
            <v>0</v>
          </cell>
          <cell r="W212" t="str">
            <v>0</v>
          </cell>
          <cell r="X212" t="str">
            <v>0</v>
          </cell>
          <cell r="Y212" t="str">
            <v>0</v>
          </cell>
          <cell r="Z212" t="str">
            <v>0</v>
          </cell>
          <cell r="AA212" t="str">
            <v>0</v>
          </cell>
          <cell r="AB212" t="str">
            <v>0</v>
          </cell>
          <cell r="AC212" t="str">
            <v>0</v>
          </cell>
          <cell r="AD212" t="str">
            <v>0</v>
          </cell>
          <cell r="AE212" t="str">
            <v>0</v>
          </cell>
        </row>
        <row r="213">
          <cell r="D213" t="str">
            <v>25-Jul</v>
          </cell>
          <cell r="E213" t="str">
            <v>0</v>
          </cell>
          <cell r="F213" t="str">
            <v>0</v>
          </cell>
          <cell r="G213" t="str">
            <v>0</v>
          </cell>
          <cell r="H213" t="str">
            <v>0</v>
          </cell>
          <cell r="I213" t="str">
            <v>0</v>
          </cell>
          <cell r="J213" t="str">
            <v>0</v>
          </cell>
          <cell r="K213" t="str">
            <v>0</v>
          </cell>
          <cell r="L213" t="str">
            <v>0</v>
          </cell>
          <cell r="M213" t="str">
            <v>0</v>
          </cell>
          <cell r="N213" t="str">
            <v>0</v>
          </cell>
          <cell r="O213" t="str">
            <v>0</v>
          </cell>
          <cell r="P213" t="str">
            <v>0</v>
          </cell>
          <cell r="Q213" t="str">
            <v>0</v>
          </cell>
          <cell r="R213" t="str">
            <v>0</v>
          </cell>
          <cell r="S213" t="str">
            <v>0</v>
          </cell>
          <cell r="T213" t="str">
            <v>0</v>
          </cell>
          <cell r="U213" t="str">
            <v>0</v>
          </cell>
          <cell r="V213" t="str">
            <v>0</v>
          </cell>
          <cell r="W213" t="str">
            <v>0</v>
          </cell>
          <cell r="X213" t="str">
            <v>0</v>
          </cell>
          <cell r="Y213" t="str">
            <v>0</v>
          </cell>
          <cell r="Z213" t="str">
            <v>0</v>
          </cell>
          <cell r="AA213" t="str">
            <v>0</v>
          </cell>
          <cell r="AB213" t="str">
            <v>0</v>
          </cell>
          <cell r="AC213" t="str">
            <v>0</v>
          </cell>
          <cell r="AD213" t="str">
            <v>0</v>
          </cell>
          <cell r="AE213" t="str">
            <v>0</v>
          </cell>
        </row>
        <row r="214">
          <cell r="D214" t="str">
            <v>26-Jul</v>
          </cell>
          <cell r="E214" t="str">
            <v>0</v>
          </cell>
          <cell r="F214" t="str">
            <v>0</v>
          </cell>
          <cell r="G214" t="str">
            <v>0</v>
          </cell>
          <cell r="H214" t="str">
            <v>0</v>
          </cell>
          <cell r="I214" t="str">
            <v>0</v>
          </cell>
          <cell r="J214" t="str">
            <v>0</v>
          </cell>
          <cell r="K214" t="str">
            <v>0</v>
          </cell>
          <cell r="L214" t="str">
            <v>0</v>
          </cell>
          <cell r="M214" t="str">
            <v>0</v>
          </cell>
          <cell r="N214" t="str">
            <v>0</v>
          </cell>
          <cell r="O214" t="str">
            <v>0</v>
          </cell>
          <cell r="P214" t="str">
            <v>0</v>
          </cell>
          <cell r="Q214" t="str">
            <v>0</v>
          </cell>
          <cell r="R214" t="str">
            <v>0</v>
          </cell>
          <cell r="S214" t="str">
            <v>0</v>
          </cell>
          <cell r="T214" t="str">
            <v>0</v>
          </cell>
          <cell r="U214" t="str">
            <v>0</v>
          </cell>
          <cell r="V214" t="str">
            <v>0</v>
          </cell>
          <cell r="W214" t="str">
            <v>0</v>
          </cell>
          <cell r="X214" t="str">
            <v>0</v>
          </cell>
          <cell r="Y214" t="str">
            <v>0</v>
          </cell>
          <cell r="Z214" t="str">
            <v>0</v>
          </cell>
          <cell r="AA214" t="str">
            <v>0</v>
          </cell>
          <cell r="AB214" t="str">
            <v>0</v>
          </cell>
          <cell r="AC214" t="str">
            <v>0</v>
          </cell>
          <cell r="AD214" t="str">
            <v>0</v>
          </cell>
          <cell r="AE214" t="str">
            <v>0</v>
          </cell>
        </row>
        <row r="215">
          <cell r="D215" t="str">
            <v>27-Jul</v>
          </cell>
          <cell r="E215" t="str">
            <v>0</v>
          </cell>
          <cell r="F215" t="str">
            <v>0</v>
          </cell>
          <cell r="G215" t="str">
            <v>0</v>
          </cell>
          <cell r="H215" t="str">
            <v>0</v>
          </cell>
          <cell r="I215" t="str">
            <v>0</v>
          </cell>
          <cell r="J215" t="str">
            <v>0</v>
          </cell>
          <cell r="K215" t="str">
            <v>0</v>
          </cell>
          <cell r="L215" t="str">
            <v>0</v>
          </cell>
          <cell r="M215" t="str">
            <v>0</v>
          </cell>
          <cell r="N215" t="str">
            <v>0</v>
          </cell>
          <cell r="O215" t="str">
            <v>0</v>
          </cell>
          <cell r="P215" t="str">
            <v>0</v>
          </cell>
          <cell r="Q215" t="str">
            <v>0</v>
          </cell>
          <cell r="R215" t="str">
            <v>0</v>
          </cell>
          <cell r="S215" t="str">
            <v>0</v>
          </cell>
          <cell r="T215" t="str">
            <v>0</v>
          </cell>
          <cell r="U215" t="str">
            <v>0</v>
          </cell>
          <cell r="V215" t="str">
            <v>0</v>
          </cell>
          <cell r="W215" t="str">
            <v>0</v>
          </cell>
          <cell r="X215" t="str">
            <v>0</v>
          </cell>
          <cell r="Y215" t="str">
            <v>0</v>
          </cell>
          <cell r="Z215" t="str">
            <v>0</v>
          </cell>
          <cell r="AA215" t="str">
            <v>0</v>
          </cell>
          <cell r="AB215" t="str">
            <v>0</v>
          </cell>
          <cell r="AC215" t="str">
            <v>0</v>
          </cell>
          <cell r="AD215" t="str">
            <v>0</v>
          </cell>
          <cell r="AE215" t="str">
            <v>0</v>
          </cell>
        </row>
        <row r="216">
          <cell r="D216" t="str">
            <v>28-Jul</v>
          </cell>
          <cell r="E216" t="str">
            <v>0</v>
          </cell>
          <cell r="F216" t="str">
            <v>0</v>
          </cell>
          <cell r="G216" t="str">
            <v>0</v>
          </cell>
          <cell r="H216" t="str">
            <v>0</v>
          </cell>
          <cell r="I216" t="str">
            <v>0</v>
          </cell>
          <cell r="J216" t="str">
            <v>0</v>
          </cell>
          <cell r="K216" t="str">
            <v>0</v>
          </cell>
          <cell r="L216" t="str">
            <v>0</v>
          </cell>
          <cell r="M216" t="str">
            <v>0</v>
          </cell>
          <cell r="N216" t="str">
            <v>0</v>
          </cell>
          <cell r="O216" t="str">
            <v>0</v>
          </cell>
          <cell r="P216" t="str">
            <v>0</v>
          </cell>
          <cell r="Q216" t="str">
            <v>0</v>
          </cell>
          <cell r="R216" t="str">
            <v>0</v>
          </cell>
          <cell r="S216" t="str">
            <v>0</v>
          </cell>
          <cell r="T216" t="str">
            <v>0</v>
          </cell>
          <cell r="U216" t="str">
            <v>0</v>
          </cell>
          <cell r="V216" t="str">
            <v>0</v>
          </cell>
          <cell r="W216" t="str">
            <v>0</v>
          </cell>
          <cell r="X216" t="str">
            <v>0</v>
          </cell>
          <cell r="Y216" t="str">
            <v>0</v>
          </cell>
          <cell r="Z216" t="str">
            <v>0</v>
          </cell>
          <cell r="AA216" t="str">
            <v>0</v>
          </cell>
          <cell r="AB216" t="str">
            <v>0</v>
          </cell>
          <cell r="AC216" t="str">
            <v>0</v>
          </cell>
          <cell r="AD216" t="str">
            <v>0</v>
          </cell>
          <cell r="AE216" t="str">
            <v>0</v>
          </cell>
        </row>
        <row r="217">
          <cell r="D217" t="str">
            <v>29-Jul</v>
          </cell>
          <cell r="E217" t="str">
            <v>0</v>
          </cell>
          <cell r="F217" t="str">
            <v>0</v>
          </cell>
          <cell r="G217" t="str">
            <v>0</v>
          </cell>
          <cell r="H217" t="str">
            <v>0</v>
          </cell>
          <cell r="I217" t="str">
            <v>0</v>
          </cell>
          <cell r="J217" t="str">
            <v>0</v>
          </cell>
          <cell r="K217" t="str">
            <v>0</v>
          </cell>
          <cell r="L217" t="str">
            <v>0</v>
          </cell>
          <cell r="M217" t="str">
            <v>0</v>
          </cell>
          <cell r="N217" t="str">
            <v>0</v>
          </cell>
          <cell r="O217" t="str">
            <v>0</v>
          </cell>
          <cell r="P217" t="str">
            <v>0</v>
          </cell>
          <cell r="Q217" t="str">
            <v>0</v>
          </cell>
          <cell r="R217" t="str">
            <v>0</v>
          </cell>
          <cell r="S217" t="str">
            <v>0</v>
          </cell>
          <cell r="T217" t="str">
            <v>0</v>
          </cell>
          <cell r="U217" t="str">
            <v>0</v>
          </cell>
          <cell r="V217" t="str">
            <v>0</v>
          </cell>
          <cell r="W217" t="str">
            <v>0</v>
          </cell>
          <cell r="X217" t="str">
            <v>0</v>
          </cell>
          <cell r="Y217" t="str">
            <v>0</v>
          </cell>
          <cell r="Z217" t="str">
            <v>0</v>
          </cell>
          <cell r="AA217" t="str">
            <v>0</v>
          </cell>
          <cell r="AB217" t="str">
            <v>0</v>
          </cell>
          <cell r="AC217" t="str">
            <v>0</v>
          </cell>
          <cell r="AD217" t="str">
            <v>0</v>
          </cell>
          <cell r="AE217" t="str">
            <v>0</v>
          </cell>
        </row>
        <row r="218">
          <cell r="D218" t="str">
            <v>30-Jul</v>
          </cell>
          <cell r="E218" t="str">
            <v>0</v>
          </cell>
          <cell r="F218" t="str">
            <v>0</v>
          </cell>
          <cell r="G218" t="str">
            <v>0</v>
          </cell>
          <cell r="H218" t="str">
            <v>0</v>
          </cell>
          <cell r="I218" t="str">
            <v>0</v>
          </cell>
          <cell r="J218" t="str">
            <v>0</v>
          </cell>
          <cell r="K218" t="str">
            <v>0</v>
          </cell>
          <cell r="L218" t="str">
            <v>0</v>
          </cell>
          <cell r="M218" t="str">
            <v>0</v>
          </cell>
          <cell r="N218" t="str">
            <v>0</v>
          </cell>
          <cell r="O218" t="str">
            <v>0</v>
          </cell>
          <cell r="P218" t="str">
            <v>0</v>
          </cell>
          <cell r="Q218" t="str">
            <v>0</v>
          </cell>
          <cell r="R218" t="str">
            <v>0</v>
          </cell>
          <cell r="S218" t="str">
            <v>0</v>
          </cell>
          <cell r="T218" t="str">
            <v>0</v>
          </cell>
          <cell r="U218" t="str">
            <v>0</v>
          </cell>
          <cell r="V218" t="str">
            <v>0</v>
          </cell>
          <cell r="W218" t="str">
            <v>0</v>
          </cell>
          <cell r="X218" t="str">
            <v>0</v>
          </cell>
          <cell r="Y218" t="str">
            <v>0</v>
          </cell>
          <cell r="Z218" t="str">
            <v>0</v>
          </cell>
          <cell r="AA218" t="str">
            <v>0</v>
          </cell>
          <cell r="AB218" t="str">
            <v>0</v>
          </cell>
          <cell r="AC218" t="str">
            <v>0</v>
          </cell>
          <cell r="AD218" t="str">
            <v>0</v>
          </cell>
          <cell r="AE218" t="str">
            <v>0</v>
          </cell>
        </row>
        <row r="219">
          <cell r="D219" t="str">
            <v>31-Jul</v>
          </cell>
          <cell r="E219" t="str">
            <v>0</v>
          </cell>
          <cell r="F219" t="str">
            <v>0</v>
          </cell>
          <cell r="G219" t="str">
            <v>0</v>
          </cell>
          <cell r="H219" t="str">
            <v>0</v>
          </cell>
          <cell r="I219" t="str">
            <v>0</v>
          </cell>
          <cell r="J219" t="str">
            <v>0</v>
          </cell>
          <cell r="K219" t="str">
            <v>0</v>
          </cell>
          <cell r="L219" t="str">
            <v>0</v>
          </cell>
          <cell r="M219" t="str">
            <v>0</v>
          </cell>
          <cell r="N219" t="str">
            <v>0</v>
          </cell>
          <cell r="O219" t="str">
            <v>0</v>
          </cell>
          <cell r="P219" t="str">
            <v>0</v>
          </cell>
          <cell r="Q219" t="str">
            <v>0</v>
          </cell>
          <cell r="R219" t="str">
            <v>0</v>
          </cell>
          <cell r="S219" t="str">
            <v>0</v>
          </cell>
          <cell r="T219" t="str">
            <v>0</v>
          </cell>
          <cell r="U219" t="str">
            <v>0</v>
          </cell>
          <cell r="V219" t="str">
            <v>0</v>
          </cell>
          <cell r="W219" t="str">
            <v>0</v>
          </cell>
          <cell r="X219" t="str">
            <v>0</v>
          </cell>
          <cell r="Y219" t="str">
            <v>0</v>
          </cell>
          <cell r="Z219" t="str">
            <v>0</v>
          </cell>
          <cell r="AA219" t="str">
            <v>0</v>
          </cell>
          <cell r="AB219" t="str">
            <v>0</v>
          </cell>
          <cell r="AC219" t="str">
            <v>0</v>
          </cell>
          <cell r="AD219" t="str">
            <v>0</v>
          </cell>
          <cell r="AE219" t="str">
            <v>0</v>
          </cell>
        </row>
        <row r="220">
          <cell r="D220" t="str">
            <v>01-Aug</v>
          </cell>
          <cell r="E220" t="str">
            <v>0</v>
          </cell>
          <cell r="F220" t="str">
            <v>0</v>
          </cell>
          <cell r="G220" t="str">
            <v>0</v>
          </cell>
          <cell r="H220" t="str">
            <v>0</v>
          </cell>
          <cell r="I220" t="str">
            <v>0</v>
          </cell>
          <cell r="J220" t="str">
            <v>0</v>
          </cell>
          <cell r="K220" t="str">
            <v>0</v>
          </cell>
          <cell r="L220" t="str">
            <v>0</v>
          </cell>
          <cell r="M220" t="str">
            <v>0</v>
          </cell>
          <cell r="N220" t="str">
            <v>0</v>
          </cell>
          <cell r="O220" t="str">
            <v>0</v>
          </cell>
          <cell r="P220" t="str">
            <v>0</v>
          </cell>
          <cell r="Q220" t="str">
            <v>0</v>
          </cell>
          <cell r="R220" t="str">
            <v>0</v>
          </cell>
          <cell r="S220" t="str">
            <v>0</v>
          </cell>
          <cell r="T220" t="str">
            <v>0</v>
          </cell>
          <cell r="U220" t="str">
            <v>0</v>
          </cell>
          <cell r="V220" t="str">
            <v>0</v>
          </cell>
          <cell r="W220" t="str">
            <v>0</v>
          </cell>
          <cell r="X220" t="str">
            <v>0</v>
          </cell>
          <cell r="Y220" t="str">
            <v>0</v>
          </cell>
          <cell r="Z220" t="str">
            <v>0</v>
          </cell>
          <cell r="AA220" t="str">
            <v>0</v>
          </cell>
          <cell r="AB220" t="str">
            <v>0</v>
          </cell>
          <cell r="AC220" t="str">
            <v>0</v>
          </cell>
          <cell r="AD220" t="str">
            <v>0</v>
          </cell>
          <cell r="AE220" t="str">
            <v>0</v>
          </cell>
        </row>
        <row r="221">
          <cell r="D221" t="str">
            <v>02-Aug</v>
          </cell>
          <cell r="E221" t="str">
            <v>0</v>
          </cell>
          <cell r="F221" t="str">
            <v>0</v>
          </cell>
          <cell r="G221" t="str">
            <v>0</v>
          </cell>
          <cell r="H221" t="str">
            <v>0</v>
          </cell>
          <cell r="I221" t="str">
            <v>0</v>
          </cell>
          <cell r="J221" t="str">
            <v>0</v>
          </cell>
          <cell r="K221" t="str">
            <v>0</v>
          </cell>
          <cell r="L221" t="str">
            <v>0</v>
          </cell>
          <cell r="M221" t="str">
            <v>0</v>
          </cell>
          <cell r="N221" t="str">
            <v>0</v>
          </cell>
          <cell r="O221" t="str">
            <v>0</v>
          </cell>
          <cell r="P221" t="str">
            <v>0</v>
          </cell>
          <cell r="Q221" t="str">
            <v>0</v>
          </cell>
          <cell r="R221" t="str">
            <v>0</v>
          </cell>
          <cell r="S221" t="str">
            <v>0</v>
          </cell>
          <cell r="T221" t="str">
            <v>0</v>
          </cell>
          <cell r="U221" t="str">
            <v>0</v>
          </cell>
          <cell r="V221" t="str">
            <v>0</v>
          </cell>
          <cell r="W221" t="str">
            <v>0</v>
          </cell>
          <cell r="X221" t="str">
            <v>0</v>
          </cell>
          <cell r="Y221" t="str">
            <v>0</v>
          </cell>
          <cell r="Z221" t="str">
            <v>0</v>
          </cell>
          <cell r="AA221" t="str">
            <v>0</v>
          </cell>
          <cell r="AB221" t="str">
            <v>0</v>
          </cell>
          <cell r="AC221" t="str">
            <v>0</v>
          </cell>
          <cell r="AD221" t="str">
            <v>0</v>
          </cell>
          <cell r="AE221" t="str">
            <v>0</v>
          </cell>
        </row>
        <row r="222">
          <cell r="D222" t="str">
            <v>03-Aug</v>
          </cell>
          <cell r="E222" t="str">
            <v>0</v>
          </cell>
          <cell r="F222" t="str">
            <v>0</v>
          </cell>
          <cell r="G222" t="str">
            <v>0</v>
          </cell>
          <cell r="H222" t="str">
            <v>0</v>
          </cell>
          <cell r="I222" t="str">
            <v>0</v>
          </cell>
          <cell r="J222" t="str">
            <v>0</v>
          </cell>
          <cell r="K222" t="str">
            <v>0</v>
          </cell>
          <cell r="L222" t="str">
            <v>0</v>
          </cell>
          <cell r="M222" t="str">
            <v>0</v>
          </cell>
          <cell r="N222" t="str">
            <v>0</v>
          </cell>
          <cell r="O222" t="str">
            <v>0</v>
          </cell>
          <cell r="P222" t="str">
            <v>0</v>
          </cell>
          <cell r="Q222" t="str">
            <v>0</v>
          </cell>
          <cell r="R222" t="str">
            <v>0</v>
          </cell>
          <cell r="S222" t="str">
            <v>0</v>
          </cell>
          <cell r="T222" t="str">
            <v>0</v>
          </cell>
          <cell r="U222" t="str">
            <v>0</v>
          </cell>
          <cell r="V222" t="str">
            <v>0</v>
          </cell>
          <cell r="W222" t="str">
            <v>0</v>
          </cell>
          <cell r="X222" t="str">
            <v>0</v>
          </cell>
          <cell r="Y222" t="str">
            <v>0</v>
          </cell>
          <cell r="Z222" t="str">
            <v>0</v>
          </cell>
          <cell r="AA222" t="str">
            <v>0</v>
          </cell>
          <cell r="AB222" t="str">
            <v>0</v>
          </cell>
          <cell r="AC222" t="str">
            <v>0</v>
          </cell>
          <cell r="AD222" t="str">
            <v>0</v>
          </cell>
          <cell r="AE222" t="str">
            <v>0</v>
          </cell>
        </row>
        <row r="223">
          <cell r="D223" t="str">
            <v>04-Aug</v>
          </cell>
          <cell r="E223" t="str">
            <v>0</v>
          </cell>
          <cell r="F223" t="str">
            <v>0</v>
          </cell>
          <cell r="G223" t="str">
            <v>0</v>
          </cell>
          <cell r="H223" t="str">
            <v>0</v>
          </cell>
          <cell r="I223" t="str">
            <v>0</v>
          </cell>
          <cell r="J223" t="str">
            <v>0</v>
          </cell>
          <cell r="K223" t="str">
            <v>0</v>
          </cell>
          <cell r="L223" t="str">
            <v>0</v>
          </cell>
          <cell r="M223" t="str">
            <v>0</v>
          </cell>
          <cell r="N223" t="str">
            <v>0</v>
          </cell>
          <cell r="O223" t="str">
            <v>0</v>
          </cell>
          <cell r="P223" t="str">
            <v>0</v>
          </cell>
          <cell r="Q223" t="str">
            <v>0</v>
          </cell>
          <cell r="R223" t="str">
            <v>0</v>
          </cell>
          <cell r="S223" t="str">
            <v>0</v>
          </cell>
          <cell r="T223" t="str">
            <v>0</v>
          </cell>
          <cell r="U223" t="str">
            <v>0</v>
          </cell>
          <cell r="V223" t="str">
            <v>0</v>
          </cell>
          <cell r="W223" t="str">
            <v>0</v>
          </cell>
          <cell r="X223" t="str">
            <v>0</v>
          </cell>
          <cell r="Y223" t="str">
            <v>0</v>
          </cell>
          <cell r="Z223" t="str">
            <v>0</v>
          </cell>
          <cell r="AA223" t="str">
            <v>0</v>
          </cell>
          <cell r="AB223" t="str">
            <v>0</v>
          </cell>
          <cell r="AC223" t="str">
            <v>0</v>
          </cell>
          <cell r="AD223" t="str">
            <v>0</v>
          </cell>
          <cell r="AE223" t="str">
            <v>0</v>
          </cell>
        </row>
        <row r="224">
          <cell r="D224" t="str">
            <v>05-Aug</v>
          </cell>
          <cell r="E224" t="str">
            <v>0</v>
          </cell>
          <cell r="F224" t="str">
            <v>0</v>
          </cell>
          <cell r="G224" t="str">
            <v>0</v>
          </cell>
          <cell r="H224" t="str">
            <v>0</v>
          </cell>
          <cell r="I224" t="str">
            <v>0</v>
          </cell>
          <cell r="J224" t="str">
            <v>0</v>
          </cell>
          <cell r="K224" t="str">
            <v>0</v>
          </cell>
          <cell r="L224" t="str">
            <v>0</v>
          </cell>
          <cell r="M224" t="str">
            <v>0</v>
          </cell>
          <cell r="N224" t="str">
            <v>0</v>
          </cell>
          <cell r="O224" t="str">
            <v>0</v>
          </cell>
          <cell r="P224" t="str">
            <v>0</v>
          </cell>
          <cell r="Q224" t="str">
            <v>0</v>
          </cell>
          <cell r="R224" t="str">
            <v>0</v>
          </cell>
          <cell r="S224" t="str">
            <v>0</v>
          </cell>
          <cell r="T224" t="str">
            <v>0</v>
          </cell>
          <cell r="U224" t="str">
            <v>0</v>
          </cell>
          <cell r="V224" t="str">
            <v>0</v>
          </cell>
          <cell r="W224" t="str">
            <v>0</v>
          </cell>
          <cell r="X224" t="str">
            <v>0</v>
          </cell>
          <cell r="Y224" t="str">
            <v>0</v>
          </cell>
          <cell r="Z224" t="str">
            <v>0</v>
          </cell>
          <cell r="AA224" t="str">
            <v>0</v>
          </cell>
          <cell r="AB224" t="str">
            <v>0</v>
          </cell>
          <cell r="AC224" t="str">
            <v>0</v>
          </cell>
          <cell r="AD224" t="str">
            <v>0</v>
          </cell>
          <cell r="AE224" t="str">
            <v>0</v>
          </cell>
        </row>
        <row r="225">
          <cell r="D225" t="str">
            <v>06-Aug</v>
          </cell>
          <cell r="E225" t="str">
            <v>0</v>
          </cell>
          <cell r="F225" t="str">
            <v>0</v>
          </cell>
          <cell r="G225" t="str">
            <v>0</v>
          </cell>
          <cell r="H225" t="str">
            <v>0</v>
          </cell>
          <cell r="I225" t="str">
            <v>0</v>
          </cell>
          <cell r="J225" t="str">
            <v>0</v>
          </cell>
          <cell r="K225" t="str">
            <v>0</v>
          </cell>
          <cell r="L225" t="str">
            <v>0</v>
          </cell>
          <cell r="M225" t="str">
            <v>0</v>
          </cell>
          <cell r="N225" t="str">
            <v>0</v>
          </cell>
          <cell r="O225" t="str">
            <v>0</v>
          </cell>
          <cell r="P225" t="str">
            <v>0</v>
          </cell>
          <cell r="Q225" t="str">
            <v>0</v>
          </cell>
          <cell r="R225" t="str">
            <v>0</v>
          </cell>
          <cell r="S225" t="str">
            <v>0</v>
          </cell>
          <cell r="T225" t="str">
            <v>0</v>
          </cell>
          <cell r="U225" t="str">
            <v>0</v>
          </cell>
          <cell r="V225" t="str">
            <v>0</v>
          </cell>
          <cell r="W225" t="str">
            <v>0</v>
          </cell>
          <cell r="X225" t="str">
            <v>0</v>
          </cell>
          <cell r="Y225" t="str">
            <v>0</v>
          </cell>
          <cell r="Z225" t="str">
            <v>0</v>
          </cell>
          <cell r="AA225" t="str">
            <v>0</v>
          </cell>
          <cell r="AB225" t="str">
            <v>0</v>
          </cell>
          <cell r="AC225" t="str">
            <v>0</v>
          </cell>
          <cell r="AD225" t="str">
            <v>0</v>
          </cell>
          <cell r="AE225" t="str">
            <v>0</v>
          </cell>
        </row>
        <row r="226">
          <cell r="D226" t="str">
            <v>07-Aug</v>
          </cell>
          <cell r="E226" t="str">
            <v>0</v>
          </cell>
          <cell r="F226" t="str">
            <v>0</v>
          </cell>
          <cell r="G226" t="str">
            <v>0</v>
          </cell>
          <cell r="H226" t="str">
            <v>0</v>
          </cell>
          <cell r="I226" t="str">
            <v>0</v>
          </cell>
          <cell r="J226" t="str">
            <v>0</v>
          </cell>
          <cell r="K226" t="str">
            <v>0</v>
          </cell>
          <cell r="L226" t="str">
            <v>0</v>
          </cell>
          <cell r="M226" t="str">
            <v>0</v>
          </cell>
          <cell r="N226" t="str">
            <v>0</v>
          </cell>
          <cell r="O226" t="str">
            <v>0</v>
          </cell>
          <cell r="P226" t="str">
            <v>0</v>
          </cell>
          <cell r="Q226" t="str">
            <v>0</v>
          </cell>
          <cell r="R226" t="str">
            <v>0</v>
          </cell>
          <cell r="S226" t="str">
            <v>0</v>
          </cell>
          <cell r="T226" t="str">
            <v>0</v>
          </cell>
          <cell r="U226" t="str">
            <v>0</v>
          </cell>
          <cell r="V226" t="str">
            <v>0</v>
          </cell>
          <cell r="W226" t="str">
            <v>0</v>
          </cell>
          <cell r="X226" t="str">
            <v>0</v>
          </cell>
          <cell r="Y226" t="str">
            <v>0</v>
          </cell>
          <cell r="Z226" t="str">
            <v>0</v>
          </cell>
          <cell r="AA226" t="str">
            <v>0</v>
          </cell>
          <cell r="AB226" t="str">
            <v>0</v>
          </cell>
          <cell r="AC226" t="str">
            <v>0</v>
          </cell>
          <cell r="AD226" t="str">
            <v>0</v>
          </cell>
          <cell r="AE226" t="str">
            <v>0</v>
          </cell>
        </row>
        <row r="227">
          <cell r="D227" t="str">
            <v>08-Aug</v>
          </cell>
          <cell r="E227" t="str">
            <v>0</v>
          </cell>
          <cell r="F227" t="str">
            <v>0</v>
          </cell>
          <cell r="G227" t="str">
            <v>0</v>
          </cell>
          <cell r="H227" t="str">
            <v>0</v>
          </cell>
          <cell r="I227" t="str">
            <v>0</v>
          </cell>
          <cell r="J227" t="str">
            <v>0</v>
          </cell>
          <cell r="K227" t="str">
            <v>0</v>
          </cell>
          <cell r="L227" t="str">
            <v>0</v>
          </cell>
          <cell r="M227" t="str">
            <v>0</v>
          </cell>
          <cell r="N227" t="str">
            <v>0</v>
          </cell>
          <cell r="O227" t="str">
            <v>0</v>
          </cell>
          <cell r="P227" t="str">
            <v>0</v>
          </cell>
          <cell r="Q227" t="str">
            <v>0</v>
          </cell>
          <cell r="R227" t="str">
            <v>0</v>
          </cell>
          <cell r="S227" t="str">
            <v>0</v>
          </cell>
          <cell r="T227" t="str">
            <v>0</v>
          </cell>
          <cell r="U227" t="str">
            <v>0</v>
          </cell>
          <cell r="V227" t="str">
            <v>0</v>
          </cell>
          <cell r="W227" t="str">
            <v>0</v>
          </cell>
          <cell r="X227" t="str">
            <v>0</v>
          </cell>
          <cell r="Y227" t="str">
            <v>0</v>
          </cell>
          <cell r="Z227" t="str">
            <v>0</v>
          </cell>
          <cell r="AA227" t="str">
            <v>0</v>
          </cell>
          <cell r="AB227" t="str">
            <v>0</v>
          </cell>
          <cell r="AC227" t="str">
            <v>0</v>
          </cell>
          <cell r="AD227" t="str">
            <v>0</v>
          </cell>
          <cell r="AE227" t="str">
            <v>0</v>
          </cell>
        </row>
        <row r="228">
          <cell r="D228" t="str">
            <v>09-Aug</v>
          </cell>
          <cell r="E228" t="str">
            <v>0</v>
          </cell>
          <cell r="F228" t="str">
            <v>0</v>
          </cell>
          <cell r="G228" t="str">
            <v>0</v>
          </cell>
          <cell r="H228" t="str">
            <v>0</v>
          </cell>
          <cell r="I228" t="str">
            <v>0</v>
          </cell>
          <cell r="J228" t="str">
            <v>0</v>
          </cell>
          <cell r="K228" t="str">
            <v>0</v>
          </cell>
          <cell r="L228" t="str">
            <v>0</v>
          </cell>
          <cell r="M228" t="str">
            <v>0</v>
          </cell>
          <cell r="N228" t="str">
            <v>0</v>
          </cell>
          <cell r="O228" t="str">
            <v>0</v>
          </cell>
          <cell r="P228" t="str">
            <v>0</v>
          </cell>
          <cell r="Q228" t="str">
            <v>0</v>
          </cell>
          <cell r="R228" t="str">
            <v>0</v>
          </cell>
          <cell r="S228" t="str">
            <v>0</v>
          </cell>
          <cell r="T228" t="str">
            <v>0</v>
          </cell>
          <cell r="U228" t="str">
            <v>0</v>
          </cell>
          <cell r="V228" t="str">
            <v>0</v>
          </cell>
          <cell r="W228" t="str">
            <v>0</v>
          </cell>
          <cell r="X228" t="str">
            <v>0</v>
          </cell>
          <cell r="Y228" t="str">
            <v>0</v>
          </cell>
          <cell r="Z228" t="str">
            <v>0</v>
          </cell>
          <cell r="AA228" t="str">
            <v>0</v>
          </cell>
          <cell r="AB228" t="str">
            <v>0</v>
          </cell>
          <cell r="AC228" t="str">
            <v>0</v>
          </cell>
          <cell r="AD228" t="str">
            <v>0</v>
          </cell>
          <cell r="AE228" t="str">
            <v>0</v>
          </cell>
        </row>
        <row r="229">
          <cell r="D229" t="str">
            <v>10-Aug</v>
          </cell>
          <cell r="E229" t="str">
            <v>0</v>
          </cell>
          <cell r="F229" t="str">
            <v>0</v>
          </cell>
          <cell r="G229" t="str">
            <v>0</v>
          </cell>
          <cell r="H229" t="str">
            <v>0</v>
          </cell>
          <cell r="I229" t="str">
            <v>0</v>
          </cell>
          <cell r="J229" t="str">
            <v>0</v>
          </cell>
          <cell r="K229" t="str">
            <v>0</v>
          </cell>
          <cell r="L229" t="str">
            <v>0</v>
          </cell>
          <cell r="M229" t="str">
            <v>0</v>
          </cell>
          <cell r="N229" t="str">
            <v>0</v>
          </cell>
          <cell r="O229" t="str">
            <v>0</v>
          </cell>
          <cell r="P229" t="str">
            <v>0</v>
          </cell>
          <cell r="Q229" t="str">
            <v>0</v>
          </cell>
          <cell r="R229" t="str">
            <v>0</v>
          </cell>
          <cell r="S229" t="str">
            <v>0</v>
          </cell>
          <cell r="T229" t="str">
            <v>0</v>
          </cell>
          <cell r="U229" t="str">
            <v>0</v>
          </cell>
          <cell r="V229" t="str">
            <v>0</v>
          </cell>
          <cell r="W229" t="str">
            <v>0</v>
          </cell>
          <cell r="X229" t="str">
            <v>0</v>
          </cell>
          <cell r="Y229" t="str">
            <v>0</v>
          </cell>
          <cell r="Z229" t="str">
            <v>0</v>
          </cell>
          <cell r="AA229" t="str">
            <v>0</v>
          </cell>
          <cell r="AB229" t="str">
            <v>0</v>
          </cell>
          <cell r="AC229" t="str">
            <v>0</v>
          </cell>
          <cell r="AD229" t="str">
            <v>0</v>
          </cell>
          <cell r="AE229" t="str">
            <v>0</v>
          </cell>
        </row>
        <row r="230">
          <cell r="D230" t="str">
            <v>11-Aug</v>
          </cell>
          <cell r="E230" t="str">
            <v>0</v>
          </cell>
          <cell r="F230" t="str">
            <v>0</v>
          </cell>
          <cell r="G230" t="str">
            <v>0</v>
          </cell>
          <cell r="H230" t="str">
            <v>0</v>
          </cell>
          <cell r="I230" t="str">
            <v>0</v>
          </cell>
          <cell r="J230" t="str">
            <v>0</v>
          </cell>
          <cell r="K230" t="str">
            <v>0</v>
          </cell>
          <cell r="L230" t="str">
            <v>0</v>
          </cell>
          <cell r="M230" t="str">
            <v>0</v>
          </cell>
          <cell r="N230" t="str">
            <v>0</v>
          </cell>
          <cell r="O230" t="str">
            <v>0</v>
          </cell>
          <cell r="P230" t="str">
            <v>0</v>
          </cell>
          <cell r="Q230" t="str">
            <v>0</v>
          </cell>
          <cell r="R230" t="str">
            <v>0</v>
          </cell>
          <cell r="S230" t="str">
            <v>0</v>
          </cell>
          <cell r="T230" t="str">
            <v>0</v>
          </cell>
          <cell r="U230" t="str">
            <v>0</v>
          </cell>
          <cell r="V230" t="str">
            <v>0</v>
          </cell>
          <cell r="W230" t="str">
            <v>0</v>
          </cell>
          <cell r="X230" t="str">
            <v>0</v>
          </cell>
          <cell r="Y230" t="str">
            <v>0</v>
          </cell>
          <cell r="Z230" t="str">
            <v>0</v>
          </cell>
          <cell r="AA230" t="str">
            <v>0</v>
          </cell>
          <cell r="AB230" t="str">
            <v>0</v>
          </cell>
          <cell r="AC230" t="str">
            <v>0</v>
          </cell>
          <cell r="AD230" t="str">
            <v>0</v>
          </cell>
          <cell r="AE230" t="str">
            <v>0</v>
          </cell>
        </row>
        <row r="231">
          <cell r="D231" t="str">
            <v>12-Aug</v>
          </cell>
          <cell r="E231" t="str">
            <v>0</v>
          </cell>
          <cell r="F231" t="str">
            <v>0</v>
          </cell>
          <cell r="G231" t="str">
            <v>0</v>
          </cell>
          <cell r="H231" t="str">
            <v>0</v>
          </cell>
          <cell r="I231" t="str">
            <v>0</v>
          </cell>
          <cell r="J231" t="str">
            <v>0</v>
          </cell>
          <cell r="K231" t="str">
            <v>0</v>
          </cell>
          <cell r="L231" t="str">
            <v>0</v>
          </cell>
          <cell r="M231" t="str">
            <v>0</v>
          </cell>
          <cell r="N231" t="str">
            <v>0</v>
          </cell>
          <cell r="O231" t="str">
            <v>0</v>
          </cell>
          <cell r="P231" t="str">
            <v>0</v>
          </cell>
          <cell r="Q231" t="str">
            <v>0</v>
          </cell>
          <cell r="R231" t="str">
            <v>0</v>
          </cell>
          <cell r="S231" t="str">
            <v>0</v>
          </cell>
          <cell r="T231" t="str">
            <v>0</v>
          </cell>
          <cell r="U231" t="str">
            <v>0</v>
          </cell>
          <cell r="V231" t="str">
            <v>0</v>
          </cell>
          <cell r="W231" t="str">
            <v>0</v>
          </cell>
          <cell r="X231" t="str">
            <v>0</v>
          </cell>
          <cell r="Y231" t="str">
            <v>0</v>
          </cell>
          <cell r="Z231" t="str">
            <v>0</v>
          </cell>
          <cell r="AA231" t="str">
            <v>0</v>
          </cell>
          <cell r="AB231" t="str">
            <v>0</v>
          </cell>
          <cell r="AC231" t="str">
            <v>0</v>
          </cell>
          <cell r="AD231" t="str">
            <v>0</v>
          </cell>
          <cell r="AE231" t="str">
            <v>0</v>
          </cell>
        </row>
        <row r="232">
          <cell r="D232" t="str">
            <v>13-Aug</v>
          </cell>
          <cell r="E232" t="str">
            <v>0</v>
          </cell>
          <cell r="F232" t="str">
            <v>0</v>
          </cell>
          <cell r="G232" t="str">
            <v>0</v>
          </cell>
          <cell r="H232" t="str">
            <v>0</v>
          </cell>
          <cell r="I232" t="str">
            <v>0</v>
          </cell>
          <cell r="J232" t="str">
            <v>0</v>
          </cell>
          <cell r="K232" t="str">
            <v>0</v>
          </cell>
          <cell r="L232" t="str">
            <v>0</v>
          </cell>
          <cell r="M232" t="str">
            <v>0</v>
          </cell>
          <cell r="N232" t="str">
            <v>0</v>
          </cell>
          <cell r="O232" t="str">
            <v>0</v>
          </cell>
          <cell r="P232" t="str">
            <v>0</v>
          </cell>
          <cell r="Q232" t="str">
            <v>0</v>
          </cell>
          <cell r="R232" t="str">
            <v>0</v>
          </cell>
          <cell r="S232" t="str">
            <v>0</v>
          </cell>
          <cell r="T232" t="str">
            <v>0</v>
          </cell>
          <cell r="U232" t="str">
            <v>0</v>
          </cell>
          <cell r="V232" t="str">
            <v>0</v>
          </cell>
          <cell r="W232" t="str">
            <v>0</v>
          </cell>
          <cell r="X232" t="str">
            <v>0</v>
          </cell>
          <cell r="Y232" t="str">
            <v>0</v>
          </cell>
          <cell r="Z232" t="str">
            <v>0</v>
          </cell>
          <cell r="AA232" t="str">
            <v>0</v>
          </cell>
          <cell r="AB232" t="str">
            <v>0</v>
          </cell>
          <cell r="AC232" t="str">
            <v>0</v>
          </cell>
          <cell r="AD232" t="str">
            <v>0</v>
          </cell>
          <cell r="AE232" t="str">
            <v>0</v>
          </cell>
        </row>
        <row r="233">
          <cell r="D233" t="str">
            <v>14-Aug</v>
          </cell>
          <cell r="E233" t="str">
            <v>0</v>
          </cell>
          <cell r="F233" t="str">
            <v>0</v>
          </cell>
          <cell r="G233" t="str">
            <v>0</v>
          </cell>
          <cell r="H233" t="str">
            <v>0</v>
          </cell>
          <cell r="I233" t="str">
            <v>0</v>
          </cell>
          <cell r="J233" t="str">
            <v>0</v>
          </cell>
          <cell r="K233" t="str">
            <v>0</v>
          </cell>
          <cell r="L233" t="str">
            <v>0</v>
          </cell>
          <cell r="M233" t="str">
            <v>0</v>
          </cell>
          <cell r="N233" t="str">
            <v>0</v>
          </cell>
          <cell r="O233" t="str">
            <v>0</v>
          </cell>
          <cell r="P233" t="str">
            <v>0</v>
          </cell>
          <cell r="Q233" t="str">
            <v>0</v>
          </cell>
          <cell r="R233" t="str">
            <v>0</v>
          </cell>
          <cell r="S233" t="str">
            <v>0</v>
          </cell>
          <cell r="T233" t="str">
            <v>0</v>
          </cell>
          <cell r="U233" t="str">
            <v>0</v>
          </cell>
          <cell r="V233" t="str">
            <v>0</v>
          </cell>
          <cell r="W233" t="str">
            <v>0</v>
          </cell>
          <cell r="X233" t="str">
            <v>0</v>
          </cell>
          <cell r="Y233" t="str">
            <v>0</v>
          </cell>
          <cell r="Z233" t="str">
            <v>0</v>
          </cell>
          <cell r="AA233" t="str">
            <v>0</v>
          </cell>
          <cell r="AB233" t="str">
            <v>0</v>
          </cell>
          <cell r="AC233" t="str">
            <v>0</v>
          </cell>
          <cell r="AD233" t="str">
            <v>0</v>
          </cell>
          <cell r="AE233" t="str">
            <v>0</v>
          </cell>
        </row>
        <row r="234">
          <cell r="D234" t="str">
            <v>15-Aug</v>
          </cell>
          <cell r="E234" t="str">
            <v>0</v>
          </cell>
          <cell r="F234" t="str">
            <v>0</v>
          </cell>
          <cell r="G234" t="str">
            <v>0</v>
          </cell>
          <cell r="H234" t="str">
            <v>0</v>
          </cell>
          <cell r="I234" t="str">
            <v>0</v>
          </cell>
          <cell r="J234" t="str">
            <v>0</v>
          </cell>
          <cell r="K234" t="str">
            <v>0</v>
          </cell>
          <cell r="L234" t="str">
            <v>0</v>
          </cell>
          <cell r="M234" t="str">
            <v>0</v>
          </cell>
          <cell r="N234" t="str">
            <v>0</v>
          </cell>
          <cell r="O234" t="str">
            <v>0</v>
          </cell>
          <cell r="P234" t="str">
            <v>0</v>
          </cell>
          <cell r="Q234" t="str">
            <v>0</v>
          </cell>
          <cell r="R234" t="str">
            <v>0</v>
          </cell>
          <cell r="S234" t="str">
            <v>0</v>
          </cell>
          <cell r="T234" t="str">
            <v>0</v>
          </cell>
          <cell r="U234" t="str">
            <v>0</v>
          </cell>
          <cell r="V234" t="str">
            <v>0</v>
          </cell>
          <cell r="W234" t="str">
            <v>0</v>
          </cell>
          <cell r="X234" t="str">
            <v>0</v>
          </cell>
          <cell r="Y234" t="str">
            <v>0</v>
          </cell>
          <cell r="Z234" t="str">
            <v>0</v>
          </cell>
          <cell r="AA234" t="str">
            <v>0</v>
          </cell>
          <cell r="AB234" t="str">
            <v>0</v>
          </cell>
          <cell r="AC234" t="str">
            <v>0</v>
          </cell>
          <cell r="AD234" t="str">
            <v>0</v>
          </cell>
          <cell r="AE234" t="str">
            <v>0</v>
          </cell>
        </row>
        <row r="235">
          <cell r="D235" t="str">
            <v>16-Aug</v>
          </cell>
          <cell r="E235" t="str">
            <v>0</v>
          </cell>
          <cell r="F235" t="str">
            <v>0</v>
          </cell>
          <cell r="G235" t="str">
            <v>0</v>
          </cell>
          <cell r="H235" t="str">
            <v>0</v>
          </cell>
          <cell r="I235" t="str">
            <v>0</v>
          </cell>
          <cell r="J235" t="str">
            <v>0</v>
          </cell>
          <cell r="K235" t="str">
            <v>0</v>
          </cell>
          <cell r="L235" t="str">
            <v>0</v>
          </cell>
          <cell r="M235" t="str">
            <v>0</v>
          </cell>
          <cell r="N235" t="str">
            <v>0</v>
          </cell>
          <cell r="O235" t="str">
            <v>0</v>
          </cell>
          <cell r="P235" t="str">
            <v>0</v>
          </cell>
          <cell r="Q235" t="str">
            <v>0</v>
          </cell>
          <cell r="R235" t="str">
            <v>0</v>
          </cell>
          <cell r="S235" t="str">
            <v>0</v>
          </cell>
          <cell r="T235" t="str">
            <v>0</v>
          </cell>
          <cell r="U235" t="str">
            <v>0</v>
          </cell>
          <cell r="V235" t="str">
            <v>0</v>
          </cell>
          <cell r="W235" t="str">
            <v>0</v>
          </cell>
          <cell r="X235" t="str">
            <v>0</v>
          </cell>
          <cell r="Y235" t="str">
            <v>0</v>
          </cell>
          <cell r="Z235" t="str">
            <v>0</v>
          </cell>
          <cell r="AA235" t="str">
            <v>0</v>
          </cell>
          <cell r="AB235" t="str">
            <v>0</v>
          </cell>
          <cell r="AC235" t="str">
            <v>0</v>
          </cell>
          <cell r="AD235" t="str">
            <v>0</v>
          </cell>
          <cell r="AE235" t="str">
            <v>0</v>
          </cell>
        </row>
        <row r="236">
          <cell r="D236" t="str">
            <v>17-Aug</v>
          </cell>
          <cell r="E236" t="str">
            <v>0</v>
          </cell>
          <cell r="F236" t="str">
            <v>0</v>
          </cell>
          <cell r="G236" t="str">
            <v>0</v>
          </cell>
          <cell r="H236" t="str">
            <v>0</v>
          </cell>
          <cell r="I236" t="str">
            <v>0</v>
          </cell>
          <cell r="J236" t="str">
            <v>0</v>
          </cell>
          <cell r="K236" t="str">
            <v>0</v>
          </cell>
          <cell r="L236" t="str">
            <v>0</v>
          </cell>
          <cell r="M236" t="str">
            <v>0</v>
          </cell>
          <cell r="N236" t="str">
            <v>0</v>
          </cell>
          <cell r="O236" t="str">
            <v>0</v>
          </cell>
          <cell r="P236" t="str">
            <v>0</v>
          </cell>
          <cell r="Q236" t="str">
            <v>0</v>
          </cell>
          <cell r="R236" t="str">
            <v>0</v>
          </cell>
          <cell r="S236" t="str">
            <v>0</v>
          </cell>
          <cell r="T236" t="str">
            <v>0</v>
          </cell>
          <cell r="U236" t="str">
            <v>0</v>
          </cell>
          <cell r="V236" t="str">
            <v>0</v>
          </cell>
          <cell r="W236" t="str">
            <v>0</v>
          </cell>
          <cell r="X236" t="str">
            <v>0</v>
          </cell>
          <cell r="Y236" t="str">
            <v>0</v>
          </cell>
          <cell r="Z236" t="str">
            <v>0</v>
          </cell>
          <cell r="AA236" t="str">
            <v>0</v>
          </cell>
          <cell r="AB236" t="str">
            <v>0</v>
          </cell>
          <cell r="AC236" t="str">
            <v>0</v>
          </cell>
          <cell r="AD236" t="str">
            <v>0</v>
          </cell>
          <cell r="AE236" t="str">
            <v>0</v>
          </cell>
        </row>
        <row r="237">
          <cell r="D237" t="str">
            <v>18-Aug</v>
          </cell>
          <cell r="E237" t="str">
            <v>0</v>
          </cell>
          <cell r="F237" t="str">
            <v>0</v>
          </cell>
          <cell r="G237" t="str">
            <v>0</v>
          </cell>
          <cell r="H237" t="str">
            <v>0</v>
          </cell>
          <cell r="I237" t="str">
            <v>0</v>
          </cell>
          <cell r="J237" t="str">
            <v>0</v>
          </cell>
          <cell r="K237" t="str">
            <v>0</v>
          </cell>
          <cell r="L237" t="str">
            <v>0</v>
          </cell>
          <cell r="M237" t="str">
            <v>0</v>
          </cell>
          <cell r="N237" t="str">
            <v>0</v>
          </cell>
          <cell r="O237" t="str">
            <v>0</v>
          </cell>
          <cell r="P237" t="str">
            <v>0</v>
          </cell>
          <cell r="Q237" t="str">
            <v>0</v>
          </cell>
          <cell r="R237" t="str">
            <v>0</v>
          </cell>
          <cell r="S237" t="str">
            <v>0</v>
          </cell>
          <cell r="T237" t="str">
            <v>0</v>
          </cell>
          <cell r="U237" t="str">
            <v>0</v>
          </cell>
          <cell r="V237" t="str">
            <v>0</v>
          </cell>
          <cell r="W237" t="str">
            <v>0</v>
          </cell>
          <cell r="X237" t="str">
            <v>0</v>
          </cell>
          <cell r="Y237" t="str">
            <v>0</v>
          </cell>
          <cell r="Z237" t="str">
            <v>0</v>
          </cell>
          <cell r="AA237" t="str">
            <v>0</v>
          </cell>
          <cell r="AB237" t="str">
            <v>0</v>
          </cell>
          <cell r="AC237" t="str">
            <v>0</v>
          </cell>
          <cell r="AD237" t="str">
            <v>0</v>
          </cell>
          <cell r="AE237" t="str">
            <v>0</v>
          </cell>
        </row>
        <row r="238">
          <cell r="D238" t="str">
            <v>19-Aug</v>
          </cell>
          <cell r="E238" t="str">
            <v>0</v>
          </cell>
          <cell r="F238" t="str">
            <v>0</v>
          </cell>
          <cell r="G238" t="str">
            <v>0</v>
          </cell>
          <cell r="H238" t="str">
            <v>0</v>
          </cell>
          <cell r="I238" t="str">
            <v>0</v>
          </cell>
          <cell r="J238" t="str">
            <v>0</v>
          </cell>
          <cell r="K238" t="str">
            <v>0</v>
          </cell>
          <cell r="L238" t="str">
            <v>0</v>
          </cell>
          <cell r="M238" t="str">
            <v>0</v>
          </cell>
          <cell r="N238" t="str">
            <v>0</v>
          </cell>
          <cell r="O238" t="str">
            <v>0</v>
          </cell>
          <cell r="P238" t="str">
            <v>0</v>
          </cell>
          <cell r="Q238" t="str">
            <v>0</v>
          </cell>
          <cell r="R238" t="str">
            <v>0</v>
          </cell>
          <cell r="S238" t="str">
            <v>0</v>
          </cell>
          <cell r="T238" t="str">
            <v>0</v>
          </cell>
          <cell r="U238" t="str">
            <v>0</v>
          </cell>
          <cell r="V238" t="str">
            <v>0</v>
          </cell>
          <cell r="W238" t="str">
            <v>0</v>
          </cell>
          <cell r="X238" t="str">
            <v>0</v>
          </cell>
          <cell r="Y238" t="str">
            <v>0</v>
          </cell>
          <cell r="Z238" t="str">
            <v>0</v>
          </cell>
          <cell r="AA238" t="str">
            <v>0</v>
          </cell>
          <cell r="AB238" t="str">
            <v>0</v>
          </cell>
          <cell r="AC238" t="str">
            <v>0</v>
          </cell>
          <cell r="AD238" t="str">
            <v>0</v>
          </cell>
          <cell r="AE238" t="str">
            <v>0</v>
          </cell>
        </row>
        <row r="239">
          <cell r="D239" t="str">
            <v>20-Aug</v>
          </cell>
          <cell r="E239" t="str">
            <v>0</v>
          </cell>
          <cell r="F239" t="str">
            <v>0</v>
          </cell>
          <cell r="G239" t="str">
            <v>0</v>
          </cell>
          <cell r="H239" t="str">
            <v>0</v>
          </cell>
          <cell r="I239" t="str">
            <v>0</v>
          </cell>
          <cell r="J239" t="str">
            <v>0</v>
          </cell>
          <cell r="K239" t="str">
            <v>0</v>
          </cell>
          <cell r="L239" t="str">
            <v>0</v>
          </cell>
          <cell r="M239" t="str">
            <v>0</v>
          </cell>
          <cell r="N239" t="str">
            <v>0</v>
          </cell>
          <cell r="O239" t="str">
            <v>0</v>
          </cell>
          <cell r="P239" t="str">
            <v>0</v>
          </cell>
          <cell r="Q239" t="str">
            <v>0</v>
          </cell>
          <cell r="R239" t="str">
            <v>0</v>
          </cell>
          <cell r="S239" t="str">
            <v>0</v>
          </cell>
          <cell r="T239" t="str">
            <v>0</v>
          </cell>
          <cell r="U239" t="str">
            <v>0</v>
          </cell>
          <cell r="V239" t="str">
            <v>0</v>
          </cell>
          <cell r="W239" t="str">
            <v>0</v>
          </cell>
          <cell r="X239" t="str">
            <v>0</v>
          </cell>
          <cell r="Y239" t="str">
            <v>0</v>
          </cell>
          <cell r="Z239" t="str">
            <v>0</v>
          </cell>
          <cell r="AA239" t="str">
            <v>0</v>
          </cell>
          <cell r="AB239" t="str">
            <v>0</v>
          </cell>
          <cell r="AC239" t="str">
            <v>0</v>
          </cell>
          <cell r="AD239" t="str">
            <v>0</v>
          </cell>
          <cell r="AE239" t="str">
            <v>0</v>
          </cell>
        </row>
        <row r="240">
          <cell r="D240" t="str">
            <v>21-Aug</v>
          </cell>
          <cell r="E240" t="str">
            <v>0</v>
          </cell>
          <cell r="F240" t="str">
            <v>0</v>
          </cell>
          <cell r="G240" t="str">
            <v>0</v>
          </cell>
          <cell r="H240" t="str">
            <v>0</v>
          </cell>
          <cell r="I240" t="str">
            <v>0</v>
          </cell>
          <cell r="J240" t="str">
            <v>0</v>
          </cell>
          <cell r="K240" t="str">
            <v>0</v>
          </cell>
          <cell r="L240" t="str">
            <v>0</v>
          </cell>
          <cell r="M240" t="str">
            <v>0</v>
          </cell>
          <cell r="N240" t="str">
            <v>0</v>
          </cell>
          <cell r="O240" t="str">
            <v>0</v>
          </cell>
          <cell r="P240" t="str">
            <v>0</v>
          </cell>
          <cell r="Q240" t="str">
            <v>0</v>
          </cell>
          <cell r="R240" t="str">
            <v>0</v>
          </cell>
          <cell r="S240" t="str">
            <v>0</v>
          </cell>
          <cell r="T240" t="str">
            <v>0</v>
          </cell>
          <cell r="U240" t="str">
            <v>0</v>
          </cell>
          <cell r="V240" t="str">
            <v>0</v>
          </cell>
          <cell r="W240" t="str">
            <v>0</v>
          </cell>
          <cell r="X240" t="str">
            <v>0</v>
          </cell>
          <cell r="Y240" t="str">
            <v>0</v>
          </cell>
          <cell r="Z240" t="str">
            <v>0</v>
          </cell>
          <cell r="AA240" t="str">
            <v>0</v>
          </cell>
          <cell r="AB240" t="str">
            <v>0</v>
          </cell>
          <cell r="AC240" t="str">
            <v>0</v>
          </cell>
          <cell r="AD240" t="str">
            <v>0</v>
          </cell>
          <cell r="AE240" t="str">
            <v>0</v>
          </cell>
        </row>
        <row r="241">
          <cell r="D241" t="str">
            <v>22-Aug</v>
          </cell>
          <cell r="E241" t="str">
            <v>0</v>
          </cell>
          <cell r="F241" t="str">
            <v>0</v>
          </cell>
          <cell r="G241" t="str">
            <v>0</v>
          </cell>
          <cell r="H241" t="str">
            <v>0</v>
          </cell>
          <cell r="I241" t="str">
            <v>0</v>
          </cell>
          <cell r="J241" t="str">
            <v>0</v>
          </cell>
          <cell r="K241" t="str">
            <v>0</v>
          </cell>
          <cell r="L241" t="str">
            <v>0</v>
          </cell>
          <cell r="M241" t="str">
            <v>0</v>
          </cell>
          <cell r="N241" t="str">
            <v>0</v>
          </cell>
          <cell r="O241" t="str">
            <v>0</v>
          </cell>
          <cell r="P241" t="str">
            <v>0</v>
          </cell>
          <cell r="Q241" t="str">
            <v>0</v>
          </cell>
          <cell r="R241" t="str">
            <v>0</v>
          </cell>
          <cell r="S241" t="str">
            <v>0</v>
          </cell>
          <cell r="T241" t="str">
            <v>0</v>
          </cell>
          <cell r="U241" t="str">
            <v>0</v>
          </cell>
          <cell r="V241" t="str">
            <v>0</v>
          </cell>
          <cell r="W241" t="str">
            <v>0</v>
          </cell>
          <cell r="X241" t="str">
            <v>0</v>
          </cell>
          <cell r="Y241" t="str">
            <v>0</v>
          </cell>
          <cell r="Z241" t="str">
            <v>0</v>
          </cell>
          <cell r="AA241" t="str">
            <v>0</v>
          </cell>
          <cell r="AB241" t="str">
            <v>0</v>
          </cell>
          <cell r="AC241" t="str">
            <v>0</v>
          </cell>
          <cell r="AD241" t="str">
            <v>0</v>
          </cell>
          <cell r="AE241" t="str">
            <v>0</v>
          </cell>
        </row>
        <row r="242">
          <cell r="D242" t="str">
            <v>23-Aug</v>
          </cell>
          <cell r="E242" t="str">
            <v>0</v>
          </cell>
          <cell r="F242" t="str">
            <v>0</v>
          </cell>
          <cell r="G242" t="str">
            <v>0</v>
          </cell>
          <cell r="H242" t="str">
            <v>0</v>
          </cell>
          <cell r="I242" t="str">
            <v>0</v>
          </cell>
          <cell r="J242" t="str">
            <v>0</v>
          </cell>
          <cell r="K242" t="str">
            <v>0</v>
          </cell>
          <cell r="L242" t="str">
            <v>0</v>
          </cell>
          <cell r="M242" t="str">
            <v>0</v>
          </cell>
          <cell r="N242" t="str">
            <v>0</v>
          </cell>
          <cell r="O242" t="str">
            <v>0</v>
          </cell>
          <cell r="P242" t="str">
            <v>0</v>
          </cell>
          <cell r="Q242" t="str">
            <v>0</v>
          </cell>
          <cell r="R242" t="str">
            <v>0</v>
          </cell>
          <cell r="S242" t="str">
            <v>0</v>
          </cell>
          <cell r="T242" t="str">
            <v>0</v>
          </cell>
          <cell r="U242" t="str">
            <v>0</v>
          </cell>
          <cell r="V242" t="str">
            <v>0</v>
          </cell>
          <cell r="W242" t="str">
            <v>0</v>
          </cell>
          <cell r="X242" t="str">
            <v>0</v>
          </cell>
          <cell r="Y242" t="str">
            <v>0</v>
          </cell>
          <cell r="Z242" t="str">
            <v>0</v>
          </cell>
          <cell r="AA242" t="str">
            <v>0</v>
          </cell>
          <cell r="AB242" t="str">
            <v>0</v>
          </cell>
          <cell r="AC242" t="str">
            <v>0</v>
          </cell>
          <cell r="AD242" t="str">
            <v>0</v>
          </cell>
          <cell r="AE242" t="str">
            <v>0</v>
          </cell>
        </row>
        <row r="243">
          <cell r="D243" t="str">
            <v>24-Aug</v>
          </cell>
          <cell r="E243" t="str">
            <v>0</v>
          </cell>
          <cell r="F243" t="str">
            <v>0</v>
          </cell>
          <cell r="G243" t="str">
            <v>0</v>
          </cell>
          <cell r="H243" t="str">
            <v>0</v>
          </cell>
          <cell r="I243" t="str">
            <v>0</v>
          </cell>
          <cell r="J243" t="str">
            <v>0</v>
          </cell>
          <cell r="K243" t="str">
            <v>0</v>
          </cell>
          <cell r="L243" t="str">
            <v>0</v>
          </cell>
          <cell r="M243" t="str">
            <v>0</v>
          </cell>
          <cell r="N243" t="str">
            <v>0</v>
          </cell>
          <cell r="O243" t="str">
            <v>0</v>
          </cell>
          <cell r="P243" t="str">
            <v>0</v>
          </cell>
          <cell r="Q243" t="str">
            <v>0</v>
          </cell>
          <cell r="R243" t="str">
            <v>0</v>
          </cell>
          <cell r="S243" t="str">
            <v>0</v>
          </cell>
          <cell r="T243" t="str">
            <v>0</v>
          </cell>
          <cell r="U243" t="str">
            <v>0</v>
          </cell>
          <cell r="V243" t="str">
            <v>0</v>
          </cell>
          <cell r="W243" t="str">
            <v>0</v>
          </cell>
          <cell r="X243" t="str">
            <v>0</v>
          </cell>
          <cell r="Y243" t="str">
            <v>0</v>
          </cell>
          <cell r="Z243" t="str">
            <v>0</v>
          </cell>
          <cell r="AA243" t="str">
            <v>0</v>
          </cell>
          <cell r="AB243" t="str">
            <v>0</v>
          </cell>
          <cell r="AC243" t="str">
            <v>0</v>
          </cell>
          <cell r="AD243" t="str">
            <v>0</v>
          </cell>
          <cell r="AE243" t="str">
            <v>0</v>
          </cell>
        </row>
        <row r="244">
          <cell r="D244" t="str">
            <v>25-Aug</v>
          </cell>
          <cell r="E244" t="str">
            <v>0</v>
          </cell>
          <cell r="F244" t="str">
            <v>0</v>
          </cell>
          <cell r="G244" t="str">
            <v>0</v>
          </cell>
          <cell r="H244" t="str">
            <v>0</v>
          </cell>
          <cell r="I244" t="str">
            <v>0</v>
          </cell>
          <cell r="J244" t="str">
            <v>0</v>
          </cell>
          <cell r="K244" t="str">
            <v>0</v>
          </cell>
          <cell r="L244" t="str">
            <v>0</v>
          </cell>
          <cell r="M244" t="str">
            <v>0</v>
          </cell>
          <cell r="N244" t="str">
            <v>0</v>
          </cell>
          <cell r="O244" t="str">
            <v>0</v>
          </cell>
          <cell r="P244" t="str">
            <v>0</v>
          </cell>
          <cell r="Q244" t="str">
            <v>0</v>
          </cell>
          <cell r="R244" t="str">
            <v>0</v>
          </cell>
          <cell r="S244" t="str">
            <v>0</v>
          </cell>
          <cell r="T244" t="str">
            <v>0</v>
          </cell>
          <cell r="U244" t="str">
            <v>0</v>
          </cell>
          <cell r="V244" t="str">
            <v>0</v>
          </cell>
          <cell r="W244" t="str">
            <v>0</v>
          </cell>
          <cell r="X244" t="str">
            <v>0</v>
          </cell>
          <cell r="Y244" t="str">
            <v>0</v>
          </cell>
          <cell r="Z244" t="str">
            <v>0</v>
          </cell>
          <cell r="AA244" t="str">
            <v>0</v>
          </cell>
          <cell r="AB244" t="str">
            <v>0</v>
          </cell>
          <cell r="AC244" t="str">
            <v>0</v>
          </cell>
          <cell r="AD244" t="str">
            <v>0</v>
          </cell>
          <cell r="AE244" t="str">
            <v>0</v>
          </cell>
        </row>
        <row r="245">
          <cell r="D245" t="str">
            <v>26-Aug</v>
          </cell>
          <cell r="E245" t="str">
            <v>0</v>
          </cell>
          <cell r="F245" t="str">
            <v>0</v>
          </cell>
          <cell r="G245" t="str">
            <v>0</v>
          </cell>
          <cell r="H245" t="str">
            <v>0</v>
          </cell>
          <cell r="I245" t="str">
            <v>0</v>
          </cell>
          <cell r="J245" t="str">
            <v>0</v>
          </cell>
          <cell r="K245" t="str">
            <v>0</v>
          </cell>
          <cell r="L245" t="str">
            <v>0</v>
          </cell>
          <cell r="M245" t="str">
            <v>0</v>
          </cell>
          <cell r="N245" t="str">
            <v>0</v>
          </cell>
          <cell r="O245" t="str">
            <v>0</v>
          </cell>
          <cell r="P245" t="str">
            <v>0</v>
          </cell>
          <cell r="Q245" t="str">
            <v>0</v>
          </cell>
          <cell r="R245" t="str">
            <v>0</v>
          </cell>
          <cell r="S245" t="str">
            <v>0</v>
          </cell>
          <cell r="T245" t="str">
            <v>0</v>
          </cell>
          <cell r="U245" t="str">
            <v>0</v>
          </cell>
          <cell r="V245" t="str">
            <v>0</v>
          </cell>
          <cell r="W245" t="str">
            <v>0</v>
          </cell>
          <cell r="X245" t="str">
            <v>0</v>
          </cell>
          <cell r="Y245" t="str">
            <v>0</v>
          </cell>
          <cell r="Z245" t="str">
            <v>0</v>
          </cell>
          <cell r="AA245" t="str">
            <v>0</v>
          </cell>
          <cell r="AB245" t="str">
            <v>0</v>
          </cell>
          <cell r="AC245" t="str">
            <v>0</v>
          </cell>
          <cell r="AD245" t="str">
            <v>0</v>
          </cell>
          <cell r="AE245" t="str">
            <v>0</v>
          </cell>
        </row>
        <row r="246">
          <cell r="D246" t="str">
            <v>27-Aug</v>
          </cell>
          <cell r="E246" t="str">
            <v>0</v>
          </cell>
          <cell r="F246" t="str">
            <v>0</v>
          </cell>
          <cell r="G246" t="str">
            <v>0</v>
          </cell>
          <cell r="H246" t="str">
            <v>0</v>
          </cell>
          <cell r="I246" t="str">
            <v>0</v>
          </cell>
          <cell r="J246" t="str">
            <v>0</v>
          </cell>
          <cell r="K246" t="str">
            <v>0</v>
          </cell>
          <cell r="L246" t="str">
            <v>0</v>
          </cell>
          <cell r="M246" t="str">
            <v>0</v>
          </cell>
          <cell r="N246" t="str">
            <v>0</v>
          </cell>
          <cell r="O246" t="str">
            <v>0</v>
          </cell>
          <cell r="P246" t="str">
            <v>0</v>
          </cell>
          <cell r="Q246" t="str">
            <v>0</v>
          </cell>
          <cell r="R246" t="str">
            <v>0</v>
          </cell>
          <cell r="S246" t="str">
            <v>0</v>
          </cell>
          <cell r="T246" t="str">
            <v>0</v>
          </cell>
          <cell r="U246" t="str">
            <v>0</v>
          </cell>
          <cell r="V246" t="str">
            <v>0</v>
          </cell>
          <cell r="W246" t="str">
            <v>0</v>
          </cell>
          <cell r="X246" t="str">
            <v>0</v>
          </cell>
          <cell r="Y246" t="str">
            <v>0</v>
          </cell>
          <cell r="Z246" t="str">
            <v>0</v>
          </cell>
          <cell r="AA246" t="str">
            <v>0</v>
          </cell>
          <cell r="AB246" t="str">
            <v>0</v>
          </cell>
          <cell r="AC246" t="str">
            <v>0</v>
          </cell>
          <cell r="AD246" t="str">
            <v>0</v>
          </cell>
          <cell r="AE246" t="str">
            <v>0</v>
          </cell>
        </row>
        <row r="247">
          <cell r="D247" t="str">
            <v>28-Aug</v>
          </cell>
          <cell r="E247" t="str">
            <v>0</v>
          </cell>
          <cell r="F247" t="str">
            <v>0</v>
          </cell>
          <cell r="G247" t="str">
            <v>0</v>
          </cell>
          <cell r="H247" t="str">
            <v>0</v>
          </cell>
          <cell r="I247" t="str">
            <v>0</v>
          </cell>
          <cell r="J247" t="str">
            <v>0</v>
          </cell>
          <cell r="K247" t="str">
            <v>0</v>
          </cell>
          <cell r="L247" t="str">
            <v>0</v>
          </cell>
          <cell r="M247" t="str">
            <v>0</v>
          </cell>
          <cell r="N247" t="str">
            <v>0</v>
          </cell>
          <cell r="O247" t="str">
            <v>0</v>
          </cell>
          <cell r="P247" t="str">
            <v>0</v>
          </cell>
          <cell r="Q247" t="str">
            <v>0</v>
          </cell>
          <cell r="R247" t="str">
            <v>0</v>
          </cell>
          <cell r="S247" t="str">
            <v>0</v>
          </cell>
          <cell r="T247" t="str">
            <v>0</v>
          </cell>
          <cell r="U247" t="str">
            <v>0</v>
          </cell>
          <cell r="V247" t="str">
            <v>0</v>
          </cell>
          <cell r="W247" t="str">
            <v>0</v>
          </cell>
          <cell r="X247" t="str">
            <v>0</v>
          </cell>
          <cell r="Y247" t="str">
            <v>0</v>
          </cell>
          <cell r="Z247" t="str">
            <v>0</v>
          </cell>
          <cell r="AA247" t="str">
            <v>0</v>
          </cell>
          <cell r="AB247" t="str">
            <v>0</v>
          </cell>
          <cell r="AC247" t="str">
            <v>0</v>
          </cell>
          <cell r="AD247" t="str">
            <v>0</v>
          </cell>
          <cell r="AE247" t="str">
            <v>0</v>
          </cell>
        </row>
        <row r="248">
          <cell r="D248" t="str">
            <v>29-Aug</v>
          </cell>
          <cell r="E248" t="str">
            <v>0</v>
          </cell>
          <cell r="F248" t="str">
            <v>0</v>
          </cell>
          <cell r="G248" t="str">
            <v>0</v>
          </cell>
          <cell r="H248" t="str">
            <v>0</v>
          </cell>
          <cell r="I248" t="str">
            <v>0</v>
          </cell>
          <cell r="J248" t="str">
            <v>0</v>
          </cell>
          <cell r="K248" t="str">
            <v>0</v>
          </cell>
          <cell r="L248" t="str">
            <v>0</v>
          </cell>
          <cell r="M248" t="str">
            <v>0</v>
          </cell>
          <cell r="N248" t="str">
            <v>0</v>
          </cell>
          <cell r="O248" t="str">
            <v>0</v>
          </cell>
          <cell r="P248" t="str">
            <v>0</v>
          </cell>
          <cell r="Q248" t="str">
            <v>0</v>
          </cell>
          <cell r="R248" t="str">
            <v>0</v>
          </cell>
          <cell r="S248" t="str">
            <v>0</v>
          </cell>
          <cell r="T248" t="str">
            <v>0</v>
          </cell>
          <cell r="U248" t="str">
            <v>0</v>
          </cell>
          <cell r="V248" t="str">
            <v>0</v>
          </cell>
          <cell r="W248" t="str">
            <v>0</v>
          </cell>
          <cell r="X248" t="str">
            <v>0</v>
          </cell>
          <cell r="Y248" t="str">
            <v>0</v>
          </cell>
          <cell r="Z248" t="str">
            <v>0</v>
          </cell>
          <cell r="AA248" t="str">
            <v>0</v>
          </cell>
          <cell r="AB248" t="str">
            <v>0</v>
          </cell>
          <cell r="AC248" t="str">
            <v>0</v>
          </cell>
          <cell r="AD248" t="str">
            <v>0</v>
          </cell>
          <cell r="AE248" t="str">
            <v>0</v>
          </cell>
        </row>
        <row r="249">
          <cell r="D249" t="str">
            <v>30-Aug</v>
          </cell>
          <cell r="E249" t="str">
            <v>0</v>
          </cell>
          <cell r="F249" t="str">
            <v>0</v>
          </cell>
          <cell r="G249" t="str">
            <v>0</v>
          </cell>
          <cell r="H249" t="str">
            <v>0</v>
          </cell>
          <cell r="I249" t="str">
            <v>0</v>
          </cell>
          <cell r="J249" t="str">
            <v>0</v>
          </cell>
          <cell r="K249" t="str">
            <v>0</v>
          </cell>
          <cell r="L249" t="str">
            <v>0</v>
          </cell>
          <cell r="M249" t="str">
            <v>0</v>
          </cell>
          <cell r="N249" t="str">
            <v>0</v>
          </cell>
          <cell r="O249" t="str">
            <v>0</v>
          </cell>
          <cell r="P249" t="str">
            <v>0</v>
          </cell>
          <cell r="Q249" t="str">
            <v>0</v>
          </cell>
          <cell r="R249" t="str">
            <v>0</v>
          </cell>
          <cell r="S249" t="str">
            <v>0</v>
          </cell>
          <cell r="T249" t="str">
            <v>0</v>
          </cell>
          <cell r="U249" t="str">
            <v>0</v>
          </cell>
          <cell r="V249" t="str">
            <v>0</v>
          </cell>
          <cell r="W249" t="str">
            <v>0</v>
          </cell>
          <cell r="X249" t="str">
            <v>0</v>
          </cell>
          <cell r="Y249" t="str">
            <v>0</v>
          </cell>
          <cell r="Z249" t="str">
            <v>0</v>
          </cell>
          <cell r="AA249" t="str">
            <v>0</v>
          </cell>
          <cell r="AB249" t="str">
            <v>0</v>
          </cell>
          <cell r="AC249" t="str">
            <v>0</v>
          </cell>
          <cell r="AD249" t="str">
            <v>0</v>
          </cell>
          <cell r="AE249" t="str">
            <v>0</v>
          </cell>
        </row>
        <row r="250">
          <cell r="D250" t="str">
            <v>31-Aug</v>
          </cell>
          <cell r="E250" t="str">
            <v>0</v>
          </cell>
          <cell r="F250" t="str">
            <v>0</v>
          </cell>
          <cell r="G250" t="str">
            <v>0</v>
          </cell>
          <cell r="H250" t="str">
            <v>0</v>
          </cell>
          <cell r="I250" t="str">
            <v>0</v>
          </cell>
          <cell r="J250" t="str">
            <v>0</v>
          </cell>
          <cell r="K250" t="str">
            <v>0</v>
          </cell>
          <cell r="L250" t="str">
            <v>0</v>
          </cell>
          <cell r="M250" t="str">
            <v>0</v>
          </cell>
          <cell r="N250" t="str">
            <v>0</v>
          </cell>
          <cell r="O250" t="str">
            <v>0</v>
          </cell>
          <cell r="P250" t="str">
            <v>0</v>
          </cell>
          <cell r="Q250" t="str">
            <v>0</v>
          </cell>
          <cell r="R250" t="str">
            <v>0</v>
          </cell>
          <cell r="S250" t="str">
            <v>0</v>
          </cell>
          <cell r="T250" t="str">
            <v>0</v>
          </cell>
          <cell r="U250" t="str">
            <v>0</v>
          </cell>
          <cell r="V250" t="str">
            <v>0</v>
          </cell>
          <cell r="W250" t="str">
            <v>0</v>
          </cell>
          <cell r="X250" t="str">
            <v>0</v>
          </cell>
          <cell r="Y250" t="str">
            <v>0</v>
          </cell>
          <cell r="Z250" t="str">
            <v>0</v>
          </cell>
          <cell r="AA250" t="str">
            <v>0</v>
          </cell>
          <cell r="AB250" t="str">
            <v>0</v>
          </cell>
          <cell r="AC250" t="str">
            <v>0</v>
          </cell>
          <cell r="AD250" t="str">
            <v>0</v>
          </cell>
          <cell r="AE250" t="str">
            <v>0</v>
          </cell>
        </row>
        <row r="251">
          <cell r="D251" t="str">
            <v>01-Sep</v>
          </cell>
          <cell r="E251" t="str">
            <v>0</v>
          </cell>
          <cell r="F251" t="str">
            <v>0</v>
          </cell>
          <cell r="G251" t="str">
            <v>0</v>
          </cell>
          <cell r="H251" t="str">
            <v>0</v>
          </cell>
          <cell r="I251" t="str">
            <v>0</v>
          </cell>
          <cell r="J251" t="str">
            <v>0</v>
          </cell>
          <cell r="K251" t="str">
            <v>0</v>
          </cell>
          <cell r="L251" t="str">
            <v>0</v>
          </cell>
          <cell r="M251" t="str">
            <v>0</v>
          </cell>
          <cell r="N251" t="str">
            <v>0</v>
          </cell>
          <cell r="O251" t="str">
            <v>0</v>
          </cell>
          <cell r="P251" t="str">
            <v>0</v>
          </cell>
          <cell r="Q251" t="str">
            <v>0</v>
          </cell>
          <cell r="R251" t="str">
            <v>0</v>
          </cell>
          <cell r="S251" t="str">
            <v>0</v>
          </cell>
          <cell r="T251" t="str">
            <v>0</v>
          </cell>
          <cell r="U251" t="str">
            <v>0</v>
          </cell>
          <cell r="V251" t="str">
            <v>0</v>
          </cell>
          <cell r="W251" t="str">
            <v>0</v>
          </cell>
          <cell r="X251" t="str">
            <v>0</v>
          </cell>
          <cell r="Y251" t="str">
            <v>0</v>
          </cell>
          <cell r="Z251" t="str">
            <v>0</v>
          </cell>
          <cell r="AA251" t="str">
            <v>0</v>
          </cell>
          <cell r="AB251" t="str">
            <v>0</v>
          </cell>
          <cell r="AC251" t="str">
            <v>0</v>
          </cell>
          <cell r="AD251" t="str">
            <v>0</v>
          </cell>
          <cell r="AE251" t="str">
            <v>0</v>
          </cell>
        </row>
        <row r="252">
          <cell r="D252" t="str">
            <v>02-Sep</v>
          </cell>
          <cell r="E252" t="str">
            <v>0</v>
          </cell>
          <cell r="F252" t="str">
            <v>0</v>
          </cell>
          <cell r="G252" t="str">
            <v>0</v>
          </cell>
          <cell r="H252" t="str">
            <v>0</v>
          </cell>
          <cell r="I252" t="str">
            <v>0</v>
          </cell>
          <cell r="J252" t="str">
            <v>0</v>
          </cell>
          <cell r="K252" t="str">
            <v>0</v>
          </cell>
          <cell r="L252" t="str">
            <v>0</v>
          </cell>
          <cell r="M252" t="str">
            <v>0</v>
          </cell>
          <cell r="N252" t="str">
            <v>0</v>
          </cell>
          <cell r="O252" t="str">
            <v>0</v>
          </cell>
          <cell r="P252" t="str">
            <v>0</v>
          </cell>
          <cell r="Q252" t="str">
            <v>0</v>
          </cell>
          <cell r="R252" t="str">
            <v>0</v>
          </cell>
          <cell r="S252" t="str">
            <v>0</v>
          </cell>
          <cell r="T252" t="str">
            <v>0</v>
          </cell>
          <cell r="U252" t="str">
            <v>0</v>
          </cell>
          <cell r="V252" t="str">
            <v>0</v>
          </cell>
          <cell r="W252" t="str">
            <v>0</v>
          </cell>
          <cell r="X252" t="str">
            <v>0</v>
          </cell>
          <cell r="Y252" t="str">
            <v>0</v>
          </cell>
          <cell r="Z252" t="str">
            <v>0</v>
          </cell>
          <cell r="AA252" t="str">
            <v>0</v>
          </cell>
          <cell r="AB252" t="str">
            <v>0</v>
          </cell>
          <cell r="AC252" t="str">
            <v>0</v>
          </cell>
          <cell r="AD252" t="str">
            <v>0</v>
          </cell>
          <cell r="AE252" t="str">
            <v>0</v>
          </cell>
        </row>
        <row r="253">
          <cell r="D253" t="str">
            <v>03-Sep</v>
          </cell>
          <cell r="E253" t="str">
            <v>0</v>
          </cell>
          <cell r="F253" t="str">
            <v>0</v>
          </cell>
          <cell r="G253" t="str">
            <v>0</v>
          </cell>
          <cell r="H253" t="str">
            <v>0</v>
          </cell>
          <cell r="I253" t="str">
            <v>0</v>
          </cell>
          <cell r="J253" t="str">
            <v>0</v>
          </cell>
          <cell r="K253" t="str">
            <v>0</v>
          </cell>
          <cell r="L253" t="str">
            <v>0</v>
          </cell>
          <cell r="M253" t="str">
            <v>0</v>
          </cell>
          <cell r="N253" t="str">
            <v>0</v>
          </cell>
          <cell r="O253" t="str">
            <v>0</v>
          </cell>
          <cell r="P253" t="str">
            <v>0</v>
          </cell>
          <cell r="Q253" t="str">
            <v>0</v>
          </cell>
          <cell r="R253" t="str">
            <v>0</v>
          </cell>
          <cell r="S253" t="str">
            <v>0</v>
          </cell>
          <cell r="T253" t="str">
            <v>0</v>
          </cell>
          <cell r="U253" t="str">
            <v>0</v>
          </cell>
          <cell r="V253" t="str">
            <v>0</v>
          </cell>
          <cell r="W253" t="str">
            <v>0</v>
          </cell>
          <cell r="X253" t="str">
            <v>0</v>
          </cell>
          <cell r="Y253" t="str">
            <v>0</v>
          </cell>
          <cell r="Z253" t="str">
            <v>0</v>
          </cell>
          <cell r="AA253" t="str">
            <v>0</v>
          </cell>
          <cell r="AB253" t="str">
            <v>0</v>
          </cell>
          <cell r="AC253" t="str">
            <v>0</v>
          </cell>
          <cell r="AD253" t="str">
            <v>0</v>
          </cell>
          <cell r="AE253" t="str">
            <v>0</v>
          </cell>
        </row>
        <row r="254">
          <cell r="D254" t="str">
            <v>04-Sep</v>
          </cell>
          <cell r="E254" t="str">
            <v>0</v>
          </cell>
          <cell r="F254" t="str">
            <v>0</v>
          </cell>
          <cell r="G254" t="str">
            <v>0</v>
          </cell>
          <cell r="H254" t="str">
            <v>0</v>
          </cell>
          <cell r="I254" t="str">
            <v>0</v>
          </cell>
          <cell r="J254" t="str">
            <v>0</v>
          </cell>
          <cell r="K254" t="str">
            <v>0</v>
          </cell>
          <cell r="L254" t="str">
            <v>0</v>
          </cell>
          <cell r="M254" t="str">
            <v>0</v>
          </cell>
          <cell r="N254" t="str">
            <v>0</v>
          </cell>
          <cell r="O254" t="str">
            <v>0</v>
          </cell>
          <cell r="P254" t="str">
            <v>0</v>
          </cell>
          <cell r="Q254" t="str">
            <v>0</v>
          </cell>
          <cell r="R254" t="str">
            <v>0</v>
          </cell>
          <cell r="S254" t="str">
            <v>0</v>
          </cell>
          <cell r="T254" t="str">
            <v>0</v>
          </cell>
          <cell r="U254" t="str">
            <v>0</v>
          </cell>
          <cell r="V254" t="str">
            <v>0</v>
          </cell>
          <cell r="W254" t="str">
            <v>0</v>
          </cell>
          <cell r="X254" t="str">
            <v>0</v>
          </cell>
          <cell r="Y254" t="str">
            <v>0</v>
          </cell>
          <cell r="Z254" t="str">
            <v>0</v>
          </cell>
          <cell r="AA254" t="str">
            <v>0</v>
          </cell>
          <cell r="AB254" t="str">
            <v>0</v>
          </cell>
          <cell r="AC254" t="str">
            <v>0</v>
          </cell>
          <cell r="AD254" t="str">
            <v>0</v>
          </cell>
          <cell r="AE254" t="str">
            <v>0</v>
          </cell>
        </row>
        <row r="255">
          <cell r="D255" t="str">
            <v>05-Sep</v>
          </cell>
          <cell r="E255" t="str">
            <v>0</v>
          </cell>
          <cell r="F255" t="str">
            <v>0</v>
          </cell>
          <cell r="G255" t="str">
            <v>0</v>
          </cell>
          <cell r="H255" t="str">
            <v>0</v>
          </cell>
          <cell r="I255" t="str">
            <v>0</v>
          </cell>
          <cell r="J255" t="str">
            <v>0</v>
          </cell>
          <cell r="K255" t="str">
            <v>0</v>
          </cell>
          <cell r="L255" t="str">
            <v>0</v>
          </cell>
          <cell r="M255" t="str">
            <v>0</v>
          </cell>
          <cell r="N255" t="str">
            <v>0</v>
          </cell>
          <cell r="O255" t="str">
            <v>0</v>
          </cell>
          <cell r="P255" t="str">
            <v>0</v>
          </cell>
          <cell r="Q255" t="str">
            <v>0</v>
          </cell>
          <cell r="R255" t="str">
            <v>0</v>
          </cell>
          <cell r="S255" t="str">
            <v>0</v>
          </cell>
          <cell r="T255" t="str">
            <v>0</v>
          </cell>
          <cell r="U255" t="str">
            <v>0</v>
          </cell>
          <cell r="V255" t="str">
            <v>0</v>
          </cell>
          <cell r="W255" t="str">
            <v>0</v>
          </cell>
          <cell r="X255" t="str">
            <v>0</v>
          </cell>
          <cell r="Y255" t="str">
            <v>0</v>
          </cell>
          <cell r="Z255" t="str">
            <v>0</v>
          </cell>
          <cell r="AA255" t="str">
            <v>0</v>
          </cell>
          <cell r="AB255" t="str">
            <v>0</v>
          </cell>
          <cell r="AC255" t="str">
            <v>0</v>
          </cell>
          <cell r="AD255" t="str">
            <v>0</v>
          </cell>
          <cell r="AE255" t="str">
            <v>0</v>
          </cell>
        </row>
        <row r="256">
          <cell r="D256" t="str">
            <v>06-Sep</v>
          </cell>
          <cell r="E256" t="str">
            <v>0</v>
          </cell>
          <cell r="F256" t="str">
            <v>0</v>
          </cell>
          <cell r="G256" t="str">
            <v>0</v>
          </cell>
          <cell r="H256" t="str">
            <v>0</v>
          </cell>
          <cell r="I256" t="str">
            <v>0</v>
          </cell>
          <cell r="J256" t="str">
            <v>0</v>
          </cell>
          <cell r="K256" t="str">
            <v>0</v>
          </cell>
          <cell r="L256" t="str">
            <v>0</v>
          </cell>
          <cell r="M256" t="str">
            <v>0</v>
          </cell>
          <cell r="N256" t="str">
            <v>0</v>
          </cell>
          <cell r="O256" t="str">
            <v>0</v>
          </cell>
          <cell r="P256" t="str">
            <v>0</v>
          </cell>
          <cell r="Q256" t="str">
            <v>0</v>
          </cell>
          <cell r="R256" t="str">
            <v>0</v>
          </cell>
          <cell r="S256" t="str">
            <v>0</v>
          </cell>
          <cell r="T256" t="str">
            <v>0</v>
          </cell>
          <cell r="U256" t="str">
            <v>0</v>
          </cell>
          <cell r="V256" t="str">
            <v>0</v>
          </cell>
          <cell r="W256" t="str">
            <v>0</v>
          </cell>
          <cell r="X256" t="str">
            <v>0</v>
          </cell>
          <cell r="Y256" t="str">
            <v>0</v>
          </cell>
          <cell r="Z256" t="str">
            <v>0</v>
          </cell>
          <cell r="AA256" t="str">
            <v>0</v>
          </cell>
          <cell r="AB256" t="str">
            <v>0</v>
          </cell>
          <cell r="AC256" t="str">
            <v>0</v>
          </cell>
          <cell r="AD256" t="str">
            <v>0</v>
          </cell>
          <cell r="AE256" t="str">
            <v>0</v>
          </cell>
        </row>
        <row r="257">
          <cell r="D257" t="str">
            <v>07-Sep</v>
          </cell>
          <cell r="E257" t="str">
            <v>0</v>
          </cell>
          <cell r="F257" t="str">
            <v>0</v>
          </cell>
          <cell r="G257" t="str">
            <v>0</v>
          </cell>
          <cell r="H257" t="str">
            <v>0</v>
          </cell>
          <cell r="I257" t="str">
            <v>0</v>
          </cell>
          <cell r="J257" t="str">
            <v>0</v>
          </cell>
          <cell r="K257" t="str">
            <v>0</v>
          </cell>
          <cell r="L257" t="str">
            <v>0</v>
          </cell>
          <cell r="M257" t="str">
            <v>0</v>
          </cell>
          <cell r="N257" t="str">
            <v>0</v>
          </cell>
          <cell r="O257" t="str">
            <v>0</v>
          </cell>
          <cell r="P257" t="str">
            <v>0</v>
          </cell>
          <cell r="Q257" t="str">
            <v>0</v>
          </cell>
          <cell r="R257" t="str">
            <v>0</v>
          </cell>
          <cell r="S257" t="str">
            <v>0</v>
          </cell>
          <cell r="T257" t="str">
            <v>0</v>
          </cell>
          <cell r="U257" t="str">
            <v>0</v>
          </cell>
          <cell r="V257" t="str">
            <v>0</v>
          </cell>
          <cell r="W257" t="str">
            <v>0</v>
          </cell>
          <cell r="X257" t="str">
            <v>0</v>
          </cell>
          <cell r="Y257" t="str">
            <v>0</v>
          </cell>
          <cell r="Z257" t="str">
            <v>0</v>
          </cell>
          <cell r="AA257" t="str">
            <v>0</v>
          </cell>
          <cell r="AB257" t="str">
            <v>0</v>
          </cell>
          <cell r="AC257" t="str">
            <v>0</v>
          </cell>
          <cell r="AD257" t="str">
            <v>0</v>
          </cell>
          <cell r="AE257" t="str">
            <v>0</v>
          </cell>
        </row>
        <row r="258">
          <cell r="D258" t="str">
            <v>08-Sep</v>
          </cell>
          <cell r="E258" t="str">
            <v>0</v>
          </cell>
          <cell r="F258" t="str">
            <v>0</v>
          </cell>
          <cell r="G258" t="str">
            <v>0</v>
          </cell>
          <cell r="H258" t="str">
            <v>0</v>
          </cell>
          <cell r="I258" t="str">
            <v>0</v>
          </cell>
          <cell r="J258" t="str">
            <v>0</v>
          </cell>
          <cell r="K258" t="str">
            <v>0</v>
          </cell>
          <cell r="L258" t="str">
            <v>0</v>
          </cell>
          <cell r="M258" t="str">
            <v>0</v>
          </cell>
          <cell r="N258" t="str">
            <v>0</v>
          </cell>
          <cell r="O258" t="str">
            <v>0</v>
          </cell>
          <cell r="P258" t="str">
            <v>0</v>
          </cell>
          <cell r="Q258" t="str">
            <v>0</v>
          </cell>
          <cell r="R258" t="str">
            <v>0</v>
          </cell>
          <cell r="S258" t="str">
            <v>0</v>
          </cell>
          <cell r="T258" t="str">
            <v>0</v>
          </cell>
          <cell r="U258" t="str">
            <v>0</v>
          </cell>
          <cell r="V258" t="str">
            <v>0</v>
          </cell>
          <cell r="W258" t="str">
            <v>0</v>
          </cell>
          <cell r="X258" t="str">
            <v>0</v>
          </cell>
          <cell r="Y258" t="str">
            <v>0</v>
          </cell>
          <cell r="Z258" t="str">
            <v>0</v>
          </cell>
          <cell r="AA258" t="str">
            <v>0</v>
          </cell>
          <cell r="AB258" t="str">
            <v>0</v>
          </cell>
          <cell r="AC258" t="str">
            <v>0</v>
          </cell>
          <cell r="AD258" t="str">
            <v>0</v>
          </cell>
          <cell r="AE258" t="str">
            <v>0</v>
          </cell>
        </row>
        <row r="259">
          <cell r="D259" t="str">
            <v>09-Sep</v>
          </cell>
          <cell r="E259" t="str">
            <v>0</v>
          </cell>
          <cell r="F259" t="str">
            <v>0</v>
          </cell>
          <cell r="G259" t="str">
            <v>0</v>
          </cell>
          <cell r="H259" t="str">
            <v>0</v>
          </cell>
          <cell r="I259" t="str">
            <v>0</v>
          </cell>
          <cell r="J259" t="str">
            <v>0</v>
          </cell>
          <cell r="K259" t="str">
            <v>0</v>
          </cell>
          <cell r="L259" t="str">
            <v>0</v>
          </cell>
          <cell r="M259" t="str">
            <v>0</v>
          </cell>
          <cell r="N259" t="str">
            <v>0</v>
          </cell>
          <cell r="O259" t="str">
            <v>0</v>
          </cell>
          <cell r="P259" t="str">
            <v>0</v>
          </cell>
          <cell r="Q259" t="str">
            <v>0</v>
          </cell>
          <cell r="R259" t="str">
            <v>0</v>
          </cell>
          <cell r="S259" t="str">
            <v>0</v>
          </cell>
          <cell r="T259" t="str">
            <v>0</v>
          </cell>
          <cell r="U259" t="str">
            <v>0</v>
          </cell>
          <cell r="V259" t="str">
            <v>0</v>
          </cell>
          <cell r="W259" t="str">
            <v>0</v>
          </cell>
          <cell r="X259" t="str">
            <v>0</v>
          </cell>
          <cell r="Y259" t="str">
            <v>0</v>
          </cell>
          <cell r="Z259" t="str">
            <v>0</v>
          </cell>
          <cell r="AA259" t="str">
            <v>0</v>
          </cell>
          <cell r="AB259" t="str">
            <v>0</v>
          </cell>
          <cell r="AC259" t="str">
            <v>0</v>
          </cell>
          <cell r="AD259" t="str">
            <v>0</v>
          </cell>
          <cell r="AE259" t="str">
            <v>0</v>
          </cell>
        </row>
        <row r="260">
          <cell r="D260" t="str">
            <v>10-Sep</v>
          </cell>
          <cell r="E260" t="str">
            <v>0</v>
          </cell>
          <cell r="F260" t="str">
            <v>0</v>
          </cell>
          <cell r="G260" t="str">
            <v>0</v>
          </cell>
          <cell r="H260" t="str">
            <v>0</v>
          </cell>
          <cell r="I260" t="str">
            <v>0</v>
          </cell>
          <cell r="J260" t="str">
            <v>0</v>
          </cell>
          <cell r="K260" t="str">
            <v>0</v>
          </cell>
          <cell r="L260" t="str">
            <v>0</v>
          </cell>
          <cell r="M260" t="str">
            <v>0</v>
          </cell>
          <cell r="N260" t="str">
            <v>0</v>
          </cell>
          <cell r="O260" t="str">
            <v>0</v>
          </cell>
          <cell r="P260" t="str">
            <v>0</v>
          </cell>
          <cell r="Q260" t="str">
            <v>0</v>
          </cell>
          <cell r="R260" t="str">
            <v>0</v>
          </cell>
          <cell r="S260" t="str">
            <v>0</v>
          </cell>
          <cell r="T260" t="str">
            <v>0</v>
          </cell>
          <cell r="U260" t="str">
            <v>0</v>
          </cell>
          <cell r="V260" t="str">
            <v>0</v>
          </cell>
          <cell r="W260" t="str">
            <v>0</v>
          </cell>
          <cell r="X260" t="str">
            <v>0</v>
          </cell>
          <cell r="Y260" t="str">
            <v>0</v>
          </cell>
          <cell r="Z260" t="str">
            <v>0</v>
          </cell>
          <cell r="AA260" t="str">
            <v>0</v>
          </cell>
          <cell r="AB260" t="str">
            <v>0</v>
          </cell>
          <cell r="AC260" t="str">
            <v>0</v>
          </cell>
          <cell r="AD260" t="str">
            <v>0</v>
          </cell>
          <cell r="AE260" t="str">
            <v>0</v>
          </cell>
        </row>
        <row r="261">
          <cell r="D261" t="str">
            <v>11-Sep</v>
          </cell>
          <cell r="E261" t="str">
            <v>0</v>
          </cell>
          <cell r="F261" t="str">
            <v>0</v>
          </cell>
          <cell r="G261" t="str">
            <v>0</v>
          </cell>
          <cell r="H261" t="str">
            <v>0</v>
          </cell>
          <cell r="I261" t="str">
            <v>0</v>
          </cell>
          <cell r="J261" t="str">
            <v>0</v>
          </cell>
          <cell r="K261" t="str">
            <v>0</v>
          </cell>
          <cell r="L261" t="str">
            <v>0</v>
          </cell>
          <cell r="M261" t="str">
            <v>0</v>
          </cell>
          <cell r="N261" t="str">
            <v>0</v>
          </cell>
          <cell r="O261" t="str">
            <v>0</v>
          </cell>
          <cell r="P261" t="str">
            <v>0</v>
          </cell>
          <cell r="Q261" t="str">
            <v>0</v>
          </cell>
          <cell r="R261" t="str">
            <v>0</v>
          </cell>
          <cell r="S261" t="str">
            <v>0</v>
          </cell>
          <cell r="T261" t="str">
            <v>0</v>
          </cell>
          <cell r="U261" t="str">
            <v>0</v>
          </cell>
          <cell r="V261" t="str">
            <v>0</v>
          </cell>
          <cell r="W261" t="str">
            <v>0</v>
          </cell>
          <cell r="X261" t="str">
            <v>0</v>
          </cell>
          <cell r="Y261" t="str">
            <v>0</v>
          </cell>
          <cell r="Z261" t="str">
            <v>0</v>
          </cell>
          <cell r="AA261" t="str">
            <v>0</v>
          </cell>
          <cell r="AB261" t="str">
            <v>0</v>
          </cell>
          <cell r="AC261" t="str">
            <v>0</v>
          </cell>
          <cell r="AD261" t="str">
            <v>0</v>
          </cell>
          <cell r="AE261" t="str">
            <v>0</v>
          </cell>
        </row>
        <row r="262">
          <cell r="D262" t="str">
            <v>12-Sep</v>
          </cell>
          <cell r="E262" t="str">
            <v>0</v>
          </cell>
          <cell r="F262" t="str">
            <v>0</v>
          </cell>
          <cell r="G262" t="str">
            <v>0</v>
          </cell>
          <cell r="H262" t="str">
            <v>0</v>
          </cell>
          <cell r="I262" t="str">
            <v>0</v>
          </cell>
          <cell r="J262" t="str">
            <v>0</v>
          </cell>
          <cell r="K262" t="str">
            <v>0</v>
          </cell>
          <cell r="L262" t="str">
            <v>0</v>
          </cell>
          <cell r="M262" t="str">
            <v>0</v>
          </cell>
          <cell r="N262" t="str">
            <v>0</v>
          </cell>
          <cell r="O262" t="str">
            <v>0</v>
          </cell>
          <cell r="P262" t="str">
            <v>0</v>
          </cell>
          <cell r="Q262" t="str">
            <v>0</v>
          </cell>
          <cell r="R262" t="str">
            <v>0</v>
          </cell>
          <cell r="S262" t="str">
            <v>0</v>
          </cell>
          <cell r="T262" t="str">
            <v>0</v>
          </cell>
          <cell r="U262" t="str">
            <v>0</v>
          </cell>
          <cell r="V262" t="str">
            <v>0</v>
          </cell>
          <cell r="W262" t="str">
            <v>0</v>
          </cell>
          <cell r="X262" t="str">
            <v>0</v>
          </cell>
          <cell r="Y262" t="str">
            <v>0</v>
          </cell>
          <cell r="Z262" t="str">
            <v>0</v>
          </cell>
          <cell r="AA262" t="str">
            <v>0</v>
          </cell>
          <cell r="AB262" t="str">
            <v>0</v>
          </cell>
          <cell r="AC262" t="str">
            <v>0</v>
          </cell>
          <cell r="AD262" t="str">
            <v>0</v>
          </cell>
          <cell r="AE262" t="str">
            <v>0</v>
          </cell>
        </row>
        <row r="263">
          <cell r="D263" t="str">
            <v>13-Sep</v>
          </cell>
          <cell r="E263" t="str">
            <v>0</v>
          </cell>
          <cell r="F263" t="str">
            <v>0</v>
          </cell>
          <cell r="G263" t="str">
            <v>0</v>
          </cell>
          <cell r="H263" t="str">
            <v>0</v>
          </cell>
          <cell r="I263" t="str">
            <v>0</v>
          </cell>
          <cell r="J263" t="str">
            <v>0</v>
          </cell>
          <cell r="K263" t="str">
            <v>0</v>
          </cell>
          <cell r="L263" t="str">
            <v>0</v>
          </cell>
          <cell r="M263" t="str">
            <v>0</v>
          </cell>
          <cell r="N263" t="str">
            <v>0</v>
          </cell>
          <cell r="O263" t="str">
            <v>0</v>
          </cell>
          <cell r="P263" t="str">
            <v>0</v>
          </cell>
          <cell r="Q263" t="str">
            <v>0</v>
          </cell>
          <cell r="R263" t="str">
            <v>0</v>
          </cell>
          <cell r="S263" t="str">
            <v>0</v>
          </cell>
          <cell r="T263" t="str">
            <v>0</v>
          </cell>
          <cell r="U263" t="str">
            <v>0</v>
          </cell>
          <cell r="V263" t="str">
            <v>0</v>
          </cell>
          <cell r="W263" t="str">
            <v>0</v>
          </cell>
          <cell r="X263" t="str">
            <v>0</v>
          </cell>
          <cell r="Y263" t="str">
            <v>0</v>
          </cell>
          <cell r="Z263" t="str">
            <v>0</v>
          </cell>
          <cell r="AA263" t="str">
            <v>0</v>
          </cell>
          <cell r="AB263" t="str">
            <v>0</v>
          </cell>
          <cell r="AC263" t="str">
            <v>0</v>
          </cell>
          <cell r="AD263" t="str">
            <v>0</v>
          </cell>
          <cell r="AE263" t="str">
            <v>0</v>
          </cell>
        </row>
        <row r="264">
          <cell r="D264" t="str">
            <v>14-Sep</v>
          </cell>
          <cell r="E264" t="str">
            <v>0</v>
          </cell>
          <cell r="F264" t="str">
            <v>0</v>
          </cell>
          <cell r="G264" t="str">
            <v>0</v>
          </cell>
          <cell r="H264" t="str">
            <v>0</v>
          </cell>
          <cell r="I264" t="str">
            <v>0</v>
          </cell>
          <cell r="J264" t="str">
            <v>0</v>
          </cell>
          <cell r="K264" t="str">
            <v>0</v>
          </cell>
          <cell r="L264" t="str">
            <v>0</v>
          </cell>
          <cell r="M264" t="str">
            <v>0</v>
          </cell>
          <cell r="N264" t="str">
            <v>0</v>
          </cell>
          <cell r="O264" t="str">
            <v>0</v>
          </cell>
          <cell r="P264" t="str">
            <v>0</v>
          </cell>
          <cell r="Q264" t="str">
            <v>0</v>
          </cell>
          <cell r="R264" t="str">
            <v>0</v>
          </cell>
          <cell r="S264" t="str">
            <v>0</v>
          </cell>
          <cell r="T264" t="str">
            <v>0</v>
          </cell>
          <cell r="U264" t="str">
            <v>0</v>
          </cell>
          <cell r="V264" t="str">
            <v>0</v>
          </cell>
          <cell r="W264" t="str">
            <v>0</v>
          </cell>
          <cell r="X264" t="str">
            <v>0</v>
          </cell>
          <cell r="Y264" t="str">
            <v>0</v>
          </cell>
          <cell r="Z264" t="str">
            <v>0</v>
          </cell>
          <cell r="AA264" t="str">
            <v>0</v>
          </cell>
          <cell r="AB264" t="str">
            <v>0</v>
          </cell>
          <cell r="AC264" t="str">
            <v>0</v>
          </cell>
          <cell r="AD264" t="str">
            <v>0</v>
          </cell>
          <cell r="AE264" t="str">
            <v>0</v>
          </cell>
        </row>
        <row r="265">
          <cell r="D265" t="str">
            <v>15-Sep</v>
          </cell>
          <cell r="E265" t="str">
            <v>0</v>
          </cell>
          <cell r="F265" t="str">
            <v>0</v>
          </cell>
          <cell r="G265" t="str">
            <v>0</v>
          </cell>
          <cell r="H265" t="str">
            <v>0</v>
          </cell>
          <cell r="I265" t="str">
            <v>0</v>
          </cell>
          <cell r="J265" t="str">
            <v>0</v>
          </cell>
          <cell r="K265" t="str">
            <v>0</v>
          </cell>
          <cell r="L265" t="str">
            <v>0</v>
          </cell>
          <cell r="M265" t="str">
            <v>0</v>
          </cell>
          <cell r="N265" t="str">
            <v>0</v>
          </cell>
          <cell r="O265" t="str">
            <v>0</v>
          </cell>
          <cell r="P265" t="str">
            <v>0</v>
          </cell>
          <cell r="Q265" t="str">
            <v>0</v>
          </cell>
          <cell r="R265" t="str">
            <v>0</v>
          </cell>
          <cell r="S265" t="str">
            <v>0</v>
          </cell>
          <cell r="T265" t="str">
            <v>0</v>
          </cell>
          <cell r="U265" t="str">
            <v>0</v>
          </cell>
          <cell r="V265" t="str">
            <v>0</v>
          </cell>
          <cell r="W265" t="str">
            <v>0</v>
          </cell>
          <cell r="X265" t="str">
            <v>0</v>
          </cell>
          <cell r="Y265" t="str">
            <v>0</v>
          </cell>
          <cell r="Z265" t="str">
            <v>0</v>
          </cell>
          <cell r="AA265" t="str">
            <v>0</v>
          </cell>
          <cell r="AB265" t="str">
            <v>0</v>
          </cell>
          <cell r="AC265" t="str">
            <v>0</v>
          </cell>
          <cell r="AD265" t="str">
            <v>0</v>
          </cell>
          <cell r="AE265" t="str">
            <v>0</v>
          </cell>
        </row>
        <row r="266">
          <cell r="D266" t="str">
            <v>16-Sep</v>
          </cell>
          <cell r="E266" t="str">
            <v>0</v>
          </cell>
          <cell r="F266" t="str">
            <v>0</v>
          </cell>
          <cell r="G266" t="str">
            <v>0</v>
          </cell>
          <cell r="H266" t="str">
            <v>0</v>
          </cell>
          <cell r="I266" t="str">
            <v>0</v>
          </cell>
          <cell r="J266" t="str">
            <v>0</v>
          </cell>
          <cell r="K266" t="str">
            <v>0</v>
          </cell>
          <cell r="L266" t="str">
            <v>0</v>
          </cell>
          <cell r="M266" t="str">
            <v>0</v>
          </cell>
          <cell r="N266" t="str">
            <v>0</v>
          </cell>
          <cell r="O266" t="str">
            <v>0</v>
          </cell>
          <cell r="P266" t="str">
            <v>0</v>
          </cell>
          <cell r="Q266" t="str">
            <v>0</v>
          </cell>
          <cell r="R266" t="str">
            <v>0</v>
          </cell>
          <cell r="S266" t="str">
            <v>0</v>
          </cell>
          <cell r="T266" t="str">
            <v>0</v>
          </cell>
          <cell r="U266" t="str">
            <v>0</v>
          </cell>
          <cell r="V266" t="str">
            <v>0</v>
          </cell>
          <cell r="W266" t="str">
            <v>0</v>
          </cell>
          <cell r="X266" t="str">
            <v>0</v>
          </cell>
          <cell r="Y266" t="str">
            <v>0</v>
          </cell>
          <cell r="Z266" t="str">
            <v>0</v>
          </cell>
          <cell r="AA266" t="str">
            <v>0</v>
          </cell>
          <cell r="AB266" t="str">
            <v>0</v>
          </cell>
          <cell r="AC266" t="str">
            <v>0</v>
          </cell>
          <cell r="AD266" t="str">
            <v>0</v>
          </cell>
          <cell r="AE266" t="str">
            <v>0</v>
          </cell>
        </row>
        <row r="267">
          <cell r="D267" t="str">
            <v>17-Sep</v>
          </cell>
          <cell r="E267" t="str">
            <v>0</v>
          </cell>
          <cell r="F267" t="str">
            <v>0</v>
          </cell>
          <cell r="G267" t="str">
            <v>0</v>
          </cell>
          <cell r="H267" t="str">
            <v>0</v>
          </cell>
          <cell r="I267" t="str">
            <v>0</v>
          </cell>
          <cell r="J267" t="str">
            <v>0</v>
          </cell>
          <cell r="K267" t="str">
            <v>0</v>
          </cell>
          <cell r="L267" t="str">
            <v>0</v>
          </cell>
          <cell r="M267" t="str">
            <v>0</v>
          </cell>
          <cell r="N267" t="str">
            <v>0</v>
          </cell>
          <cell r="O267" t="str">
            <v>0</v>
          </cell>
          <cell r="P267" t="str">
            <v>0</v>
          </cell>
          <cell r="Q267" t="str">
            <v>0</v>
          </cell>
          <cell r="R267" t="str">
            <v>0</v>
          </cell>
          <cell r="S267" t="str">
            <v>0</v>
          </cell>
          <cell r="T267" t="str">
            <v>0</v>
          </cell>
          <cell r="U267" t="str">
            <v>0</v>
          </cell>
          <cell r="V267" t="str">
            <v>0</v>
          </cell>
          <cell r="W267" t="str">
            <v>0</v>
          </cell>
          <cell r="X267" t="str">
            <v>0</v>
          </cell>
          <cell r="Y267" t="str">
            <v>0</v>
          </cell>
          <cell r="Z267" t="str">
            <v>0</v>
          </cell>
          <cell r="AA267" t="str">
            <v>0</v>
          </cell>
          <cell r="AB267" t="str">
            <v>0</v>
          </cell>
          <cell r="AC267" t="str">
            <v>0</v>
          </cell>
          <cell r="AD267" t="str">
            <v>0</v>
          </cell>
          <cell r="AE267" t="str">
            <v>0</v>
          </cell>
        </row>
        <row r="268">
          <cell r="D268" t="str">
            <v>18-Sep</v>
          </cell>
          <cell r="E268" t="str">
            <v>0</v>
          </cell>
          <cell r="F268" t="str">
            <v>0</v>
          </cell>
          <cell r="G268" t="str">
            <v>0</v>
          </cell>
          <cell r="H268" t="str">
            <v>0</v>
          </cell>
          <cell r="I268" t="str">
            <v>0</v>
          </cell>
          <cell r="J268" t="str">
            <v>0</v>
          </cell>
          <cell r="K268" t="str">
            <v>0</v>
          </cell>
          <cell r="L268" t="str">
            <v>0</v>
          </cell>
          <cell r="M268" t="str">
            <v>0</v>
          </cell>
          <cell r="N268" t="str">
            <v>0</v>
          </cell>
          <cell r="O268" t="str">
            <v>0</v>
          </cell>
          <cell r="P268" t="str">
            <v>0</v>
          </cell>
          <cell r="Q268" t="str">
            <v>0</v>
          </cell>
          <cell r="R268" t="str">
            <v>0</v>
          </cell>
          <cell r="S268" t="str">
            <v>0</v>
          </cell>
          <cell r="T268" t="str">
            <v>0</v>
          </cell>
          <cell r="U268" t="str">
            <v>0</v>
          </cell>
          <cell r="V268" t="str">
            <v>0</v>
          </cell>
          <cell r="W268" t="str">
            <v>0</v>
          </cell>
          <cell r="X268" t="str">
            <v>0</v>
          </cell>
          <cell r="Y268" t="str">
            <v>0</v>
          </cell>
          <cell r="Z268" t="str">
            <v>0</v>
          </cell>
          <cell r="AA268" t="str">
            <v>0</v>
          </cell>
          <cell r="AB268" t="str">
            <v>0</v>
          </cell>
          <cell r="AC268" t="str">
            <v>0</v>
          </cell>
          <cell r="AD268" t="str">
            <v>0</v>
          </cell>
          <cell r="AE268" t="str">
            <v>0</v>
          </cell>
        </row>
        <row r="269">
          <cell r="D269" t="str">
            <v>19-Sep</v>
          </cell>
          <cell r="E269" t="str">
            <v>0</v>
          </cell>
          <cell r="F269" t="str">
            <v>0</v>
          </cell>
          <cell r="G269" t="str">
            <v>0</v>
          </cell>
          <cell r="H269" t="str">
            <v>0</v>
          </cell>
          <cell r="I269" t="str">
            <v>0</v>
          </cell>
          <cell r="J269" t="str">
            <v>0</v>
          </cell>
          <cell r="K269" t="str">
            <v>0</v>
          </cell>
          <cell r="L269" t="str">
            <v>0</v>
          </cell>
          <cell r="M269" t="str">
            <v>0</v>
          </cell>
          <cell r="N269" t="str">
            <v>0</v>
          </cell>
          <cell r="O269" t="str">
            <v>0</v>
          </cell>
          <cell r="P269" t="str">
            <v>0</v>
          </cell>
          <cell r="Q269" t="str">
            <v>0</v>
          </cell>
          <cell r="R269" t="str">
            <v>0</v>
          </cell>
          <cell r="S269" t="str">
            <v>0</v>
          </cell>
          <cell r="T269" t="str">
            <v>0</v>
          </cell>
          <cell r="U269" t="str">
            <v>0</v>
          </cell>
          <cell r="V269" t="str">
            <v>0</v>
          </cell>
          <cell r="W269" t="str">
            <v>0</v>
          </cell>
          <cell r="X269" t="str">
            <v>0</v>
          </cell>
          <cell r="Y269" t="str">
            <v>0</v>
          </cell>
          <cell r="Z269" t="str">
            <v>0</v>
          </cell>
          <cell r="AA269" t="str">
            <v>0</v>
          </cell>
          <cell r="AB269" t="str">
            <v>0</v>
          </cell>
          <cell r="AC269" t="str">
            <v>0</v>
          </cell>
          <cell r="AD269" t="str">
            <v>0</v>
          </cell>
          <cell r="AE269" t="str">
            <v>0</v>
          </cell>
        </row>
        <row r="270">
          <cell r="D270" t="str">
            <v>20-Sep</v>
          </cell>
          <cell r="E270" t="str">
            <v>0</v>
          </cell>
          <cell r="F270" t="str">
            <v>0</v>
          </cell>
          <cell r="G270" t="str">
            <v>0</v>
          </cell>
          <cell r="H270" t="str">
            <v>0</v>
          </cell>
          <cell r="I270" t="str">
            <v>0</v>
          </cell>
          <cell r="J270" t="str">
            <v>0</v>
          </cell>
          <cell r="K270" t="str">
            <v>0</v>
          </cell>
          <cell r="L270" t="str">
            <v>0</v>
          </cell>
          <cell r="M270" t="str">
            <v>0</v>
          </cell>
          <cell r="N270" t="str">
            <v>0</v>
          </cell>
          <cell r="O270" t="str">
            <v>0</v>
          </cell>
          <cell r="P270" t="str">
            <v>0</v>
          </cell>
          <cell r="Q270" t="str">
            <v>0</v>
          </cell>
          <cell r="R270" t="str">
            <v>0</v>
          </cell>
          <cell r="S270" t="str">
            <v>0</v>
          </cell>
          <cell r="T270" t="str">
            <v>0</v>
          </cell>
          <cell r="U270" t="str">
            <v>0</v>
          </cell>
          <cell r="V270" t="str">
            <v>0</v>
          </cell>
          <cell r="W270" t="str">
            <v>0</v>
          </cell>
          <cell r="X270" t="str">
            <v>0</v>
          </cell>
          <cell r="Y270" t="str">
            <v>0</v>
          </cell>
          <cell r="Z270" t="str">
            <v>0</v>
          </cell>
          <cell r="AA270" t="str">
            <v>0</v>
          </cell>
          <cell r="AB270" t="str">
            <v>0</v>
          </cell>
          <cell r="AC270" t="str">
            <v>0</v>
          </cell>
          <cell r="AD270" t="str">
            <v>0</v>
          </cell>
          <cell r="AE270" t="str">
            <v>0</v>
          </cell>
        </row>
        <row r="271">
          <cell r="D271" t="str">
            <v>21-Sep</v>
          </cell>
          <cell r="E271" t="str">
            <v>0</v>
          </cell>
          <cell r="F271" t="str">
            <v>0</v>
          </cell>
          <cell r="G271" t="str">
            <v>0</v>
          </cell>
          <cell r="H271" t="str">
            <v>0</v>
          </cell>
          <cell r="I271" t="str">
            <v>0</v>
          </cell>
          <cell r="J271" t="str">
            <v>0</v>
          </cell>
          <cell r="K271" t="str">
            <v>0</v>
          </cell>
          <cell r="L271" t="str">
            <v>0</v>
          </cell>
          <cell r="M271" t="str">
            <v>0</v>
          </cell>
          <cell r="N271" t="str">
            <v>0</v>
          </cell>
          <cell r="O271" t="str">
            <v>0</v>
          </cell>
          <cell r="P271" t="str">
            <v>0</v>
          </cell>
          <cell r="Q271" t="str">
            <v>0</v>
          </cell>
          <cell r="R271" t="str">
            <v>0</v>
          </cell>
          <cell r="S271" t="str">
            <v>0</v>
          </cell>
          <cell r="T271" t="str">
            <v>0</v>
          </cell>
          <cell r="U271" t="str">
            <v>0</v>
          </cell>
          <cell r="V271" t="str">
            <v>0</v>
          </cell>
          <cell r="W271" t="str">
            <v>0</v>
          </cell>
          <cell r="X271" t="str">
            <v>0</v>
          </cell>
          <cell r="Y271" t="str">
            <v>0</v>
          </cell>
          <cell r="Z271" t="str">
            <v>0</v>
          </cell>
          <cell r="AA271" t="str">
            <v>0</v>
          </cell>
          <cell r="AB271" t="str">
            <v>0</v>
          </cell>
          <cell r="AC271" t="str">
            <v>0</v>
          </cell>
          <cell r="AD271" t="str">
            <v>0</v>
          </cell>
          <cell r="AE271" t="str">
            <v>0</v>
          </cell>
        </row>
        <row r="272">
          <cell r="D272" t="str">
            <v>22-Sep</v>
          </cell>
          <cell r="E272" t="str">
            <v>0</v>
          </cell>
          <cell r="F272" t="str">
            <v>0</v>
          </cell>
          <cell r="G272" t="str">
            <v>0</v>
          </cell>
          <cell r="H272" t="str">
            <v>0</v>
          </cell>
          <cell r="I272" t="str">
            <v>0</v>
          </cell>
          <cell r="J272" t="str">
            <v>0</v>
          </cell>
          <cell r="K272" t="str">
            <v>0</v>
          </cell>
          <cell r="L272" t="str">
            <v>0</v>
          </cell>
          <cell r="M272" t="str">
            <v>0</v>
          </cell>
          <cell r="N272" t="str">
            <v>0</v>
          </cell>
          <cell r="O272" t="str">
            <v>0</v>
          </cell>
          <cell r="P272" t="str">
            <v>0</v>
          </cell>
          <cell r="Q272" t="str">
            <v>0</v>
          </cell>
          <cell r="R272" t="str">
            <v>0</v>
          </cell>
          <cell r="S272" t="str">
            <v>0</v>
          </cell>
          <cell r="T272" t="str">
            <v>0</v>
          </cell>
          <cell r="U272" t="str">
            <v>0</v>
          </cell>
          <cell r="V272" t="str">
            <v>0</v>
          </cell>
          <cell r="W272" t="str">
            <v>0</v>
          </cell>
          <cell r="X272" t="str">
            <v>0</v>
          </cell>
          <cell r="Y272" t="str">
            <v>0</v>
          </cell>
          <cell r="Z272" t="str">
            <v>0</v>
          </cell>
          <cell r="AA272" t="str">
            <v>0</v>
          </cell>
          <cell r="AB272" t="str">
            <v>0</v>
          </cell>
          <cell r="AC272" t="str">
            <v>0</v>
          </cell>
          <cell r="AD272" t="str">
            <v>0</v>
          </cell>
          <cell r="AE272" t="str">
            <v>0</v>
          </cell>
        </row>
        <row r="273">
          <cell r="D273" t="str">
            <v>23-Sep</v>
          </cell>
          <cell r="E273" t="str">
            <v>0</v>
          </cell>
          <cell r="F273" t="str">
            <v>0</v>
          </cell>
          <cell r="G273" t="str">
            <v>0</v>
          </cell>
          <cell r="H273" t="str">
            <v>0</v>
          </cell>
          <cell r="I273" t="str">
            <v>0</v>
          </cell>
          <cell r="J273" t="str">
            <v>0</v>
          </cell>
          <cell r="K273" t="str">
            <v>0</v>
          </cell>
          <cell r="L273" t="str">
            <v>0</v>
          </cell>
          <cell r="M273" t="str">
            <v>0</v>
          </cell>
          <cell r="N273" t="str">
            <v>0</v>
          </cell>
          <cell r="O273" t="str">
            <v>0</v>
          </cell>
          <cell r="P273" t="str">
            <v>0</v>
          </cell>
          <cell r="Q273" t="str">
            <v>0</v>
          </cell>
          <cell r="R273" t="str">
            <v>0</v>
          </cell>
          <cell r="S273" t="str">
            <v>0</v>
          </cell>
          <cell r="T273" t="str">
            <v>0</v>
          </cell>
          <cell r="U273" t="str">
            <v>0</v>
          </cell>
          <cell r="V273" t="str">
            <v>0</v>
          </cell>
          <cell r="W273" t="str">
            <v>0</v>
          </cell>
          <cell r="X273" t="str">
            <v>0</v>
          </cell>
          <cell r="Y273" t="str">
            <v>0</v>
          </cell>
          <cell r="Z273" t="str">
            <v>0</v>
          </cell>
          <cell r="AA273" t="str">
            <v>0</v>
          </cell>
          <cell r="AB273" t="str">
            <v>0</v>
          </cell>
          <cell r="AC273" t="str">
            <v>0</v>
          </cell>
          <cell r="AD273" t="str">
            <v>0</v>
          </cell>
          <cell r="AE273" t="str">
            <v>0</v>
          </cell>
        </row>
        <row r="274">
          <cell r="D274" t="str">
            <v>24-Sep</v>
          </cell>
          <cell r="E274" t="str">
            <v>0</v>
          </cell>
          <cell r="F274" t="str">
            <v>0</v>
          </cell>
          <cell r="G274" t="str">
            <v>0</v>
          </cell>
          <cell r="H274" t="str">
            <v>0</v>
          </cell>
          <cell r="I274" t="str">
            <v>0</v>
          </cell>
          <cell r="J274" t="str">
            <v>0</v>
          </cell>
          <cell r="K274" t="str">
            <v>0</v>
          </cell>
          <cell r="L274" t="str">
            <v>0</v>
          </cell>
          <cell r="M274" t="str">
            <v>0</v>
          </cell>
          <cell r="N274" t="str">
            <v>0</v>
          </cell>
          <cell r="O274" t="str">
            <v>0</v>
          </cell>
          <cell r="P274" t="str">
            <v>0</v>
          </cell>
          <cell r="Q274" t="str">
            <v>0</v>
          </cell>
          <cell r="R274" t="str">
            <v>0</v>
          </cell>
          <cell r="S274" t="str">
            <v>0</v>
          </cell>
          <cell r="T274" t="str">
            <v>0</v>
          </cell>
          <cell r="U274" t="str">
            <v>0</v>
          </cell>
          <cell r="V274" t="str">
            <v>0</v>
          </cell>
          <cell r="W274" t="str">
            <v>0</v>
          </cell>
          <cell r="X274" t="str">
            <v>0</v>
          </cell>
          <cell r="Y274" t="str">
            <v>0</v>
          </cell>
          <cell r="Z274" t="str">
            <v>0</v>
          </cell>
          <cell r="AA274" t="str">
            <v>0</v>
          </cell>
          <cell r="AB274" t="str">
            <v>0</v>
          </cell>
          <cell r="AC274" t="str">
            <v>0</v>
          </cell>
          <cell r="AD274" t="str">
            <v>0</v>
          </cell>
          <cell r="AE274" t="str">
            <v>0</v>
          </cell>
        </row>
        <row r="275">
          <cell r="D275" t="str">
            <v>25-Sep</v>
          </cell>
          <cell r="E275" t="str">
            <v>0</v>
          </cell>
          <cell r="F275" t="str">
            <v>0</v>
          </cell>
          <cell r="G275" t="str">
            <v>0</v>
          </cell>
          <cell r="H275" t="str">
            <v>0</v>
          </cell>
          <cell r="I275" t="str">
            <v>0</v>
          </cell>
          <cell r="J275" t="str">
            <v>0</v>
          </cell>
          <cell r="K275" t="str">
            <v>0</v>
          </cell>
          <cell r="L275" t="str">
            <v>0</v>
          </cell>
          <cell r="M275" t="str">
            <v>0</v>
          </cell>
          <cell r="N275" t="str">
            <v>0</v>
          </cell>
          <cell r="O275" t="str">
            <v>0</v>
          </cell>
          <cell r="P275" t="str">
            <v>0</v>
          </cell>
          <cell r="Q275" t="str">
            <v>0</v>
          </cell>
          <cell r="R275" t="str">
            <v>0</v>
          </cell>
          <cell r="S275" t="str">
            <v>0</v>
          </cell>
          <cell r="T275" t="str">
            <v>0</v>
          </cell>
          <cell r="U275" t="str">
            <v>0</v>
          </cell>
          <cell r="V275" t="str">
            <v>0</v>
          </cell>
          <cell r="W275" t="str">
            <v>0</v>
          </cell>
          <cell r="X275" t="str">
            <v>0</v>
          </cell>
          <cell r="Y275" t="str">
            <v>0</v>
          </cell>
          <cell r="Z275" t="str">
            <v>0</v>
          </cell>
          <cell r="AA275" t="str">
            <v>0</v>
          </cell>
          <cell r="AB275" t="str">
            <v>0</v>
          </cell>
          <cell r="AC275" t="str">
            <v>0</v>
          </cell>
          <cell r="AD275" t="str">
            <v>0</v>
          </cell>
          <cell r="AE275" t="str">
            <v>0</v>
          </cell>
        </row>
        <row r="276">
          <cell r="D276" t="str">
            <v>26-Sep</v>
          </cell>
          <cell r="E276" t="str">
            <v>0</v>
          </cell>
          <cell r="F276" t="str">
            <v>0</v>
          </cell>
          <cell r="G276" t="str">
            <v>0</v>
          </cell>
          <cell r="H276" t="str">
            <v>0</v>
          </cell>
          <cell r="I276" t="str">
            <v>0</v>
          </cell>
          <cell r="J276" t="str">
            <v>0</v>
          </cell>
          <cell r="K276" t="str">
            <v>0</v>
          </cell>
          <cell r="L276" t="str">
            <v>0</v>
          </cell>
          <cell r="M276" t="str">
            <v>0</v>
          </cell>
          <cell r="N276" t="str">
            <v>0</v>
          </cell>
          <cell r="O276" t="str">
            <v>0</v>
          </cell>
          <cell r="P276" t="str">
            <v>0</v>
          </cell>
          <cell r="Q276" t="str">
            <v>0</v>
          </cell>
          <cell r="R276" t="str">
            <v>0</v>
          </cell>
          <cell r="S276" t="str">
            <v>0</v>
          </cell>
          <cell r="T276" t="str">
            <v>0</v>
          </cell>
          <cell r="U276" t="str">
            <v>0</v>
          </cell>
          <cell r="V276" t="str">
            <v>0</v>
          </cell>
          <cell r="W276" t="str">
            <v>0</v>
          </cell>
          <cell r="X276" t="str">
            <v>0</v>
          </cell>
          <cell r="Y276" t="str">
            <v>0</v>
          </cell>
          <cell r="Z276" t="str">
            <v>0</v>
          </cell>
          <cell r="AA276" t="str">
            <v>0</v>
          </cell>
          <cell r="AB276" t="str">
            <v>0</v>
          </cell>
          <cell r="AC276" t="str">
            <v>0</v>
          </cell>
          <cell r="AD276" t="str">
            <v>0</v>
          </cell>
          <cell r="AE276" t="str">
            <v>0</v>
          </cell>
        </row>
        <row r="277">
          <cell r="D277" t="str">
            <v>27-Sep</v>
          </cell>
          <cell r="E277" t="str">
            <v>0</v>
          </cell>
          <cell r="F277" t="str">
            <v>0</v>
          </cell>
          <cell r="G277" t="str">
            <v>0</v>
          </cell>
          <cell r="H277" t="str">
            <v>0</v>
          </cell>
          <cell r="I277" t="str">
            <v>0</v>
          </cell>
          <cell r="J277" t="str">
            <v>0</v>
          </cell>
          <cell r="K277" t="str">
            <v>0</v>
          </cell>
          <cell r="L277" t="str">
            <v>0</v>
          </cell>
          <cell r="M277" t="str">
            <v>0</v>
          </cell>
          <cell r="N277" t="str">
            <v>0</v>
          </cell>
          <cell r="O277" t="str">
            <v>0</v>
          </cell>
          <cell r="P277" t="str">
            <v>0</v>
          </cell>
          <cell r="Q277" t="str">
            <v>0</v>
          </cell>
          <cell r="R277" t="str">
            <v>0</v>
          </cell>
          <cell r="S277" t="str">
            <v>0</v>
          </cell>
          <cell r="T277" t="str">
            <v>0</v>
          </cell>
          <cell r="U277" t="str">
            <v>0</v>
          </cell>
          <cell r="V277" t="str">
            <v>0</v>
          </cell>
          <cell r="W277" t="str">
            <v>0</v>
          </cell>
          <cell r="X277" t="str">
            <v>0</v>
          </cell>
          <cell r="Y277" t="str">
            <v>0</v>
          </cell>
          <cell r="Z277" t="str">
            <v>0</v>
          </cell>
          <cell r="AA277" t="str">
            <v>0</v>
          </cell>
          <cell r="AB277" t="str">
            <v>0</v>
          </cell>
          <cell r="AC277" t="str">
            <v>0</v>
          </cell>
          <cell r="AD277" t="str">
            <v>0</v>
          </cell>
          <cell r="AE277" t="str">
            <v>0</v>
          </cell>
        </row>
        <row r="278">
          <cell r="D278" t="str">
            <v>28-Sep</v>
          </cell>
          <cell r="E278" t="str">
            <v>0</v>
          </cell>
          <cell r="F278" t="str">
            <v>0</v>
          </cell>
          <cell r="G278" t="str">
            <v>0</v>
          </cell>
          <cell r="H278" t="str">
            <v>0</v>
          </cell>
          <cell r="I278" t="str">
            <v>0</v>
          </cell>
          <cell r="J278" t="str">
            <v>0</v>
          </cell>
          <cell r="K278" t="str">
            <v>0</v>
          </cell>
          <cell r="L278" t="str">
            <v>0</v>
          </cell>
          <cell r="M278" t="str">
            <v>0</v>
          </cell>
          <cell r="N278" t="str">
            <v>0</v>
          </cell>
          <cell r="O278" t="str">
            <v>0</v>
          </cell>
          <cell r="P278" t="str">
            <v>0</v>
          </cell>
          <cell r="Q278" t="str">
            <v>0</v>
          </cell>
          <cell r="R278" t="str">
            <v>0</v>
          </cell>
          <cell r="S278" t="str">
            <v>0</v>
          </cell>
          <cell r="T278" t="str">
            <v>0</v>
          </cell>
          <cell r="U278" t="str">
            <v>0</v>
          </cell>
          <cell r="V278" t="str">
            <v>0</v>
          </cell>
          <cell r="W278" t="str">
            <v>0</v>
          </cell>
          <cell r="X278" t="str">
            <v>0</v>
          </cell>
          <cell r="Y278" t="str">
            <v>0</v>
          </cell>
          <cell r="Z278" t="str">
            <v>0</v>
          </cell>
          <cell r="AA278" t="str">
            <v>0</v>
          </cell>
          <cell r="AB278" t="str">
            <v>0</v>
          </cell>
          <cell r="AC278" t="str">
            <v>0</v>
          </cell>
          <cell r="AD278" t="str">
            <v>0</v>
          </cell>
          <cell r="AE278" t="str">
            <v>0</v>
          </cell>
        </row>
        <row r="279">
          <cell r="D279" t="str">
            <v>29-Sep</v>
          </cell>
          <cell r="E279" t="str">
            <v>0</v>
          </cell>
          <cell r="F279" t="str">
            <v>0</v>
          </cell>
          <cell r="G279" t="str">
            <v>0</v>
          </cell>
          <cell r="H279" t="str">
            <v>0</v>
          </cell>
          <cell r="I279" t="str">
            <v>0</v>
          </cell>
          <cell r="J279" t="str">
            <v>0</v>
          </cell>
          <cell r="K279" t="str">
            <v>0</v>
          </cell>
          <cell r="L279" t="str">
            <v>0</v>
          </cell>
          <cell r="M279" t="str">
            <v>0</v>
          </cell>
          <cell r="N279" t="str">
            <v>0</v>
          </cell>
          <cell r="O279" t="str">
            <v>0</v>
          </cell>
          <cell r="P279" t="str">
            <v>0</v>
          </cell>
          <cell r="Q279" t="str">
            <v>0</v>
          </cell>
          <cell r="R279" t="str">
            <v>0</v>
          </cell>
          <cell r="S279" t="str">
            <v>0</v>
          </cell>
          <cell r="T279" t="str">
            <v>0</v>
          </cell>
          <cell r="U279" t="str">
            <v>0</v>
          </cell>
          <cell r="V279" t="str">
            <v>0</v>
          </cell>
          <cell r="W279" t="str">
            <v>0</v>
          </cell>
          <cell r="X279" t="str">
            <v>0</v>
          </cell>
          <cell r="Y279" t="str">
            <v>0</v>
          </cell>
          <cell r="Z279" t="str">
            <v>0</v>
          </cell>
          <cell r="AA279" t="str">
            <v>0</v>
          </cell>
          <cell r="AB279" t="str">
            <v>0</v>
          </cell>
          <cell r="AC279" t="str">
            <v>0</v>
          </cell>
          <cell r="AD279" t="str">
            <v>0</v>
          </cell>
          <cell r="AE279" t="str">
            <v>0</v>
          </cell>
        </row>
        <row r="280">
          <cell r="D280" t="str">
            <v>30-Sep</v>
          </cell>
          <cell r="E280" t="str">
            <v>0</v>
          </cell>
          <cell r="F280" t="str">
            <v>0</v>
          </cell>
          <cell r="G280" t="str">
            <v>0</v>
          </cell>
          <cell r="H280" t="str">
            <v>0</v>
          </cell>
          <cell r="I280" t="str">
            <v>0</v>
          </cell>
          <cell r="J280" t="str">
            <v>0</v>
          </cell>
          <cell r="K280" t="str">
            <v>0</v>
          </cell>
          <cell r="L280" t="str">
            <v>0</v>
          </cell>
          <cell r="M280" t="str">
            <v>0</v>
          </cell>
          <cell r="N280" t="str">
            <v>0</v>
          </cell>
          <cell r="O280" t="str">
            <v>0</v>
          </cell>
          <cell r="P280" t="str">
            <v>0</v>
          </cell>
          <cell r="Q280" t="str">
            <v>0</v>
          </cell>
          <cell r="R280" t="str">
            <v>0</v>
          </cell>
          <cell r="S280" t="str">
            <v>0</v>
          </cell>
          <cell r="T280" t="str">
            <v>0</v>
          </cell>
          <cell r="U280" t="str">
            <v>0</v>
          </cell>
          <cell r="V280" t="str">
            <v>0</v>
          </cell>
          <cell r="W280" t="str">
            <v>0</v>
          </cell>
          <cell r="X280" t="str">
            <v>0</v>
          </cell>
          <cell r="Y280" t="str">
            <v>0</v>
          </cell>
          <cell r="Z280" t="str">
            <v>0</v>
          </cell>
          <cell r="AA280" t="str">
            <v>0</v>
          </cell>
          <cell r="AB280" t="str">
            <v>0</v>
          </cell>
          <cell r="AC280" t="str">
            <v>0</v>
          </cell>
          <cell r="AD280" t="str">
            <v>0</v>
          </cell>
          <cell r="AE280" t="str">
            <v>0</v>
          </cell>
        </row>
        <row r="281">
          <cell r="D281" t="str">
            <v>01-Oct</v>
          </cell>
          <cell r="E281" t="str">
            <v>0</v>
          </cell>
          <cell r="F281" t="str">
            <v>0</v>
          </cell>
          <cell r="G281" t="str">
            <v>0</v>
          </cell>
          <cell r="H281" t="str">
            <v>0</v>
          </cell>
          <cell r="I281" t="str">
            <v>0</v>
          </cell>
          <cell r="J281" t="str">
            <v>0</v>
          </cell>
          <cell r="K281" t="str">
            <v>0</v>
          </cell>
          <cell r="L281" t="str">
            <v>0</v>
          </cell>
          <cell r="M281" t="str">
            <v>0</v>
          </cell>
          <cell r="N281" t="str">
            <v>0</v>
          </cell>
          <cell r="O281" t="str">
            <v>0</v>
          </cell>
          <cell r="P281" t="str">
            <v>0</v>
          </cell>
          <cell r="Q281" t="str">
            <v>0</v>
          </cell>
          <cell r="R281" t="str">
            <v>0</v>
          </cell>
          <cell r="S281" t="str">
            <v>0</v>
          </cell>
          <cell r="T281" t="str">
            <v>0</v>
          </cell>
          <cell r="U281" t="str">
            <v>0</v>
          </cell>
          <cell r="V281" t="str">
            <v>0</v>
          </cell>
          <cell r="W281" t="str">
            <v>0</v>
          </cell>
          <cell r="X281" t="str">
            <v>0</v>
          </cell>
          <cell r="Y281" t="str">
            <v>0</v>
          </cell>
          <cell r="Z281" t="str">
            <v>0</v>
          </cell>
          <cell r="AA281" t="str">
            <v>0</v>
          </cell>
          <cell r="AB281" t="str">
            <v>0</v>
          </cell>
          <cell r="AC281" t="str">
            <v>0</v>
          </cell>
          <cell r="AD281" t="str">
            <v>0</v>
          </cell>
          <cell r="AE281" t="str">
            <v>0</v>
          </cell>
        </row>
        <row r="282">
          <cell r="D282" t="str">
            <v>02-Oct</v>
          </cell>
          <cell r="E282" t="str">
            <v>0</v>
          </cell>
          <cell r="F282" t="str">
            <v>0</v>
          </cell>
          <cell r="G282" t="str">
            <v>0</v>
          </cell>
          <cell r="H282" t="str">
            <v>0</v>
          </cell>
          <cell r="I282" t="str">
            <v>0</v>
          </cell>
          <cell r="J282" t="str">
            <v>0</v>
          </cell>
          <cell r="K282" t="str">
            <v>0</v>
          </cell>
          <cell r="L282" t="str">
            <v>0</v>
          </cell>
          <cell r="M282" t="str">
            <v>0</v>
          </cell>
          <cell r="N282" t="str">
            <v>0</v>
          </cell>
          <cell r="O282" t="str">
            <v>0</v>
          </cell>
          <cell r="P282" t="str">
            <v>0</v>
          </cell>
          <cell r="Q282" t="str">
            <v>0</v>
          </cell>
          <cell r="R282" t="str">
            <v>0</v>
          </cell>
          <cell r="S282" t="str">
            <v>0</v>
          </cell>
          <cell r="T282" t="str">
            <v>0</v>
          </cell>
          <cell r="U282" t="str">
            <v>0</v>
          </cell>
          <cell r="V282" t="str">
            <v>0</v>
          </cell>
          <cell r="W282" t="str">
            <v>0</v>
          </cell>
          <cell r="X282" t="str">
            <v>0</v>
          </cell>
          <cell r="Y282" t="str">
            <v>0</v>
          </cell>
          <cell r="Z282" t="str">
            <v>0</v>
          </cell>
          <cell r="AA282" t="str">
            <v>0</v>
          </cell>
          <cell r="AB282" t="str">
            <v>0</v>
          </cell>
          <cell r="AC282" t="str">
            <v>0</v>
          </cell>
          <cell r="AD282" t="str">
            <v>0</v>
          </cell>
          <cell r="AE282" t="str">
            <v>0</v>
          </cell>
        </row>
        <row r="283">
          <cell r="D283" t="str">
            <v>03-Oct</v>
          </cell>
          <cell r="E283" t="str">
            <v>0</v>
          </cell>
          <cell r="F283" t="str">
            <v>0</v>
          </cell>
          <cell r="G283" t="str">
            <v>0</v>
          </cell>
          <cell r="H283" t="str">
            <v>0</v>
          </cell>
          <cell r="I283" t="str">
            <v>0</v>
          </cell>
          <cell r="J283" t="str">
            <v>0</v>
          </cell>
          <cell r="K283" t="str">
            <v>0</v>
          </cell>
          <cell r="L283" t="str">
            <v>0</v>
          </cell>
          <cell r="M283" t="str">
            <v>0</v>
          </cell>
          <cell r="N283" t="str">
            <v>0</v>
          </cell>
          <cell r="O283" t="str">
            <v>0</v>
          </cell>
          <cell r="P283" t="str">
            <v>0</v>
          </cell>
          <cell r="Q283" t="str">
            <v>0</v>
          </cell>
          <cell r="R283" t="str">
            <v>0</v>
          </cell>
          <cell r="S283" t="str">
            <v>0</v>
          </cell>
          <cell r="T283" t="str">
            <v>0</v>
          </cell>
          <cell r="U283" t="str">
            <v>0</v>
          </cell>
          <cell r="V283" t="str">
            <v>0</v>
          </cell>
          <cell r="W283" t="str">
            <v>0</v>
          </cell>
          <cell r="X283" t="str">
            <v>0</v>
          </cell>
          <cell r="Y283" t="str">
            <v>0</v>
          </cell>
          <cell r="Z283" t="str">
            <v>0</v>
          </cell>
          <cell r="AA283" t="str">
            <v>0</v>
          </cell>
          <cell r="AB283" t="str">
            <v>0</v>
          </cell>
          <cell r="AC283" t="str">
            <v>0</v>
          </cell>
          <cell r="AD283" t="str">
            <v>0</v>
          </cell>
          <cell r="AE283" t="str">
            <v>0</v>
          </cell>
        </row>
        <row r="284">
          <cell r="D284" t="str">
            <v>04-Oct</v>
          </cell>
          <cell r="E284" t="str">
            <v>0</v>
          </cell>
          <cell r="F284" t="str">
            <v>0</v>
          </cell>
          <cell r="G284" t="str">
            <v>0</v>
          </cell>
          <cell r="H284" t="str">
            <v>0</v>
          </cell>
          <cell r="I284" t="str">
            <v>0</v>
          </cell>
          <cell r="J284" t="str">
            <v>0</v>
          </cell>
          <cell r="K284" t="str">
            <v>0</v>
          </cell>
          <cell r="L284" t="str">
            <v>0</v>
          </cell>
          <cell r="M284" t="str">
            <v>0</v>
          </cell>
          <cell r="N284" t="str">
            <v>0</v>
          </cell>
          <cell r="O284" t="str">
            <v>0</v>
          </cell>
          <cell r="P284" t="str">
            <v>0</v>
          </cell>
          <cell r="Q284" t="str">
            <v>0</v>
          </cell>
          <cell r="R284" t="str">
            <v>0</v>
          </cell>
          <cell r="S284" t="str">
            <v>0</v>
          </cell>
          <cell r="T284" t="str">
            <v>0</v>
          </cell>
          <cell r="U284" t="str">
            <v>0</v>
          </cell>
          <cell r="V284" t="str">
            <v>0</v>
          </cell>
          <cell r="W284" t="str">
            <v>0</v>
          </cell>
          <cell r="X284" t="str">
            <v>0</v>
          </cell>
          <cell r="Y284" t="str">
            <v>0</v>
          </cell>
          <cell r="Z284" t="str">
            <v>0</v>
          </cell>
          <cell r="AA284" t="str">
            <v>0</v>
          </cell>
          <cell r="AB284" t="str">
            <v>0</v>
          </cell>
          <cell r="AC284" t="str">
            <v>0</v>
          </cell>
          <cell r="AD284" t="str">
            <v>0</v>
          </cell>
          <cell r="AE284" t="str">
            <v>0</v>
          </cell>
        </row>
        <row r="285">
          <cell r="D285" t="str">
            <v>05-Oct</v>
          </cell>
          <cell r="E285" t="str">
            <v>0</v>
          </cell>
          <cell r="F285" t="str">
            <v>0</v>
          </cell>
          <cell r="G285" t="str">
            <v>0</v>
          </cell>
          <cell r="H285" t="str">
            <v>0</v>
          </cell>
          <cell r="I285" t="str">
            <v>0</v>
          </cell>
          <cell r="J285" t="str">
            <v>0</v>
          </cell>
          <cell r="K285" t="str">
            <v>0</v>
          </cell>
          <cell r="L285" t="str">
            <v>0</v>
          </cell>
          <cell r="M285" t="str">
            <v>0</v>
          </cell>
          <cell r="N285" t="str">
            <v>0</v>
          </cell>
          <cell r="O285" t="str">
            <v>0</v>
          </cell>
          <cell r="P285" t="str">
            <v>0</v>
          </cell>
          <cell r="Q285" t="str">
            <v>0</v>
          </cell>
          <cell r="R285" t="str">
            <v>0</v>
          </cell>
          <cell r="S285" t="str">
            <v>0</v>
          </cell>
          <cell r="T285" t="str">
            <v>0</v>
          </cell>
          <cell r="U285" t="str">
            <v>0</v>
          </cell>
          <cell r="V285" t="str">
            <v>0</v>
          </cell>
          <cell r="W285" t="str">
            <v>0</v>
          </cell>
          <cell r="X285" t="str">
            <v>0</v>
          </cell>
          <cell r="Y285" t="str">
            <v>0</v>
          </cell>
          <cell r="Z285" t="str">
            <v>0</v>
          </cell>
          <cell r="AA285" t="str">
            <v>0</v>
          </cell>
          <cell r="AB285" t="str">
            <v>0</v>
          </cell>
          <cell r="AC285" t="str">
            <v>0</v>
          </cell>
          <cell r="AD285" t="str">
            <v>0</v>
          </cell>
          <cell r="AE285" t="str">
            <v>0</v>
          </cell>
        </row>
        <row r="286">
          <cell r="D286" t="str">
            <v>06-Oct</v>
          </cell>
          <cell r="E286" t="str">
            <v>0</v>
          </cell>
          <cell r="F286" t="str">
            <v>0</v>
          </cell>
          <cell r="G286" t="str">
            <v>0</v>
          </cell>
          <cell r="H286" t="str">
            <v>0</v>
          </cell>
          <cell r="I286" t="str">
            <v>0</v>
          </cell>
          <cell r="J286" t="str">
            <v>0</v>
          </cell>
          <cell r="K286" t="str">
            <v>0</v>
          </cell>
          <cell r="L286" t="str">
            <v>0</v>
          </cell>
          <cell r="M286" t="str">
            <v>0</v>
          </cell>
          <cell r="N286" t="str">
            <v>0</v>
          </cell>
          <cell r="O286" t="str">
            <v>0</v>
          </cell>
          <cell r="P286" t="str">
            <v>0</v>
          </cell>
          <cell r="Q286" t="str">
            <v>0</v>
          </cell>
          <cell r="R286" t="str">
            <v>0</v>
          </cell>
          <cell r="S286" t="str">
            <v>0</v>
          </cell>
          <cell r="T286" t="str">
            <v>0</v>
          </cell>
          <cell r="U286" t="str">
            <v>0</v>
          </cell>
          <cell r="V286" t="str">
            <v>0</v>
          </cell>
          <cell r="W286" t="str">
            <v>0</v>
          </cell>
          <cell r="X286" t="str">
            <v>0</v>
          </cell>
          <cell r="Y286" t="str">
            <v>0</v>
          </cell>
          <cell r="Z286" t="str">
            <v>0</v>
          </cell>
          <cell r="AA286" t="str">
            <v>0</v>
          </cell>
          <cell r="AB286" t="str">
            <v>0</v>
          </cell>
          <cell r="AC286" t="str">
            <v>0</v>
          </cell>
          <cell r="AD286" t="str">
            <v>0</v>
          </cell>
          <cell r="AE286" t="str">
            <v>0</v>
          </cell>
        </row>
        <row r="287">
          <cell r="D287" t="str">
            <v>07-Oct</v>
          </cell>
          <cell r="E287" t="str">
            <v>0</v>
          </cell>
          <cell r="F287" t="str">
            <v>0</v>
          </cell>
          <cell r="G287" t="str">
            <v>0</v>
          </cell>
          <cell r="H287" t="str">
            <v>0</v>
          </cell>
          <cell r="I287" t="str">
            <v>0</v>
          </cell>
          <cell r="J287" t="str">
            <v>0</v>
          </cell>
          <cell r="K287" t="str">
            <v>0</v>
          </cell>
          <cell r="L287" t="str">
            <v>0</v>
          </cell>
          <cell r="M287" t="str">
            <v>0</v>
          </cell>
          <cell r="N287" t="str">
            <v>0</v>
          </cell>
          <cell r="O287" t="str">
            <v>0</v>
          </cell>
          <cell r="P287" t="str">
            <v>0</v>
          </cell>
          <cell r="Q287" t="str">
            <v>0</v>
          </cell>
          <cell r="R287" t="str">
            <v>0</v>
          </cell>
          <cell r="S287" t="str">
            <v>0</v>
          </cell>
          <cell r="T287" t="str">
            <v>0</v>
          </cell>
          <cell r="U287" t="str">
            <v>0</v>
          </cell>
          <cell r="V287" t="str">
            <v>0</v>
          </cell>
          <cell r="W287" t="str">
            <v>0</v>
          </cell>
          <cell r="X287" t="str">
            <v>0</v>
          </cell>
          <cell r="Y287" t="str">
            <v>0</v>
          </cell>
          <cell r="Z287" t="str">
            <v>0</v>
          </cell>
          <cell r="AA287" t="str">
            <v>0</v>
          </cell>
          <cell r="AB287" t="str">
            <v>0</v>
          </cell>
          <cell r="AC287" t="str">
            <v>0</v>
          </cell>
          <cell r="AD287" t="str">
            <v>0</v>
          </cell>
          <cell r="AE287" t="str">
            <v>0</v>
          </cell>
        </row>
        <row r="288">
          <cell r="D288" t="str">
            <v>08-Oct</v>
          </cell>
          <cell r="E288" t="str">
            <v>0</v>
          </cell>
          <cell r="F288" t="str">
            <v>0</v>
          </cell>
          <cell r="G288" t="str">
            <v>0</v>
          </cell>
          <cell r="H288" t="str">
            <v>0</v>
          </cell>
          <cell r="I288" t="str">
            <v>0</v>
          </cell>
          <cell r="J288" t="str">
            <v>0</v>
          </cell>
          <cell r="K288" t="str">
            <v>0</v>
          </cell>
          <cell r="L288" t="str">
            <v>0</v>
          </cell>
          <cell r="M288" t="str">
            <v>0</v>
          </cell>
          <cell r="N288" t="str">
            <v>0</v>
          </cell>
          <cell r="O288" t="str">
            <v>0</v>
          </cell>
          <cell r="P288" t="str">
            <v>0</v>
          </cell>
          <cell r="Q288" t="str">
            <v>0</v>
          </cell>
          <cell r="R288" t="str">
            <v>0</v>
          </cell>
          <cell r="S288" t="str">
            <v>0</v>
          </cell>
          <cell r="T288" t="str">
            <v>0</v>
          </cell>
          <cell r="U288" t="str">
            <v>0</v>
          </cell>
          <cell r="V288" t="str">
            <v>0</v>
          </cell>
          <cell r="W288" t="str">
            <v>0</v>
          </cell>
          <cell r="X288" t="str">
            <v>0</v>
          </cell>
          <cell r="Y288" t="str">
            <v>0</v>
          </cell>
          <cell r="Z288" t="str">
            <v>0</v>
          </cell>
          <cell r="AA288" t="str">
            <v>0</v>
          </cell>
          <cell r="AB288" t="str">
            <v>0</v>
          </cell>
          <cell r="AC288" t="str">
            <v>0</v>
          </cell>
          <cell r="AD288" t="str">
            <v>0</v>
          </cell>
          <cell r="AE288" t="str">
            <v>0</v>
          </cell>
        </row>
        <row r="289">
          <cell r="D289" t="str">
            <v>09-Oct</v>
          </cell>
          <cell r="E289" t="str">
            <v>0</v>
          </cell>
          <cell r="F289" t="str">
            <v>0</v>
          </cell>
          <cell r="G289" t="str">
            <v>0</v>
          </cell>
          <cell r="H289" t="str">
            <v>0</v>
          </cell>
          <cell r="I289" t="str">
            <v>0</v>
          </cell>
          <cell r="J289" t="str">
            <v>0</v>
          </cell>
          <cell r="K289" t="str">
            <v>0</v>
          </cell>
          <cell r="L289" t="str">
            <v>0</v>
          </cell>
          <cell r="M289" t="str">
            <v>0</v>
          </cell>
          <cell r="N289" t="str">
            <v>0</v>
          </cell>
          <cell r="O289" t="str">
            <v>0</v>
          </cell>
          <cell r="P289" t="str">
            <v>0</v>
          </cell>
          <cell r="Q289" t="str">
            <v>0</v>
          </cell>
          <cell r="R289" t="str">
            <v>0</v>
          </cell>
          <cell r="S289" t="str">
            <v>0</v>
          </cell>
          <cell r="T289" t="str">
            <v>0</v>
          </cell>
          <cell r="U289" t="str">
            <v>0</v>
          </cell>
          <cell r="V289" t="str">
            <v>0</v>
          </cell>
          <cell r="W289" t="str">
            <v>0</v>
          </cell>
          <cell r="X289" t="str">
            <v>0</v>
          </cell>
          <cell r="Y289" t="str">
            <v>0</v>
          </cell>
          <cell r="Z289" t="str">
            <v>0</v>
          </cell>
          <cell r="AA289" t="str">
            <v>0</v>
          </cell>
          <cell r="AB289" t="str">
            <v>0</v>
          </cell>
          <cell r="AC289" t="str">
            <v>0</v>
          </cell>
          <cell r="AD289" t="str">
            <v>0</v>
          </cell>
          <cell r="AE289" t="str">
            <v>0</v>
          </cell>
        </row>
        <row r="290">
          <cell r="D290" t="str">
            <v>10-Oct</v>
          </cell>
          <cell r="E290" t="str">
            <v>0</v>
          </cell>
          <cell r="F290" t="str">
            <v>0</v>
          </cell>
          <cell r="G290" t="str">
            <v>0</v>
          </cell>
          <cell r="H290" t="str">
            <v>0</v>
          </cell>
          <cell r="I290" t="str">
            <v>0</v>
          </cell>
          <cell r="J290" t="str">
            <v>0</v>
          </cell>
          <cell r="K290" t="str">
            <v>0</v>
          </cell>
          <cell r="L290" t="str">
            <v>0</v>
          </cell>
          <cell r="M290" t="str">
            <v>0</v>
          </cell>
          <cell r="N290" t="str">
            <v>0</v>
          </cell>
          <cell r="O290" t="str">
            <v>0</v>
          </cell>
          <cell r="P290" t="str">
            <v>0</v>
          </cell>
          <cell r="Q290" t="str">
            <v>0</v>
          </cell>
          <cell r="R290" t="str">
            <v>0</v>
          </cell>
          <cell r="S290" t="str">
            <v>0</v>
          </cell>
          <cell r="T290" t="str">
            <v>0</v>
          </cell>
          <cell r="U290" t="str">
            <v>0</v>
          </cell>
          <cell r="V290" t="str">
            <v>0</v>
          </cell>
          <cell r="W290" t="str">
            <v>0</v>
          </cell>
          <cell r="X290" t="str">
            <v>0</v>
          </cell>
          <cell r="Y290" t="str">
            <v>0</v>
          </cell>
          <cell r="Z290" t="str">
            <v>0</v>
          </cell>
          <cell r="AA290" t="str">
            <v>0</v>
          </cell>
          <cell r="AB290" t="str">
            <v>0</v>
          </cell>
          <cell r="AC290" t="str">
            <v>0</v>
          </cell>
          <cell r="AD290" t="str">
            <v>0</v>
          </cell>
          <cell r="AE290" t="str">
            <v>0</v>
          </cell>
        </row>
        <row r="291">
          <cell r="D291" t="str">
            <v>11-Oct</v>
          </cell>
          <cell r="E291" t="str">
            <v>0</v>
          </cell>
          <cell r="F291" t="str">
            <v>0</v>
          </cell>
          <cell r="G291" t="str">
            <v>0</v>
          </cell>
          <cell r="H291" t="str">
            <v>0</v>
          </cell>
          <cell r="I291" t="str">
            <v>0</v>
          </cell>
          <cell r="J291" t="str">
            <v>0</v>
          </cell>
          <cell r="K291" t="str">
            <v>0</v>
          </cell>
          <cell r="L291" t="str">
            <v>0</v>
          </cell>
          <cell r="M291" t="str">
            <v>0</v>
          </cell>
          <cell r="N291" t="str">
            <v>0</v>
          </cell>
          <cell r="O291" t="str">
            <v>0</v>
          </cell>
          <cell r="P291" t="str">
            <v>0</v>
          </cell>
          <cell r="Q291" t="str">
            <v>0</v>
          </cell>
          <cell r="R291" t="str">
            <v>0</v>
          </cell>
          <cell r="S291" t="str">
            <v>0</v>
          </cell>
          <cell r="T291" t="str">
            <v>0</v>
          </cell>
          <cell r="U291" t="str">
            <v>0</v>
          </cell>
          <cell r="V291" t="str">
            <v>0</v>
          </cell>
          <cell r="W291" t="str">
            <v>0</v>
          </cell>
          <cell r="X291" t="str">
            <v>0</v>
          </cell>
          <cell r="Y291" t="str">
            <v>0</v>
          </cell>
          <cell r="Z291" t="str">
            <v>0</v>
          </cell>
          <cell r="AA291" t="str">
            <v>0</v>
          </cell>
          <cell r="AB291" t="str">
            <v>0</v>
          </cell>
          <cell r="AC291" t="str">
            <v>0</v>
          </cell>
          <cell r="AD291" t="str">
            <v>0</v>
          </cell>
          <cell r="AE291" t="str">
            <v>0</v>
          </cell>
        </row>
        <row r="292">
          <cell r="D292" t="str">
            <v>12-Oct</v>
          </cell>
          <cell r="E292" t="str">
            <v>0</v>
          </cell>
          <cell r="F292" t="str">
            <v>0</v>
          </cell>
          <cell r="G292" t="str">
            <v>0</v>
          </cell>
          <cell r="H292" t="str">
            <v>0</v>
          </cell>
          <cell r="I292" t="str">
            <v>0</v>
          </cell>
          <cell r="J292" t="str">
            <v>0</v>
          </cell>
          <cell r="K292" t="str">
            <v>0</v>
          </cell>
          <cell r="L292" t="str">
            <v>0</v>
          </cell>
          <cell r="M292" t="str">
            <v>0</v>
          </cell>
          <cell r="N292" t="str">
            <v>0</v>
          </cell>
          <cell r="O292" t="str">
            <v>0</v>
          </cell>
          <cell r="P292" t="str">
            <v>0</v>
          </cell>
          <cell r="Q292" t="str">
            <v>0</v>
          </cell>
          <cell r="R292" t="str">
            <v>0</v>
          </cell>
          <cell r="S292" t="str">
            <v>0</v>
          </cell>
          <cell r="T292" t="str">
            <v>0</v>
          </cell>
          <cell r="U292" t="str">
            <v>0</v>
          </cell>
          <cell r="V292" t="str">
            <v>0</v>
          </cell>
          <cell r="W292" t="str">
            <v>0</v>
          </cell>
          <cell r="X292" t="str">
            <v>0</v>
          </cell>
          <cell r="Y292" t="str">
            <v>0</v>
          </cell>
          <cell r="Z292" t="str">
            <v>0</v>
          </cell>
          <cell r="AA292" t="str">
            <v>0</v>
          </cell>
          <cell r="AB292" t="str">
            <v>0</v>
          </cell>
          <cell r="AC292" t="str">
            <v>0</v>
          </cell>
          <cell r="AD292" t="str">
            <v>0</v>
          </cell>
          <cell r="AE292" t="str">
            <v>0</v>
          </cell>
        </row>
        <row r="293">
          <cell r="D293" t="str">
            <v>13-Oct</v>
          </cell>
          <cell r="E293" t="str">
            <v>0</v>
          </cell>
          <cell r="F293" t="str">
            <v>0</v>
          </cell>
          <cell r="G293" t="str">
            <v>0</v>
          </cell>
          <cell r="H293" t="str">
            <v>0</v>
          </cell>
          <cell r="I293" t="str">
            <v>0</v>
          </cell>
          <cell r="J293" t="str">
            <v>0</v>
          </cell>
          <cell r="K293" t="str">
            <v>0</v>
          </cell>
          <cell r="L293" t="str">
            <v>0</v>
          </cell>
          <cell r="M293" t="str">
            <v>0</v>
          </cell>
          <cell r="N293" t="str">
            <v>0</v>
          </cell>
          <cell r="O293" t="str">
            <v>0</v>
          </cell>
          <cell r="P293" t="str">
            <v>0</v>
          </cell>
          <cell r="Q293" t="str">
            <v>0</v>
          </cell>
          <cell r="R293" t="str">
            <v>0</v>
          </cell>
          <cell r="S293" t="str">
            <v>0</v>
          </cell>
          <cell r="T293" t="str">
            <v>0</v>
          </cell>
          <cell r="U293" t="str">
            <v>0</v>
          </cell>
          <cell r="V293" t="str">
            <v>0</v>
          </cell>
          <cell r="W293" t="str">
            <v>0</v>
          </cell>
          <cell r="X293" t="str">
            <v>0</v>
          </cell>
          <cell r="Y293" t="str">
            <v>0</v>
          </cell>
          <cell r="Z293" t="str">
            <v>0</v>
          </cell>
          <cell r="AA293" t="str">
            <v>0</v>
          </cell>
          <cell r="AB293" t="str">
            <v>0</v>
          </cell>
          <cell r="AC293" t="str">
            <v>0</v>
          </cell>
          <cell r="AD293" t="str">
            <v>0</v>
          </cell>
          <cell r="AE293" t="str">
            <v>0</v>
          </cell>
        </row>
        <row r="294">
          <cell r="D294" t="str">
            <v>14-Oct</v>
          </cell>
          <cell r="E294" t="str">
            <v>0</v>
          </cell>
          <cell r="F294" t="str">
            <v>0</v>
          </cell>
          <cell r="G294" t="str">
            <v>0</v>
          </cell>
          <cell r="H294" t="str">
            <v>0</v>
          </cell>
          <cell r="I294" t="str">
            <v>0</v>
          </cell>
          <cell r="J294" t="str">
            <v>0</v>
          </cell>
          <cell r="K294" t="str">
            <v>0</v>
          </cell>
          <cell r="L294" t="str">
            <v>0</v>
          </cell>
          <cell r="M294" t="str">
            <v>0</v>
          </cell>
          <cell r="N294" t="str">
            <v>0</v>
          </cell>
          <cell r="O294" t="str">
            <v>0</v>
          </cell>
          <cell r="P294" t="str">
            <v>0</v>
          </cell>
          <cell r="Q294" t="str">
            <v>0</v>
          </cell>
          <cell r="R294" t="str">
            <v>0</v>
          </cell>
          <cell r="S294" t="str">
            <v>0</v>
          </cell>
          <cell r="T294" t="str">
            <v>0</v>
          </cell>
          <cell r="U294" t="str">
            <v>0</v>
          </cell>
          <cell r="V294" t="str">
            <v>0</v>
          </cell>
          <cell r="W294" t="str">
            <v>0</v>
          </cell>
          <cell r="X294" t="str">
            <v>0</v>
          </cell>
          <cell r="Y294" t="str">
            <v>0</v>
          </cell>
          <cell r="Z294" t="str">
            <v>0</v>
          </cell>
          <cell r="AA294" t="str">
            <v>0</v>
          </cell>
          <cell r="AB294" t="str">
            <v>0</v>
          </cell>
          <cell r="AC294" t="str">
            <v>0</v>
          </cell>
          <cell r="AD294" t="str">
            <v>0</v>
          </cell>
          <cell r="AE294" t="str">
            <v>0</v>
          </cell>
        </row>
        <row r="295">
          <cell r="D295" t="str">
            <v>15-Oct</v>
          </cell>
          <cell r="E295" t="str">
            <v>0</v>
          </cell>
          <cell r="F295" t="str">
            <v>0</v>
          </cell>
          <cell r="G295" t="str">
            <v>0</v>
          </cell>
          <cell r="H295" t="str">
            <v>0</v>
          </cell>
          <cell r="I295" t="str">
            <v>0</v>
          </cell>
          <cell r="J295" t="str">
            <v>0</v>
          </cell>
          <cell r="K295" t="str">
            <v>0</v>
          </cell>
          <cell r="L295" t="str">
            <v>0</v>
          </cell>
          <cell r="M295" t="str">
            <v>0</v>
          </cell>
          <cell r="N295" t="str">
            <v>0</v>
          </cell>
          <cell r="O295" t="str">
            <v>0</v>
          </cell>
          <cell r="P295" t="str">
            <v>0</v>
          </cell>
          <cell r="Q295" t="str">
            <v>0</v>
          </cell>
          <cell r="R295" t="str">
            <v>0</v>
          </cell>
          <cell r="S295" t="str">
            <v>0</v>
          </cell>
          <cell r="T295" t="str">
            <v>0</v>
          </cell>
          <cell r="U295" t="str">
            <v>0</v>
          </cell>
          <cell r="V295" t="str">
            <v>0</v>
          </cell>
          <cell r="W295" t="str">
            <v>0</v>
          </cell>
          <cell r="X295" t="str">
            <v>0</v>
          </cell>
          <cell r="Y295" t="str">
            <v>0</v>
          </cell>
          <cell r="Z295" t="str">
            <v>0</v>
          </cell>
          <cell r="AA295" t="str">
            <v>0</v>
          </cell>
          <cell r="AB295" t="str">
            <v>0</v>
          </cell>
          <cell r="AC295" t="str">
            <v>0</v>
          </cell>
          <cell r="AD295" t="str">
            <v>0</v>
          </cell>
          <cell r="AE295" t="str">
            <v>0</v>
          </cell>
        </row>
        <row r="296">
          <cell r="D296" t="str">
            <v>16-Oct</v>
          </cell>
          <cell r="E296" t="str">
            <v>0</v>
          </cell>
          <cell r="F296" t="str">
            <v>0</v>
          </cell>
          <cell r="G296" t="str">
            <v>0</v>
          </cell>
          <cell r="H296" t="str">
            <v>0</v>
          </cell>
          <cell r="I296" t="str">
            <v>0</v>
          </cell>
          <cell r="J296" t="str">
            <v>0</v>
          </cell>
          <cell r="K296" t="str">
            <v>0</v>
          </cell>
          <cell r="L296" t="str">
            <v>0</v>
          </cell>
          <cell r="M296" t="str">
            <v>0</v>
          </cell>
          <cell r="N296" t="str">
            <v>0</v>
          </cell>
          <cell r="O296" t="str">
            <v>0</v>
          </cell>
          <cell r="P296" t="str">
            <v>0</v>
          </cell>
          <cell r="Q296" t="str">
            <v>0</v>
          </cell>
          <cell r="R296" t="str">
            <v>0</v>
          </cell>
          <cell r="S296" t="str">
            <v>0</v>
          </cell>
          <cell r="T296" t="str">
            <v>0</v>
          </cell>
          <cell r="U296" t="str">
            <v>0</v>
          </cell>
          <cell r="V296" t="str">
            <v>0</v>
          </cell>
          <cell r="W296" t="str">
            <v>0</v>
          </cell>
          <cell r="X296" t="str">
            <v>0</v>
          </cell>
          <cell r="Y296" t="str">
            <v>0</v>
          </cell>
          <cell r="Z296" t="str">
            <v>0</v>
          </cell>
          <cell r="AA296" t="str">
            <v>0</v>
          </cell>
          <cell r="AB296" t="str">
            <v>0</v>
          </cell>
          <cell r="AC296" t="str">
            <v>0</v>
          </cell>
          <cell r="AD296" t="str">
            <v>0</v>
          </cell>
          <cell r="AE296" t="str">
            <v>0</v>
          </cell>
        </row>
        <row r="297">
          <cell r="D297" t="str">
            <v>17-Oct</v>
          </cell>
          <cell r="E297" t="str">
            <v>0</v>
          </cell>
          <cell r="F297" t="str">
            <v>0</v>
          </cell>
          <cell r="G297" t="str">
            <v>0</v>
          </cell>
          <cell r="H297" t="str">
            <v>0</v>
          </cell>
          <cell r="I297" t="str">
            <v>0</v>
          </cell>
          <cell r="J297" t="str">
            <v>0</v>
          </cell>
          <cell r="K297" t="str">
            <v>0</v>
          </cell>
          <cell r="L297" t="str">
            <v>0</v>
          </cell>
          <cell r="M297" t="str">
            <v>0</v>
          </cell>
          <cell r="N297" t="str">
            <v>0</v>
          </cell>
          <cell r="O297" t="str">
            <v>0</v>
          </cell>
          <cell r="P297" t="str">
            <v>0</v>
          </cell>
          <cell r="Q297" t="str">
            <v>0</v>
          </cell>
          <cell r="R297" t="str">
            <v>0</v>
          </cell>
          <cell r="S297" t="str">
            <v>0</v>
          </cell>
          <cell r="T297" t="str">
            <v>0</v>
          </cell>
          <cell r="U297" t="str">
            <v>0</v>
          </cell>
          <cell r="V297" t="str">
            <v>0</v>
          </cell>
          <cell r="W297" t="str">
            <v>0</v>
          </cell>
          <cell r="X297" t="str">
            <v>0</v>
          </cell>
          <cell r="Y297" t="str">
            <v>0</v>
          </cell>
          <cell r="Z297" t="str">
            <v>0</v>
          </cell>
          <cell r="AA297" t="str">
            <v>0</v>
          </cell>
          <cell r="AB297" t="str">
            <v>0</v>
          </cell>
          <cell r="AC297" t="str">
            <v>0</v>
          </cell>
          <cell r="AD297" t="str">
            <v>0</v>
          </cell>
          <cell r="AE297" t="str">
            <v>0</v>
          </cell>
        </row>
        <row r="298">
          <cell r="D298" t="str">
            <v>18-Oct</v>
          </cell>
          <cell r="E298" t="str">
            <v>0</v>
          </cell>
          <cell r="F298" t="str">
            <v>0</v>
          </cell>
          <cell r="G298" t="str">
            <v>0</v>
          </cell>
          <cell r="H298" t="str">
            <v>0</v>
          </cell>
          <cell r="I298" t="str">
            <v>0</v>
          </cell>
          <cell r="J298" t="str">
            <v>0</v>
          </cell>
          <cell r="K298" t="str">
            <v>0</v>
          </cell>
          <cell r="L298" t="str">
            <v>0</v>
          </cell>
          <cell r="M298" t="str">
            <v>0</v>
          </cell>
          <cell r="N298" t="str">
            <v>0</v>
          </cell>
          <cell r="O298" t="str">
            <v>0</v>
          </cell>
          <cell r="P298" t="str">
            <v>0</v>
          </cell>
          <cell r="Q298" t="str">
            <v>0</v>
          </cell>
          <cell r="R298" t="str">
            <v>0</v>
          </cell>
          <cell r="S298" t="str">
            <v>0</v>
          </cell>
          <cell r="T298" t="str">
            <v>0</v>
          </cell>
          <cell r="U298" t="str">
            <v>0</v>
          </cell>
          <cell r="V298" t="str">
            <v>0</v>
          </cell>
          <cell r="W298" t="str">
            <v>0</v>
          </cell>
          <cell r="X298" t="str">
            <v>0</v>
          </cell>
          <cell r="Y298" t="str">
            <v>0</v>
          </cell>
          <cell r="Z298" t="str">
            <v>0</v>
          </cell>
          <cell r="AA298" t="str">
            <v>0</v>
          </cell>
          <cell r="AB298" t="str">
            <v>0</v>
          </cell>
          <cell r="AC298" t="str">
            <v>0</v>
          </cell>
          <cell r="AD298" t="str">
            <v>0</v>
          </cell>
          <cell r="AE298" t="str">
            <v>0</v>
          </cell>
        </row>
        <row r="299">
          <cell r="D299" t="str">
            <v>19-Oct</v>
          </cell>
          <cell r="E299" t="str">
            <v>0</v>
          </cell>
          <cell r="F299" t="str">
            <v>0</v>
          </cell>
          <cell r="G299" t="str">
            <v>0</v>
          </cell>
          <cell r="H299" t="str">
            <v>0</v>
          </cell>
          <cell r="I299" t="str">
            <v>0</v>
          </cell>
          <cell r="J299" t="str">
            <v>0</v>
          </cell>
          <cell r="K299" t="str">
            <v>0</v>
          </cell>
          <cell r="L299" t="str">
            <v>0</v>
          </cell>
          <cell r="M299" t="str">
            <v>0</v>
          </cell>
          <cell r="N299" t="str">
            <v>0</v>
          </cell>
          <cell r="O299" t="str">
            <v>0</v>
          </cell>
          <cell r="P299" t="str">
            <v>0</v>
          </cell>
          <cell r="Q299" t="str">
            <v>0</v>
          </cell>
          <cell r="R299" t="str">
            <v>0</v>
          </cell>
          <cell r="S299" t="str">
            <v>0</v>
          </cell>
          <cell r="T299" t="str">
            <v>0</v>
          </cell>
          <cell r="U299" t="str">
            <v>0</v>
          </cell>
          <cell r="V299" t="str">
            <v>0</v>
          </cell>
          <cell r="W299" t="str">
            <v>0</v>
          </cell>
          <cell r="X299" t="str">
            <v>0</v>
          </cell>
          <cell r="Y299" t="str">
            <v>0</v>
          </cell>
          <cell r="Z299" t="str">
            <v>0</v>
          </cell>
          <cell r="AA299" t="str">
            <v>0</v>
          </cell>
          <cell r="AB299" t="str">
            <v>0</v>
          </cell>
          <cell r="AC299" t="str">
            <v>0</v>
          </cell>
          <cell r="AD299" t="str">
            <v>0</v>
          </cell>
          <cell r="AE299" t="str">
            <v>0</v>
          </cell>
        </row>
        <row r="300">
          <cell r="D300" t="str">
            <v>20-Oct</v>
          </cell>
          <cell r="E300" t="str">
            <v>0</v>
          </cell>
          <cell r="F300" t="str">
            <v>0</v>
          </cell>
          <cell r="G300" t="str">
            <v>0</v>
          </cell>
          <cell r="H300" t="str">
            <v>0</v>
          </cell>
          <cell r="I300" t="str">
            <v>0</v>
          </cell>
          <cell r="J300" t="str">
            <v>0</v>
          </cell>
          <cell r="K300" t="str">
            <v>0</v>
          </cell>
          <cell r="L300" t="str">
            <v>0</v>
          </cell>
          <cell r="M300" t="str">
            <v>0</v>
          </cell>
          <cell r="N300" t="str">
            <v>0</v>
          </cell>
          <cell r="O300" t="str">
            <v>0</v>
          </cell>
          <cell r="P300" t="str">
            <v>0</v>
          </cell>
          <cell r="Q300" t="str">
            <v>0</v>
          </cell>
          <cell r="R300" t="str">
            <v>0</v>
          </cell>
          <cell r="S300" t="str">
            <v>0</v>
          </cell>
          <cell r="T300" t="str">
            <v>0</v>
          </cell>
          <cell r="U300" t="str">
            <v>0</v>
          </cell>
          <cell r="V300" t="str">
            <v>0</v>
          </cell>
          <cell r="W300" t="str">
            <v>0</v>
          </cell>
          <cell r="X300" t="str">
            <v>0</v>
          </cell>
          <cell r="Y300" t="str">
            <v>0</v>
          </cell>
          <cell r="Z300" t="str">
            <v>0</v>
          </cell>
          <cell r="AA300" t="str">
            <v>0</v>
          </cell>
          <cell r="AB300" t="str">
            <v>0</v>
          </cell>
          <cell r="AC300" t="str">
            <v>0</v>
          </cell>
          <cell r="AD300" t="str">
            <v>0</v>
          </cell>
          <cell r="AE300" t="str">
            <v>0</v>
          </cell>
        </row>
        <row r="301">
          <cell r="D301" t="str">
            <v>21-Oct</v>
          </cell>
          <cell r="E301" t="str">
            <v>0</v>
          </cell>
          <cell r="F301" t="str">
            <v>0</v>
          </cell>
          <cell r="G301" t="str">
            <v>0</v>
          </cell>
          <cell r="H301" t="str">
            <v>0</v>
          </cell>
          <cell r="I301" t="str">
            <v>0</v>
          </cell>
          <cell r="J301" t="str">
            <v>0</v>
          </cell>
          <cell r="K301" t="str">
            <v>0</v>
          </cell>
          <cell r="L301" t="str">
            <v>0</v>
          </cell>
          <cell r="M301" t="str">
            <v>0</v>
          </cell>
          <cell r="N301" t="str">
            <v>0</v>
          </cell>
          <cell r="O301" t="str">
            <v>0</v>
          </cell>
          <cell r="P301" t="str">
            <v>0</v>
          </cell>
          <cell r="Q301" t="str">
            <v>0</v>
          </cell>
          <cell r="R301" t="str">
            <v>0</v>
          </cell>
          <cell r="S301" t="str">
            <v>0</v>
          </cell>
          <cell r="T301" t="str">
            <v>0</v>
          </cell>
          <cell r="U301" t="str">
            <v>0</v>
          </cell>
          <cell r="V301" t="str">
            <v>0</v>
          </cell>
          <cell r="W301" t="str">
            <v>0</v>
          </cell>
          <cell r="X301" t="str">
            <v>0</v>
          </cell>
          <cell r="Y301" t="str">
            <v>0</v>
          </cell>
          <cell r="Z301" t="str">
            <v>0</v>
          </cell>
          <cell r="AA301" t="str">
            <v>0</v>
          </cell>
          <cell r="AB301" t="str">
            <v>0</v>
          </cell>
          <cell r="AC301" t="str">
            <v>0</v>
          </cell>
          <cell r="AD301" t="str">
            <v>0</v>
          </cell>
          <cell r="AE301" t="str">
            <v>0</v>
          </cell>
        </row>
        <row r="302">
          <cell r="D302" t="str">
            <v>22-Oct</v>
          </cell>
          <cell r="E302" t="str">
            <v>0</v>
          </cell>
          <cell r="F302" t="str">
            <v>0</v>
          </cell>
          <cell r="G302" t="str">
            <v>0</v>
          </cell>
          <cell r="H302" t="str">
            <v>0</v>
          </cell>
          <cell r="I302" t="str">
            <v>0</v>
          </cell>
          <cell r="J302" t="str">
            <v>0</v>
          </cell>
          <cell r="K302" t="str">
            <v>0</v>
          </cell>
          <cell r="L302" t="str">
            <v>0</v>
          </cell>
          <cell r="M302" t="str">
            <v>0</v>
          </cell>
          <cell r="N302" t="str">
            <v>0</v>
          </cell>
          <cell r="O302" t="str">
            <v>0</v>
          </cell>
          <cell r="P302" t="str">
            <v>0</v>
          </cell>
          <cell r="Q302" t="str">
            <v>0</v>
          </cell>
          <cell r="R302" t="str">
            <v>0</v>
          </cell>
          <cell r="S302" t="str">
            <v>0</v>
          </cell>
          <cell r="T302" t="str">
            <v>0</v>
          </cell>
          <cell r="U302" t="str">
            <v>0</v>
          </cell>
          <cell r="V302" t="str">
            <v>0</v>
          </cell>
          <cell r="W302" t="str">
            <v>0</v>
          </cell>
          <cell r="X302" t="str">
            <v>0</v>
          </cell>
          <cell r="Y302" t="str">
            <v>0</v>
          </cell>
          <cell r="Z302" t="str">
            <v>0</v>
          </cell>
          <cell r="AA302" t="str">
            <v>0</v>
          </cell>
          <cell r="AB302" t="str">
            <v>0</v>
          </cell>
          <cell r="AC302" t="str">
            <v>0</v>
          </cell>
          <cell r="AD302" t="str">
            <v>0</v>
          </cell>
          <cell r="AE302" t="str">
            <v>0</v>
          </cell>
        </row>
        <row r="303">
          <cell r="D303" t="str">
            <v>23-Oct</v>
          </cell>
          <cell r="E303" t="str">
            <v>0</v>
          </cell>
          <cell r="F303" t="str">
            <v>0</v>
          </cell>
          <cell r="G303" t="str">
            <v>0</v>
          </cell>
          <cell r="H303" t="str">
            <v>0</v>
          </cell>
          <cell r="I303" t="str">
            <v>0</v>
          </cell>
          <cell r="J303" t="str">
            <v>0</v>
          </cell>
          <cell r="K303" t="str">
            <v>0</v>
          </cell>
          <cell r="L303" t="str">
            <v>0</v>
          </cell>
          <cell r="M303" t="str">
            <v>0</v>
          </cell>
          <cell r="N303" t="str">
            <v>0</v>
          </cell>
          <cell r="O303" t="str">
            <v>0</v>
          </cell>
          <cell r="P303" t="str">
            <v>0</v>
          </cell>
          <cell r="Q303" t="str">
            <v>0</v>
          </cell>
          <cell r="R303" t="str">
            <v>0</v>
          </cell>
          <cell r="S303" t="str">
            <v>0</v>
          </cell>
          <cell r="T303" t="str">
            <v>0</v>
          </cell>
          <cell r="U303" t="str">
            <v>0</v>
          </cell>
          <cell r="V303" t="str">
            <v>0</v>
          </cell>
          <cell r="W303" t="str">
            <v>0</v>
          </cell>
          <cell r="X303" t="str">
            <v>0</v>
          </cell>
          <cell r="Y303" t="str">
            <v>0</v>
          </cell>
          <cell r="Z303" t="str">
            <v>0</v>
          </cell>
          <cell r="AA303" t="str">
            <v>0</v>
          </cell>
          <cell r="AB303" t="str">
            <v>0</v>
          </cell>
          <cell r="AC303" t="str">
            <v>0</v>
          </cell>
          <cell r="AD303" t="str">
            <v>0</v>
          </cell>
          <cell r="AE303" t="str">
            <v>0</v>
          </cell>
        </row>
        <row r="304">
          <cell r="D304" t="str">
            <v>24-Oct</v>
          </cell>
          <cell r="E304" t="str">
            <v>0</v>
          </cell>
          <cell r="F304" t="str">
            <v>0</v>
          </cell>
          <cell r="G304" t="str">
            <v>0</v>
          </cell>
          <cell r="H304" t="str">
            <v>0</v>
          </cell>
          <cell r="I304" t="str">
            <v>0</v>
          </cell>
          <cell r="J304" t="str">
            <v>0</v>
          </cell>
          <cell r="K304" t="str">
            <v>0</v>
          </cell>
          <cell r="L304" t="str">
            <v>0</v>
          </cell>
          <cell r="M304" t="str">
            <v>0</v>
          </cell>
          <cell r="N304" t="str">
            <v>0</v>
          </cell>
          <cell r="O304" t="str">
            <v>0</v>
          </cell>
          <cell r="P304" t="str">
            <v>0</v>
          </cell>
          <cell r="Q304" t="str">
            <v>0</v>
          </cell>
          <cell r="R304" t="str">
            <v>0</v>
          </cell>
          <cell r="S304" t="str">
            <v>0</v>
          </cell>
          <cell r="T304" t="str">
            <v>0</v>
          </cell>
          <cell r="U304" t="str">
            <v>0</v>
          </cell>
          <cell r="V304" t="str">
            <v>0</v>
          </cell>
          <cell r="W304" t="str">
            <v>0</v>
          </cell>
          <cell r="X304" t="str">
            <v>0</v>
          </cell>
          <cell r="Y304" t="str">
            <v>0</v>
          </cell>
          <cell r="Z304" t="str">
            <v>0</v>
          </cell>
          <cell r="AA304" t="str">
            <v>0</v>
          </cell>
          <cell r="AB304" t="str">
            <v>0</v>
          </cell>
          <cell r="AC304" t="str">
            <v>0</v>
          </cell>
          <cell r="AD304" t="str">
            <v>0</v>
          </cell>
          <cell r="AE304" t="str">
            <v>0</v>
          </cell>
        </row>
        <row r="305">
          <cell r="D305" t="str">
            <v>25-Oct</v>
          </cell>
          <cell r="E305" t="str">
            <v>0</v>
          </cell>
          <cell r="F305" t="str">
            <v>0</v>
          </cell>
          <cell r="G305" t="str">
            <v>0</v>
          </cell>
          <cell r="H305" t="str">
            <v>0</v>
          </cell>
          <cell r="I305" t="str">
            <v>0</v>
          </cell>
          <cell r="J305" t="str">
            <v>0</v>
          </cell>
          <cell r="K305" t="str">
            <v>0</v>
          </cell>
          <cell r="L305" t="str">
            <v>0</v>
          </cell>
          <cell r="M305" t="str">
            <v>0</v>
          </cell>
          <cell r="N305" t="str">
            <v>0</v>
          </cell>
          <cell r="O305" t="str">
            <v>0</v>
          </cell>
          <cell r="P305" t="str">
            <v>0</v>
          </cell>
          <cell r="Q305" t="str">
            <v>0</v>
          </cell>
          <cell r="R305" t="str">
            <v>0</v>
          </cell>
          <cell r="S305" t="str">
            <v>0</v>
          </cell>
          <cell r="T305" t="str">
            <v>0</v>
          </cell>
          <cell r="U305" t="str">
            <v>0</v>
          </cell>
          <cell r="V305" t="str">
            <v>0</v>
          </cell>
          <cell r="W305" t="str">
            <v>0</v>
          </cell>
          <cell r="X305" t="str">
            <v>0</v>
          </cell>
          <cell r="Y305" t="str">
            <v>0</v>
          </cell>
          <cell r="Z305" t="str">
            <v>0</v>
          </cell>
          <cell r="AA305" t="str">
            <v>0</v>
          </cell>
          <cell r="AB305" t="str">
            <v>0</v>
          </cell>
          <cell r="AC305" t="str">
            <v>0</v>
          </cell>
          <cell r="AD305" t="str">
            <v>0</v>
          </cell>
          <cell r="AE305" t="str">
            <v>0</v>
          </cell>
        </row>
        <row r="306">
          <cell r="D306" t="str">
            <v>26-Oct</v>
          </cell>
          <cell r="E306" t="str">
            <v>0</v>
          </cell>
          <cell r="F306" t="str">
            <v>0</v>
          </cell>
          <cell r="G306" t="str">
            <v>0</v>
          </cell>
          <cell r="H306" t="str">
            <v>0</v>
          </cell>
          <cell r="I306" t="str">
            <v>0</v>
          </cell>
          <cell r="J306" t="str">
            <v>0</v>
          </cell>
          <cell r="K306" t="str">
            <v>0</v>
          </cell>
          <cell r="L306" t="str">
            <v>0</v>
          </cell>
          <cell r="M306" t="str">
            <v>0</v>
          </cell>
          <cell r="N306" t="str">
            <v>0</v>
          </cell>
          <cell r="O306" t="str">
            <v>0</v>
          </cell>
          <cell r="P306" t="str">
            <v>0</v>
          </cell>
          <cell r="Q306" t="str">
            <v>0</v>
          </cell>
          <cell r="R306" t="str">
            <v>0</v>
          </cell>
          <cell r="S306" t="str">
            <v>0</v>
          </cell>
          <cell r="T306" t="str">
            <v>0</v>
          </cell>
          <cell r="U306" t="str">
            <v>0</v>
          </cell>
          <cell r="V306" t="str">
            <v>0</v>
          </cell>
          <cell r="W306" t="str">
            <v>0</v>
          </cell>
          <cell r="X306" t="str">
            <v>0</v>
          </cell>
          <cell r="Y306" t="str">
            <v>0</v>
          </cell>
          <cell r="Z306" t="str">
            <v>0</v>
          </cell>
          <cell r="AA306" t="str">
            <v>0</v>
          </cell>
          <cell r="AB306" t="str">
            <v>0</v>
          </cell>
          <cell r="AC306" t="str">
            <v>0</v>
          </cell>
          <cell r="AD306" t="str">
            <v>0</v>
          </cell>
          <cell r="AE306" t="str">
            <v>0</v>
          </cell>
        </row>
        <row r="307">
          <cell r="D307" t="str">
            <v>27-Oct</v>
          </cell>
          <cell r="E307" t="str">
            <v>0</v>
          </cell>
          <cell r="F307" t="str">
            <v>0</v>
          </cell>
          <cell r="G307" t="str">
            <v>0</v>
          </cell>
          <cell r="H307" t="str">
            <v>0</v>
          </cell>
          <cell r="I307" t="str">
            <v>0</v>
          </cell>
          <cell r="J307" t="str">
            <v>0</v>
          </cell>
          <cell r="K307" t="str">
            <v>0</v>
          </cell>
          <cell r="L307" t="str">
            <v>0</v>
          </cell>
          <cell r="M307" t="str">
            <v>0</v>
          </cell>
          <cell r="N307" t="str">
            <v>0</v>
          </cell>
          <cell r="O307" t="str">
            <v>0</v>
          </cell>
          <cell r="P307" t="str">
            <v>0</v>
          </cell>
          <cell r="Q307" t="str">
            <v>0</v>
          </cell>
          <cell r="R307" t="str">
            <v>0</v>
          </cell>
          <cell r="S307" t="str">
            <v>0</v>
          </cell>
          <cell r="T307" t="str">
            <v>0</v>
          </cell>
          <cell r="U307" t="str">
            <v>0</v>
          </cell>
          <cell r="V307" t="str">
            <v>0</v>
          </cell>
          <cell r="W307" t="str">
            <v>0</v>
          </cell>
          <cell r="X307" t="str">
            <v>0</v>
          </cell>
          <cell r="Y307" t="str">
            <v>0</v>
          </cell>
          <cell r="Z307" t="str">
            <v>0</v>
          </cell>
          <cell r="AA307" t="str">
            <v>0</v>
          </cell>
          <cell r="AB307" t="str">
            <v>0</v>
          </cell>
          <cell r="AC307" t="str">
            <v>0</v>
          </cell>
          <cell r="AD307" t="str">
            <v>0</v>
          </cell>
          <cell r="AE307" t="str">
            <v>0</v>
          </cell>
        </row>
        <row r="308">
          <cell r="D308" t="str">
            <v>28-Oct</v>
          </cell>
          <cell r="E308" t="str">
            <v>0</v>
          </cell>
          <cell r="F308" t="str">
            <v>0</v>
          </cell>
          <cell r="G308" t="str">
            <v>0</v>
          </cell>
          <cell r="H308" t="str">
            <v>0</v>
          </cell>
          <cell r="I308" t="str">
            <v>0</v>
          </cell>
          <cell r="J308" t="str">
            <v>0</v>
          </cell>
          <cell r="K308" t="str">
            <v>0</v>
          </cell>
          <cell r="L308" t="str">
            <v>0</v>
          </cell>
          <cell r="M308" t="str">
            <v>0</v>
          </cell>
          <cell r="N308" t="str">
            <v>0</v>
          </cell>
          <cell r="O308" t="str">
            <v>0</v>
          </cell>
          <cell r="P308" t="str">
            <v>0</v>
          </cell>
          <cell r="Q308" t="str">
            <v>0</v>
          </cell>
          <cell r="R308" t="str">
            <v>0</v>
          </cell>
          <cell r="S308" t="str">
            <v>0</v>
          </cell>
          <cell r="T308" t="str">
            <v>0</v>
          </cell>
          <cell r="U308" t="str">
            <v>0</v>
          </cell>
          <cell r="V308" t="str">
            <v>0</v>
          </cell>
          <cell r="W308" t="str">
            <v>0</v>
          </cell>
          <cell r="X308" t="str">
            <v>0</v>
          </cell>
          <cell r="Y308" t="str">
            <v>0</v>
          </cell>
          <cell r="Z308" t="str">
            <v>0</v>
          </cell>
          <cell r="AA308" t="str">
            <v>0</v>
          </cell>
          <cell r="AB308" t="str">
            <v>0</v>
          </cell>
          <cell r="AC308" t="str">
            <v>0</v>
          </cell>
          <cell r="AD308" t="str">
            <v>0</v>
          </cell>
          <cell r="AE308" t="str">
            <v>0</v>
          </cell>
        </row>
        <row r="309">
          <cell r="D309" t="str">
            <v>29-Oct</v>
          </cell>
          <cell r="E309" t="str">
            <v>0</v>
          </cell>
          <cell r="F309" t="str">
            <v>0</v>
          </cell>
          <cell r="G309" t="str">
            <v>0</v>
          </cell>
          <cell r="H309" t="str">
            <v>0</v>
          </cell>
          <cell r="I309" t="str">
            <v>0</v>
          </cell>
          <cell r="J309" t="str">
            <v>0</v>
          </cell>
          <cell r="K309" t="str">
            <v>0</v>
          </cell>
          <cell r="L309" t="str">
            <v>0</v>
          </cell>
          <cell r="M309" t="str">
            <v>0</v>
          </cell>
          <cell r="N309" t="str">
            <v>0</v>
          </cell>
          <cell r="O309" t="str">
            <v>0</v>
          </cell>
          <cell r="P309" t="str">
            <v>0</v>
          </cell>
          <cell r="Q309" t="str">
            <v>0</v>
          </cell>
          <cell r="R309" t="str">
            <v>0</v>
          </cell>
          <cell r="S309" t="str">
            <v>0</v>
          </cell>
          <cell r="T309" t="str">
            <v>0</v>
          </cell>
          <cell r="U309" t="str">
            <v>0</v>
          </cell>
          <cell r="V309" t="str">
            <v>0</v>
          </cell>
          <cell r="W309" t="str">
            <v>0</v>
          </cell>
          <cell r="X309" t="str">
            <v>0</v>
          </cell>
          <cell r="Y309" t="str">
            <v>0</v>
          </cell>
          <cell r="Z309" t="str">
            <v>0</v>
          </cell>
          <cell r="AA309" t="str">
            <v>0</v>
          </cell>
          <cell r="AB309" t="str">
            <v>0</v>
          </cell>
          <cell r="AC309" t="str">
            <v>0</v>
          </cell>
          <cell r="AD309" t="str">
            <v>0</v>
          </cell>
          <cell r="AE309" t="str">
            <v>0</v>
          </cell>
        </row>
        <row r="310">
          <cell r="D310" t="str">
            <v>30-Oct</v>
          </cell>
          <cell r="E310" t="str">
            <v>0</v>
          </cell>
          <cell r="F310" t="str">
            <v>0</v>
          </cell>
          <cell r="G310" t="str">
            <v>0</v>
          </cell>
          <cell r="H310" t="str">
            <v>0</v>
          </cell>
          <cell r="I310" t="str">
            <v>0</v>
          </cell>
          <cell r="J310" t="str">
            <v>0</v>
          </cell>
          <cell r="K310" t="str">
            <v>0</v>
          </cell>
          <cell r="L310" t="str">
            <v>0</v>
          </cell>
          <cell r="M310" t="str">
            <v>0</v>
          </cell>
          <cell r="N310" t="str">
            <v>0</v>
          </cell>
          <cell r="O310" t="str">
            <v>0</v>
          </cell>
          <cell r="P310" t="str">
            <v>0</v>
          </cell>
          <cell r="Q310" t="str">
            <v>0</v>
          </cell>
          <cell r="R310" t="str">
            <v>0</v>
          </cell>
          <cell r="S310" t="str">
            <v>0</v>
          </cell>
          <cell r="T310" t="str">
            <v>0</v>
          </cell>
          <cell r="U310" t="str">
            <v>0</v>
          </cell>
          <cell r="V310" t="str">
            <v>0</v>
          </cell>
          <cell r="W310" t="str">
            <v>0</v>
          </cell>
          <cell r="X310" t="str">
            <v>0</v>
          </cell>
          <cell r="Y310" t="str">
            <v>0</v>
          </cell>
          <cell r="Z310" t="str">
            <v>0</v>
          </cell>
          <cell r="AA310" t="str">
            <v>0</v>
          </cell>
          <cell r="AB310" t="str">
            <v>0</v>
          </cell>
          <cell r="AC310" t="str">
            <v>0</v>
          </cell>
          <cell r="AD310" t="str">
            <v>0</v>
          </cell>
          <cell r="AE310" t="str">
            <v>0</v>
          </cell>
        </row>
        <row r="311">
          <cell r="D311" t="str">
            <v>31-Oct</v>
          </cell>
          <cell r="E311" t="str">
            <v>0</v>
          </cell>
          <cell r="F311" t="str">
            <v>0</v>
          </cell>
          <cell r="G311" t="str">
            <v>0</v>
          </cell>
          <cell r="H311" t="str">
            <v>0</v>
          </cell>
          <cell r="I311" t="str">
            <v>0</v>
          </cell>
          <cell r="J311" t="str">
            <v>0</v>
          </cell>
          <cell r="K311" t="str">
            <v>0</v>
          </cell>
          <cell r="L311" t="str">
            <v>0</v>
          </cell>
          <cell r="M311" t="str">
            <v>0</v>
          </cell>
          <cell r="N311" t="str">
            <v>0</v>
          </cell>
          <cell r="O311" t="str">
            <v>0</v>
          </cell>
          <cell r="P311" t="str">
            <v>0</v>
          </cell>
          <cell r="Q311" t="str">
            <v>0</v>
          </cell>
          <cell r="R311" t="str">
            <v>0</v>
          </cell>
          <cell r="S311" t="str">
            <v>0</v>
          </cell>
          <cell r="T311" t="str">
            <v>0</v>
          </cell>
          <cell r="U311" t="str">
            <v>0</v>
          </cell>
          <cell r="V311" t="str">
            <v>0</v>
          </cell>
          <cell r="W311" t="str">
            <v>0</v>
          </cell>
          <cell r="X311" t="str">
            <v>0</v>
          </cell>
          <cell r="Y311" t="str">
            <v>0</v>
          </cell>
          <cell r="Z311" t="str">
            <v>0</v>
          </cell>
          <cell r="AA311" t="str">
            <v>0</v>
          </cell>
          <cell r="AB311" t="str">
            <v>0</v>
          </cell>
          <cell r="AC311" t="str">
            <v>0</v>
          </cell>
          <cell r="AD311" t="str">
            <v>0</v>
          </cell>
          <cell r="AE311" t="str">
            <v>0</v>
          </cell>
        </row>
        <row r="312">
          <cell r="D312" t="str">
            <v>01-Nov</v>
          </cell>
          <cell r="E312" t="str">
            <v>0</v>
          </cell>
          <cell r="F312" t="str">
            <v>0</v>
          </cell>
          <cell r="G312" t="str">
            <v>0</v>
          </cell>
          <cell r="H312" t="str">
            <v>0</v>
          </cell>
          <cell r="I312" t="str">
            <v>0</v>
          </cell>
          <cell r="J312" t="str">
            <v>0</v>
          </cell>
          <cell r="K312" t="str">
            <v>0</v>
          </cell>
          <cell r="L312" t="str">
            <v>0</v>
          </cell>
          <cell r="M312" t="str">
            <v>0</v>
          </cell>
          <cell r="N312" t="str">
            <v>0</v>
          </cell>
          <cell r="O312" t="str">
            <v>0</v>
          </cell>
          <cell r="P312" t="str">
            <v>0</v>
          </cell>
          <cell r="Q312" t="str">
            <v>0</v>
          </cell>
          <cell r="R312" t="str">
            <v>0</v>
          </cell>
          <cell r="S312" t="str">
            <v>0</v>
          </cell>
          <cell r="T312" t="str">
            <v>0</v>
          </cell>
          <cell r="U312" t="str">
            <v>0</v>
          </cell>
          <cell r="V312" t="str">
            <v>0</v>
          </cell>
          <cell r="W312" t="str">
            <v>0</v>
          </cell>
          <cell r="X312" t="str">
            <v>0</v>
          </cell>
          <cell r="Y312" t="str">
            <v>0</v>
          </cell>
          <cell r="Z312" t="str">
            <v>0</v>
          </cell>
          <cell r="AA312" t="str">
            <v>0</v>
          </cell>
          <cell r="AB312" t="str">
            <v>0</v>
          </cell>
          <cell r="AC312" t="str">
            <v>0</v>
          </cell>
          <cell r="AD312" t="str">
            <v>0</v>
          </cell>
          <cell r="AE312" t="str">
            <v>0</v>
          </cell>
        </row>
        <row r="313">
          <cell r="D313" t="str">
            <v>02-Nov</v>
          </cell>
          <cell r="E313" t="str">
            <v>0</v>
          </cell>
          <cell r="F313" t="str">
            <v>0</v>
          </cell>
          <cell r="G313" t="str">
            <v>0</v>
          </cell>
          <cell r="H313" t="str">
            <v>0</v>
          </cell>
          <cell r="I313" t="str">
            <v>0</v>
          </cell>
          <cell r="J313" t="str">
            <v>0</v>
          </cell>
          <cell r="K313" t="str">
            <v>0</v>
          </cell>
          <cell r="L313" t="str">
            <v>0</v>
          </cell>
          <cell r="M313" t="str">
            <v>0</v>
          </cell>
          <cell r="N313" t="str">
            <v>0</v>
          </cell>
          <cell r="O313" t="str">
            <v>0</v>
          </cell>
          <cell r="P313" t="str">
            <v>0</v>
          </cell>
          <cell r="Q313" t="str">
            <v>0</v>
          </cell>
          <cell r="R313" t="str">
            <v>0</v>
          </cell>
          <cell r="S313" t="str">
            <v>0</v>
          </cell>
          <cell r="T313" t="str">
            <v>0</v>
          </cell>
          <cell r="U313" t="str">
            <v>0</v>
          </cell>
          <cell r="V313" t="str">
            <v>0</v>
          </cell>
          <cell r="W313" t="str">
            <v>0</v>
          </cell>
          <cell r="X313" t="str">
            <v>0</v>
          </cell>
          <cell r="Y313" t="str">
            <v>0</v>
          </cell>
          <cell r="Z313" t="str">
            <v>0</v>
          </cell>
          <cell r="AA313" t="str">
            <v>0</v>
          </cell>
          <cell r="AB313" t="str">
            <v>0</v>
          </cell>
          <cell r="AC313" t="str">
            <v>0</v>
          </cell>
          <cell r="AD313" t="str">
            <v>0</v>
          </cell>
          <cell r="AE313" t="str">
            <v>0</v>
          </cell>
        </row>
        <row r="314">
          <cell r="D314" t="str">
            <v>03-Nov</v>
          </cell>
          <cell r="E314" t="str">
            <v>0</v>
          </cell>
          <cell r="F314" t="str">
            <v>0</v>
          </cell>
          <cell r="G314" t="str">
            <v>0</v>
          </cell>
          <cell r="H314" t="str">
            <v>0</v>
          </cell>
          <cell r="I314" t="str">
            <v>0</v>
          </cell>
          <cell r="J314" t="str">
            <v>0</v>
          </cell>
          <cell r="K314" t="str">
            <v>0</v>
          </cell>
          <cell r="L314" t="str">
            <v>0</v>
          </cell>
          <cell r="M314" t="str">
            <v>0</v>
          </cell>
          <cell r="N314" t="str">
            <v>0</v>
          </cell>
          <cell r="O314" t="str">
            <v>0</v>
          </cell>
          <cell r="P314" t="str">
            <v>0</v>
          </cell>
          <cell r="Q314" t="str">
            <v>0</v>
          </cell>
          <cell r="R314" t="str">
            <v>0</v>
          </cell>
          <cell r="S314" t="str">
            <v>0</v>
          </cell>
          <cell r="T314" t="str">
            <v>0</v>
          </cell>
          <cell r="U314" t="str">
            <v>0</v>
          </cell>
          <cell r="V314" t="str">
            <v>0</v>
          </cell>
          <cell r="W314" t="str">
            <v>0</v>
          </cell>
          <cell r="X314" t="str">
            <v>0</v>
          </cell>
          <cell r="Y314" t="str">
            <v>0</v>
          </cell>
          <cell r="Z314" t="str">
            <v>0</v>
          </cell>
          <cell r="AA314" t="str">
            <v>0</v>
          </cell>
          <cell r="AB314" t="str">
            <v>0</v>
          </cell>
          <cell r="AC314" t="str">
            <v>0</v>
          </cell>
          <cell r="AD314" t="str">
            <v>0</v>
          </cell>
          <cell r="AE314" t="str">
            <v>0</v>
          </cell>
        </row>
        <row r="315">
          <cell r="D315" t="str">
            <v>04-Nov</v>
          </cell>
          <cell r="E315" t="str">
            <v>0</v>
          </cell>
          <cell r="F315" t="str">
            <v>0</v>
          </cell>
          <cell r="G315" t="str">
            <v>0</v>
          </cell>
          <cell r="H315" t="str">
            <v>0</v>
          </cell>
          <cell r="I315" t="str">
            <v>0</v>
          </cell>
          <cell r="J315" t="str">
            <v>0</v>
          </cell>
          <cell r="K315" t="str">
            <v>0</v>
          </cell>
          <cell r="L315" t="str">
            <v>0</v>
          </cell>
          <cell r="M315" t="str">
            <v>0</v>
          </cell>
          <cell r="N315" t="str">
            <v>0</v>
          </cell>
          <cell r="O315" t="str">
            <v>0</v>
          </cell>
          <cell r="P315" t="str">
            <v>0</v>
          </cell>
          <cell r="Q315" t="str">
            <v>0</v>
          </cell>
          <cell r="R315" t="str">
            <v>0</v>
          </cell>
          <cell r="S315" t="str">
            <v>0</v>
          </cell>
          <cell r="T315" t="str">
            <v>0</v>
          </cell>
          <cell r="U315" t="str">
            <v>0</v>
          </cell>
          <cell r="V315" t="str">
            <v>0</v>
          </cell>
          <cell r="W315" t="str">
            <v>0</v>
          </cell>
          <cell r="X315" t="str">
            <v>0</v>
          </cell>
          <cell r="Y315" t="str">
            <v>0</v>
          </cell>
          <cell r="Z315" t="str">
            <v>0</v>
          </cell>
          <cell r="AA315" t="str">
            <v>0</v>
          </cell>
          <cell r="AB315" t="str">
            <v>0</v>
          </cell>
          <cell r="AC315" t="str">
            <v>0</v>
          </cell>
          <cell r="AD315" t="str">
            <v>0</v>
          </cell>
          <cell r="AE315" t="str">
            <v>0</v>
          </cell>
        </row>
        <row r="316">
          <cell r="D316" t="str">
            <v>05-Nov</v>
          </cell>
          <cell r="E316" t="str">
            <v>0</v>
          </cell>
          <cell r="F316" t="str">
            <v>0</v>
          </cell>
          <cell r="G316" t="str">
            <v>0</v>
          </cell>
          <cell r="H316" t="str">
            <v>0</v>
          </cell>
          <cell r="I316" t="str">
            <v>0</v>
          </cell>
          <cell r="J316" t="str">
            <v>0</v>
          </cell>
          <cell r="K316" t="str">
            <v>0</v>
          </cell>
          <cell r="L316" t="str">
            <v>0</v>
          </cell>
          <cell r="M316" t="str">
            <v>0</v>
          </cell>
          <cell r="N316" t="str">
            <v>0</v>
          </cell>
          <cell r="O316" t="str">
            <v>0</v>
          </cell>
          <cell r="P316" t="str">
            <v>0</v>
          </cell>
          <cell r="Q316" t="str">
            <v>0</v>
          </cell>
          <cell r="R316" t="str">
            <v>0</v>
          </cell>
          <cell r="S316" t="str">
            <v>0</v>
          </cell>
          <cell r="T316" t="str">
            <v>0</v>
          </cell>
          <cell r="U316" t="str">
            <v>0</v>
          </cell>
          <cell r="V316" t="str">
            <v>0</v>
          </cell>
          <cell r="W316" t="str">
            <v>0</v>
          </cell>
          <cell r="X316" t="str">
            <v>0</v>
          </cell>
          <cell r="Y316" t="str">
            <v>0</v>
          </cell>
          <cell r="Z316" t="str">
            <v>0</v>
          </cell>
          <cell r="AA316" t="str">
            <v>0</v>
          </cell>
          <cell r="AB316" t="str">
            <v>0</v>
          </cell>
          <cell r="AC316" t="str">
            <v>0</v>
          </cell>
          <cell r="AD316" t="str">
            <v>0</v>
          </cell>
          <cell r="AE316" t="str">
            <v>0</v>
          </cell>
        </row>
        <row r="317">
          <cell r="D317" t="str">
            <v>06-Nov</v>
          </cell>
          <cell r="E317" t="str">
            <v>0</v>
          </cell>
          <cell r="F317" t="str">
            <v>0</v>
          </cell>
          <cell r="G317" t="str">
            <v>0</v>
          </cell>
          <cell r="H317" t="str">
            <v>0</v>
          </cell>
          <cell r="I317" t="str">
            <v>0</v>
          </cell>
          <cell r="J317" t="str">
            <v>0</v>
          </cell>
          <cell r="K317" t="str">
            <v>0</v>
          </cell>
          <cell r="L317" t="str">
            <v>0</v>
          </cell>
          <cell r="M317" t="str">
            <v>0</v>
          </cell>
          <cell r="N317" t="str">
            <v>0</v>
          </cell>
          <cell r="O317" t="str">
            <v>0</v>
          </cell>
          <cell r="P317" t="str">
            <v>0</v>
          </cell>
          <cell r="Q317" t="str">
            <v>0</v>
          </cell>
          <cell r="R317" t="str">
            <v>0</v>
          </cell>
          <cell r="S317" t="str">
            <v>0</v>
          </cell>
          <cell r="T317" t="str">
            <v>0</v>
          </cell>
          <cell r="U317" t="str">
            <v>0</v>
          </cell>
          <cell r="V317" t="str">
            <v>0</v>
          </cell>
          <cell r="W317" t="str">
            <v>0</v>
          </cell>
          <cell r="X317" t="str">
            <v>0</v>
          </cell>
          <cell r="Y317" t="str">
            <v>0</v>
          </cell>
          <cell r="Z317" t="str">
            <v>0</v>
          </cell>
          <cell r="AA317" t="str">
            <v>0</v>
          </cell>
          <cell r="AB317" t="str">
            <v>0</v>
          </cell>
          <cell r="AC317" t="str">
            <v>0</v>
          </cell>
          <cell r="AD317" t="str">
            <v>0</v>
          </cell>
          <cell r="AE317" t="str">
            <v>0</v>
          </cell>
        </row>
        <row r="318">
          <cell r="D318" t="str">
            <v>07-Nov</v>
          </cell>
          <cell r="E318" t="str">
            <v>0</v>
          </cell>
          <cell r="F318" t="str">
            <v>0</v>
          </cell>
          <cell r="G318" t="str">
            <v>0</v>
          </cell>
          <cell r="H318" t="str">
            <v>0</v>
          </cell>
          <cell r="I318" t="str">
            <v>0</v>
          </cell>
          <cell r="J318" t="str">
            <v>0</v>
          </cell>
          <cell r="K318" t="str">
            <v>0</v>
          </cell>
          <cell r="L318" t="str">
            <v>0</v>
          </cell>
          <cell r="M318" t="str">
            <v>0</v>
          </cell>
          <cell r="N318" t="str">
            <v>0</v>
          </cell>
          <cell r="O318" t="str">
            <v>0</v>
          </cell>
          <cell r="P318" t="str">
            <v>0</v>
          </cell>
          <cell r="Q318" t="str">
            <v>0</v>
          </cell>
          <cell r="R318" t="str">
            <v>0</v>
          </cell>
          <cell r="S318" t="str">
            <v>0</v>
          </cell>
          <cell r="T318" t="str">
            <v>0</v>
          </cell>
          <cell r="U318" t="str">
            <v>0</v>
          </cell>
          <cell r="V318" t="str">
            <v>0</v>
          </cell>
          <cell r="W318" t="str">
            <v>0</v>
          </cell>
          <cell r="X318" t="str">
            <v>0</v>
          </cell>
          <cell r="Y318" t="str">
            <v>0</v>
          </cell>
          <cell r="Z318" t="str">
            <v>0</v>
          </cell>
          <cell r="AA318" t="str">
            <v>0</v>
          </cell>
          <cell r="AB318" t="str">
            <v>0</v>
          </cell>
          <cell r="AC318" t="str">
            <v>0</v>
          </cell>
          <cell r="AD318" t="str">
            <v>0</v>
          </cell>
          <cell r="AE318" t="str">
            <v>0</v>
          </cell>
        </row>
        <row r="319">
          <cell r="D319" t="str">
            <v>08-Nov</v>
          </cell>
          <cell r="E319" t="str">
            <v>0</v>
          </cell>
          <cell r="F319" t="str">
            <v>0</v>
          </cell>
          <cell r="G319" t="str">
            <v>0</v>
          </cell>
          <cell r="H319" t="str">
            <v>0</v>
          </cell>
          <cell r="I319" t="str">
            <v>0</v>
          </cell>
          <cell r="J319" t="str">
            <v>0</v>
          </cell>
          <cell r="K319" t="str">
            <v>0</v>
          </cell>
          <cell r="L319" t="str">
            <v>0</v>
          </cell>
          <cell r="M319" t="str">
            <v>0</v>
          </cell>
          <cell r="N319" t="str">
            <v>0</v>
          </cell>
          <cell r="O319" t="str">
            <v>0</v>
          </cell>
          <cell r="P319" t="str">
            <v>0</v>
          </cell>
          <cell r="Q319" t="str">
            <v>0</v>
          </cell>
          <cell r="R319" t="str">
            <v>0</v>
          </cell>
          <cell r="S319" t="str">
            <v>0</v>
          </cell>
          <cell r="T319" t="str">
            <v>0</v>
          </cell>
          <cell r="U319" t="str">
            <v>0</v>
          </cell>
          <cell r="V319" t="str">
            <v>0</v>
          </cell>
          <cell r="W319" t="str">
            <v>0</v>
          </cell>
          <cell r="X319" t="str">
            <v>0</v>
          </cell>
          <cell r="Y319" t="str">
            <v>0</v>
          </cell>
          <cell r="Z319" t="str">
            <v>0</v>
          </cell>
          <cell r="AA319" t="str">
            <v>0</v>
          </cell>
          <cell r="AB319" t="str">
            <v>0</v>
          </cell>
          <cell r="AC319" t="str">
            <v>0</v>
          </cell>
          <cell r="AD319" t="str">
            <v>0</v>
          </cell>
          <cell r="AE319" t="str">
            <v>0</v>
          </cell>
        </row>
        <row r="320">
          <cell r="D320" t="str">
            <v>09-Nov</v>
          </cell>
          <cell r="E320" t="str">
            <v>0</v>
          </cell>
          <cell r="F320" t="str">
            <v>0</v>
          </cell>
          <cell r="G320" t="str">
            <v>0</v>
          </cell>
          <cell r="H320" t="str">
            <v>0</v>
          </cell>
          <cell r="I320" t="str">
            <v>0</v>
          </cell>
          <cell r="J320" t="str">
            <v>0</v>
          </cell>
          <cell r="K320" t="str">
            <v>0</v>
          </cell>
          <cell r="L320" t="str">
            <v>0</v>
          </cell>
          <cell r="M320" t="str">
            <v>0</v>
          </cell>
          <cell r="N320" t="str">
            <v>0</v>
          </cell>
          <cell r="O320" t="str">
            <v>0</v>
          </cell>
          <cell r="P320" t="str">
            <v>0</v>
          </cell>
          <cell r="Q320" t="str">
            <v>0</v>
          </cell>
          <cell r="R320" t="str">
            <v>0</v>
          </cell>
          <cell r="S320" t="str">
            <v>0</v>
          </cell>
          <cell r="T320" t="str">
            <v>0</v>
          </cell>
          <cell r="U320" t="str">
            <v>0</v>
          </cell>
          <cell r="V320" t="str">
            <v>0</v>
          </cell>
          <cell r="W320" t="str">
            <v>0</v>
          </cell>
          <cell r="X320" t="str">
            <v>0</v>
          </cell>
          <cell r="Y320" t="str">
            <v>0</v>
          </cell>
          <cell r="Z320" t="str">
            <v>0</v>
          </cell>
          <cell r="AA320" t="str">
            <v>0</v>
          </cell>
          <cell r="AB320" t="str">
            <v>0</v>
          </cell>
          <cell r="AC320" t="str">
            <v>0</v>
          </cell>
          <cell r="AD320" t="str">
            <v>0</v>
          </cell>
          <cell r="AE320" t="str">
            <v>0</v>
          </cell>
        </row>
        <row r="321">
          <cell r="D321" t="str">
            <v>10-Nov</v>
          </cell>
          <cell r="E321" t="str">
            <v>0</v>
          </cell>
          <cell r="F321" t="str">
            <v>0</v>
          </cell>
          <cell r="G321" t="str">
            <v>0</v>
          </cell>
          <cell r="H321" t="str">
            <v>0</v>
          </cell>
          <cell r="I321" t="str">
            <v>0</v>
          </cell>
          <cell r="J321" t="str">
            <v>0</v>
          </cell>
          <cell r="K321" t="str">
            <v>0</v>
          </cell>
          <cell r="L321" t="str">
            <v>0</v>
          </cell>
          <cell r="M321" t="str">
            <v>0</v>
          </cell>
          <cell r="N321" t="str">
            <v>0</v>
          </cell>
          <cell r="O321" t="str">
            <v>0</v>
          </cell>
          <cell r="P321" t="str">
            <v>0</v>
          </cell>
          <cell r="Q321" t="str">
            <v>0</v>
          </cell>
          <cell r="R321" t="str">
            <v>0</v>
          </cell>
          <cell r="S321" t="str">
            <v>0</v>
          </cell>
          <cell r="T321" t="str">
            <v>0</v>
          </cell>
          <cell r="U321" t="str">
            <v>0</v>
          </cell>
          <cell r="V321" t="str">
            <v>0</v>
          </cell>
          <cell r="W321" t="str">
            <v>0</v>
          </cell>
          <cell r="X321" t="str">
            <v>0</v>
          </cell>
          <cell r="Y321" t="str">
            <v>0</v>
          </cell>
          <cell r="Z321" t="str">
            <v>0</v>
          </cell>
          <cell r="AA321" t="str">
            <v>0</v>
          </cell>
          <cell r="AB321" t="str">
            <v>0</v>
          </cell>
          <cell r="AC321" t="str">
            <v>0</v>
          </cell>
          <cell r="AD321" t="str">
            <v>0</v>
          </cell>
          <cell r="AE321" t="str">
            <v>0</v>
          </cell>
        </row>
        <row r="322">
          <cell r="D322" t="str">
            <v>11-Nov</v>
          </cell>
          <cell r="E322" t="str">
            <v>0</v>
          </cell>
          <cell r="F322" t="str">
            <v>0</v>
          </cell>
          <cell r="G322" t="str">
            <v>0</v>
          </cell>
          <cell r="H322" t="str">
            <v>0</v>
          </cell>
          <cell r="I322" t="str">
            <v>0</v>
          </cell>
          <cell r="J322" t="str">
            <v>0</v>
          </cell>
          <cell r="K322" t="str">
            <v>0</v>
          </cell>
          <cell r="L322" t="str">
            <v>0</v>
          </cell>
          <cell r="M322" t="str">
            <v>0</v>
          </cell>
          <cell r="N322" t="str">
            <v>0</v>
          </cell>
          <cell r="O322" t="str">
            <v>0</v>
          </cell>
          <cell r="P322" t="str">
            <v>0</v>
          </cell>
          <cell r="Q322" t="str">
            <v>0</v>
          </cell>
          <cell r="R322" t="str">
            <v>0</v>
          </cell>
          <cell r="S322" t="str">
            <v>0</v>
          </cell>
          <cell r="T322" t="str">
            <v>0</v>
          </cell>
          <cell r="U322" t="str">
            <v>0</v>
          </cell>
          <cell r="V322" t="str">
            <v>0</v>
          </cell>
          <cell r="W322" t="str">
            <v>0</v>
          </cell>
          <cell r="X322" t="str">
            <v>0</v>
          </cell>
          <cell r="Y322" t="str">
            <v>0</v>
          </cell>
          <cell r="Z322" t="str">
            <v>0</v>
          </cell>
          <cell r="AA322" t="str">
            <v>0</v>
          </cell>
          <cell r="AB322" t="str">
            <v>0</v>
          </cell>
          <cell r="AC322" t="str">
            <v>0</v>
          </cell>
          <cell r="AD322" t="str">
            <v>0</v>
          </cell>
          <cell r="AE322" t="str">
            <v>0</v>
          </cell>
        </row>
        <row r="323">
          <cell r="D323" t="str">
            <v>12-Nov</v>
          </cell>
          <cell r="E323" t="str">
            <v>0</v>
          </cell>
          <cell r="F323" t="str">
            <v>0</v>
          </cell>
          <cell r="G323" t="str">
            <v>0</v>
          </cell>
          <cell r="H323" t="str">
            <v>0</v>
          </cell>
          <cell r="I323" t="str">
            <v>0</v>
          </cell>
          <cell r="J323" t="str">
            <v>0</v>
          </cell>
          <cell r="K323" t="str">
            <v>0</v>
          </cell>
          <cell r="L323" t="str">
            <v>0</v>
          </cell>
          <cell r="M323" t="str">
            <v>0</v>
          </cell>
          <cell r="N323" t="str">
            <v>0</v>
          </cell>
          <cell r="O323" t="str">
            <v>0</v>
          </cell>
          <cell r="P323" t="str">
            <v>0</v>
          </cell>
          <cell r="Q323" t="str">
            <v>0</v>
          </cell>
          <cell r="R323" t="str">
            <v>0</v>
          </cell>
          <cell r="S323" t="str">
            <v>0</v>
          </cell>
          <cell r="T323" t="str">
            <v>0</v>
          </cell>
          <cell r="U323" t="str">
            <v>0</v>
          </cell>
          <cell r="V323" t="str">
            <v>0</v>
          </cell>
          <cell r="W323" t="str">
            <v>0</v>
          </cell>
          <cell r="X323" t="str">
            <v>0</v>
          </cell>
          <cell r="Y323" t="str">
            <v>0</v>
          </cell>
          <cell r="Z323" t="str">
            <v>0</v>
          </cell>
          <cell r="AA323" t="str">
            <v>0</v>
          </cell>
          <cell r="AB323" t="str">
            <v>0</v>
          </cell>
          <cell r="AC323" t="str">
            <v>0</v>
          </cell>
          <cell r="AD323" t="str">
            <v>0</v>
          </cell>
          <cell r="AE323" t="str">
            <v>0</v>
          </cell>
        </row>
        <row r="324">
          <cell r="D324" t="str">
            <v>13-Nov</v>
          </cell>
          <cell r="E324" t="str">
            <v>0</v>
          </cell>
          <cell r="F324" t="str">
            <v>0</v>
          </cell>
          <cell r="G324" t="str">
            <v>0</v>
          </cell>
          <cell r="H324" t="str">
            <v>0</v>
          </cell>
          <cell r="I324" t="str">
            <v>0</v>
          </cell>
          <cell r="J324" t="str">
            <v>0</v>
          </cell>
          <cell r="K324" t="str">
            <v>0</v>
          </cell>
          <cell r="L324" t="str">
            <v>0</v>
          </cell>
          <cell r="M324" t="str">
            <v>0</v>
          </cell>
          <cell r="N324" t="str">
            <v>0</v>
          </cell>
          <cell r="O324" t="str">
            <v>0</v>
          </cell>
          <cell r="P324" t="str">
            <v>0</v>
          </cell>
          <cell r="Q324" t="str">
            <v>0</v>
          </cell>
          <cell r="R324" t="str">
            <v>0</v>
          </cell>
          <cell r="S324" t="str">
            <v>0</v>
          </cell>
          <cell r="T324" t="str">
            <v>0</v>
          </cell>
          <cell r="U324" t="str">
            <v>0</v>
          </cell>
          <cell r="V324" t="str">
            <v>0</v>
          </cell>
          <cell r="W324" t="str">
            <v>0</v>
          </cell>
          <cell r="X324" t="str">
            <v>0</v>
          </cell>
          <cell r="Y324" t="str">
            <v>0</v>
          </cell>
          <cell r="Z324" t="str">
            <v>0</v>
          </cell>
          <cell r="AA324" t="str">
            <v>0</v>
          </cell>
          <cell r="AB324" t="str">
            <v>0</v>
          </cell>
          <cell r="AC324" t="str">
            <v>0</v>
          </cell>
          <cell r="AD324" t="str">
            <v>0</v>
          </cell>
          <cell r="AE324" t="str">
            <v>0</v>
          </cell>
        </row>
        <row r="325">
          <cell r="D325" t="str">
            <v>14-Nov</v>
          </cell>
          <cell r="E325" t="str">
            <v>0</v>
          </cell>
          <cell r="F325" t="str">
            <v>0</v>
          </cell>
          <cell r="G325" t="str">
            <v>0</v>
          </cell>
          <cell r="H325" t="str">
            <v>0</v>
          </cell>
          <cell r="I325" t="str">
            <v>0</v>
          </cell>
          <cell r="J325" t="str">
            <v>0</v>
          </cell>
          <cell r="K325" t="str">
            <v>0</v>
          </cell>
          <cell r="L325" t="str">
            <v>0</v>
          </cell>
          <cell r="M325" t="str">
            <v>0</v>
          </cell>
          <cell r="N325" t="str">
            <v>0</v>
          </cell>
          <cell r="O325" t="str">
            <v>0</v>
          </cell>
          <cell r="P325" t="str">
            <v>0</v>
          </cell>
          <cell r="Q325" t="str">
            <v>0</v>
          </cell>
          <cell r="R325" t="str">
            <v>0</v>
          </cell>
          <cell r="S325" t="str">
            <v>0</v>
          </cell>
          <cell r="T325" t="str">
            <v>0</v>
          </cell>
          <cell r="U325" t="str">
            <v>0</v>
          </cell>
          <cell r="V325" t="str">
            <v>0</v>
          </cell>
          <cell r="W325" t="str">
            <v>0</v>
          </cell>
          <cell r="X325" t="str">
            <v>0</v>
          </cell>
          <cell r="Y325" t="str">
            <v>0</v>
          </cell>
          <cell r="Z325" t="str">
            <v>0</v>
          </cell>
          <cell r="AA325" t="str">
            <v>0</v>
          </cell>
          <cell r="AB325" t="str">
            <v>0</v>
          </cell>
          <cell r="AC325" t="str">
            <v>0</v>
          </cell>
          <cell r="AD325" t="str">
            <v>0</v>
          </cell>
          <cell r="AE325" t="str">
            <v>0</v>
          </cell>
        </row>
        <row r="326">
          <cell r="D326" t="str">
            <v>15-Nov</v>
          </cell>
          <cell r="E326" t="str">
            <v>0</v>
          </cell>
          <cell r="F326" t="str">
            <v>0</v>
          </cell>
          <cell r="G326" t="str">
            <v>0</v>
          </cell>
          <cell r="H326" t="str">
            <v>0</v>
          </cell>
          <cell r="I326" t="str">
            <v>0</v>
          </cell>
          <cell r="J326" t="str">
            <v>0</v>
          </cell>
          <cell r="K326" t="str">
            <v>0</v>
          </cell>
          <cell r="L326" t="str">
            <v>0</v>
          </cell>
          <cell r="M326" t="str">
            <v>0</v>
          </cell>
          <cell r="N326" t="str">
            <v>0</v>
          </cell>
          <cell r="O326" t="str">
            <v>0</v>
          </cell>
          <cell r="P326" t="str">
            <v>0</v>
          </cell>
          <cell r="Q326" t="str">
            <v>0</v>
          </cell>
          <cell r="R326" t="str">
            <v>0</v>
          </cell>
          <cell r="S326" t="str">
            <v>0</v>
          </cell>
          <cell r="T326" t="str">
            <v>0</v>
          </cell>
          <cell r="U326" t="str">
            <v>0</v>
          </cell>
          <cell r="V326" t="str">
            <v>0</v>
          </cell>
          <cell r="W326" t="str">
            <v>0</v>
          </cell>
          <cell r="X326" t="str">
            <v>0</v>
          </cell>
          <cell r="Y326" t="str">
            <v>0</v>
          </cell>
          <cell r="Z326" t="str">
            <v>0</v>
          </cell>
          <cell r="AA326" t="str">
            <v>0</v>
          </cell>
          <cell r="AB326" t="str">
            <v>0</v>
          </cell>
          <cell r="AC326" t="str">
            <v>0</v>
          </cell>
          <cell r="AD326" t="str">
            <v>0</v>
          </cell>
          <cell r="AE326" t="str">
            <v>0</v>
          </cell>
        </row>
        <row r="327">
          <cell r="D327" t="str">
            <v>16-Nov</v>
          </cell>
          <cell r="E327" t="str">
            <v>0</v>
          </cell>
          <cell r="F327" t="str">
            <v>0</v>
          </cell>
          <cell r="G327" t="str">
            <v>0</v>
          </cell>
          <cell r="H327" t="str">
            <v>0</v>
          </cell>
          <cell r="I327" t="str">
            <v>0</v>
          </cell>
          <cell r="J327" t="str">
            <v>0</v>
          </cell>
          <cell r="K327" t="str">
            <v>0</v>
          </cell>
          <cell r="L327" t="str">
            <v>0</v>
          </cell>
          <cell r="M327" t="str">
            <v>0</v>
          </cell>
          <cell r="N327" t="str">
            <v>0</v>
          </cell>
          <cell r="O327" t="str">
            <v>0</v>
          </cell>
          <cell r="P327" t="str">
            <v>0</v>
          </cell>
          <cell r="Q327" t="str">
            <v>0</v>
          </cell>
          <cell r="R327" t="str">
            <v>0</v>
          </cell>
          <cell r="S327" t="str">
            <v>0</v>
          </cell>
          <cell r="T327" t="str">
            <v>0</v>
          </cell>
          <cell r="U327" t="str">
            <v>0</v>
          </cell>
          <cell r="V327" t="str">
            <v>0</v>
          </cell>
          <cell r="W327" t="str">
            <v>0</v>
          </cell>
          <cell r="X327" t="str">
            <v>0</v>
          </cell>
          <cell r="Y327" t="str">
            <v>0</v>
          </cell>
          <cell r="Z327" t="str">
            <v>0</v>
          </cell>
          <cell r="AA327" t="str">
            <v>0</v>
          </cell>
          <cell r="AB327" t="str">
            <v>0</v>
          </cell>
          <cell r="AC327" t="str">
            <v>0</v>
          </cell>
          <cell r="AD327" t="str">
            <v>0</v>
          </cell>
          <cell r="AE327" t="str">
            <v>0</v>
          </cell>
        </row>
        <row r="328">
          <cell r="D328" t="str">
            <v>17-Nov</v>
          </cell>
          <cell r="E328" t="str">
            <v>0</v>
          </cell>
          <cell r="F328" t="str">
            <v>0</v>
          </cell>
          <cell r="G328" t="str">
            <v>0</v>
          </cell>
          <cell r="H328" t="str">
            <v>0</v>
          </cell>
          <cell r="I328" t="str">
            <v>0</v>
          </cell>
          <cell r="J328" t="str">
            <v>0</v>
          </cell>
          <cell r="K328" t="str">
            <v>0</v>
          </cell>
          <cell r="L328" t="str">
            <v>0</v>
          </cell>
          <cell r="M328" t="str">
            <v>0</v>
          </cell>
          <cell r="N328" t="str">
            <v>0</v>
          </cell>
          <cell r="O328" t="str">
            <v>0</v>
          </cell>
          <cell r="P328" t="str">
            <v>0</v>
          </cell>
          <cell r="Q328" t="str">
            <v>0</v>
          </cell>
          <cell r="R328" t="str">
            <v>0</v>
          </cell>
          <cell r="S328" t="str">
            <v>0</v>
          </cell>
          <cell r="T328" t="str">
            <v>0</v>
          </cell>
          <cell r="U328" t="str">
            <v>0</v>
          </cell>
          <cell r="V328" t="str">
            <v>0</v>
          </cell>
          <cell r="W328" t="str">
            <v>0</v>
          </cell>
          <cell r="X328" t="str">
            <v>0</v>
          </cell>
          <cell r="Y328" t="str">
            <v>0</v>
          </cell>
          <cell r="Z328" t="str">
            <v>0</v>
          </cell>
          <cell r="AA328" t="str">
            <v>0</v>
          </cell>
          <cell r="AB328" t="str">
            <v>0</v>
          </cell>
          <cell r="AC328" t="str">
            <v>0</v>
          </cell>
          <cell r="AD328" t="str">
            <v>0</v>
          </cell>
          <cell r="AE328" t="str">
            <v>0</v>
          </cell>
        </row>
        <row r="329">
          <cell r="D329" t="str">
            <v>18-Nov</v>
          </cell>
          <cell r="E329" t="str">
            <v>0</v>
          </cell>
          <cell r="F329" t="str">
            <v>0</v>
          </cell>
          <cell r="G329" t="str">
            <v>0</v>
          </cell>
          <cell r="H329" t="str">
            <v>0</v>
          </cell>
          <cell r="I329" t="str">
            <v>0</v>
          </cell>
          <cell r="J329" t="str">
            <v>0</v>
          </cell>
          <cell r="K329" t="str">
            <v>0</v>
          </cell>
          <cell r="L329" t="str">
            <v>0</v>
          </cell>
          <cell r="M329" t="str">
            <v>0</v>
          </cell>
          <cell r="N329" t="str">
            <v>0</v>
          </cell>
          <cell r="O329" t="str">
            <v>0</v>
          </cell>
          <cell r="P329" t="str">
            <v>0</v>
          </cell>
          <cell r="Q329" t="str">
            <v>0</v>
          </cell>
          <cell r="R329" t="str">
            <v>0</v>
          </cell>
          <cell r="S329" t="str">
            <v>0</v>
          </cell>
          <cell r="T329" t="str">
            <v>0</v>
          </cell>
          <cell r="U329" t="str">
            <v>0</v>
          </cell>
          <cell r="V329" t="str">
            <v>0</v>
          </cell>
          <cell r="W329" t="str">
            <v>0</v>
          </cell>
          <cell r="X329" t="str">
            <v>0</v>
          </cell>
          <cell r="Y329" t="str">
            <v>0</v>
          </cell>
          <cell r="Z329" t="str">
            <v>0</v>
          </cell>
          <cell r="AA329" t="str">
            <v>0</v>
          </cell>
          <cell r="AB329" t="str">
            <v>0</v>
          </cell>
          <cell r="AC329" t="str">
            <v>0</v>
          </cell>
          <cell r="AD329" t="str">
            <v>0</v>
          </cell>
          <cell r="AE329" t="str">
            <v>0</v>
          </cell>
        </row>
        <row r="330">
          <cell r="D330" t="str">
            <v>19-Nov</v>
          </cell>
          <cell r="E330" t="str">
            <v>0</v>
          </cell>
          <cell r="F330" t="str">
            <v>0</v>
          </cell>
          <cell r="G330" t="str">
            <v>0</v>
          </cell>
          <cell r="H330" t="str">
            <v>0</v>
          </cell>
          <cell r="I330" t="str">
            <v>0</v>
          </cell>
          <cell r="J330" t="str">
            <v>0</v>
          </cell>
          <cell r="K330" t="str">
            <v>0</v>
          </cell>
          <cell r="L330" t="str">
            <v>0</v>
          </cell>
          <cell r="M330" t="str">
            <v>0</v>
          </cell>
          <cell r="N330" t="str">
            <v>0</v>
          </cell>
          <cell r="O330" t="str">
            <v>0</v>
          </cell>
          <cell r="P330" t="str">
            <v>0</v>
          </cell>
          <cell r="Q330" t="str">
            <v>0</v>
          </cell>
          <cell r="R330" t="str">
            <v>0</v>
          </cell>
          <cell r="S330" t="str">
            <v>0</v>
          </cell>
          <cell r="T330" t="str">
            <v>0</v>
          </cell>
          <cell r="U330" t="str">
            <v>0</v>
          </cell>
          <cell r="V330" t="str">
            <v>0</v>
          </cell>
          <cell r="W330" t="str">
            <v>0</v>
          </cell>
          <cell r="X330" t="str">
            <v>0</v>
          </cell>
          <cell r="Y330" t="str">
            <v>0</v>
          </cell>
          <cell r="Z330" t="str">
            <v>0</v>
          </cell>
          <cell r="AA330" t="str">
            <v>0</v>
          </cell>
          <cell r="AB330" t="str">
            <v>0</v>
          </cell>
          <cell r="AC330" t="str">
            <v>0</v>
          </cell>
          <cell r="AD330" t="str">
            <v>0</v>
          </cell>
          <cell r="AE330" t="str">
            <v>0</v>
          </cell>
        </row>
        <row r="331">
          <cell r="D331" t="str">
            <v>20-Nov</v>
          </cell>
          <cell r="E331" t="str">
            <v>0</v>
          </cell>
          <cell r="F331" t="str">
            <v>0</v>
          </cell>
          <cell r="G331" t="str">
            <v>0</v>
          </cell>
          <cell r="H331" t="str">
            <v>0</v>
          </cell>
          <cell r="I331" t="str">
            <v>0</v>
          </cell>
          <cell r="J331" t="str">
            <v>0</v>
          </cell>
          <cell r="K331" t="str">
            <v>0</v>
          </cell>
          <cell r="L331" t="str">
            <v>0</v>
          </cell>
          <cell r="M331" t="str">
            <v>0</v>
          </cell>
          <cell r="N331" t="str">
            <v>0</v>
          </cell>
          <cell r="O331" t="str">
            <v>0</v>
          </cell>
          <cell r="P331" t="str">
            <v>0</v>
          </cell>
          <cell r="Q331" t="str">
            <v>0</v>
          </cell>
          <cell r="R331" t="str">
            <v>0</v>
          </cell>
          <cell r="S331" t="str">
            <v>0</v>
          </cell>
          <cell r="T331" t="str">
            <v>0</v>
          </cell>
          <cell r="U331" t="str">
            <v>0</v>
          </cell>
          <cell r="V331" t="str">
            <v>0</v>
          </cell>
          <cell r="W331" t="str">
            <v>0</v>
          </cell>
          <cell r="X331" t="str">
            <v>0</v>
          </cell>
          <cell r="Y331" t="str">
            <v>0</v>
          </cell>
          <cell r="Z331" t="str">
            <v>0</v>
          </cell>
          <cell r="AA331" t="str">
            <v>0</v>
          </cell>
          <cell r="AB331" t="str">
            <v>0</v>
          </cell>
          <cell r="AC331" t="str">
            <v>0</v>
          </cell>
          <cell r="AD331" t="str">
            <v>0</v>
          </cell>
          <cell r="AE331" t="str">
            <v>0</v>
          </cell>
        </row>
        <row r="332">
          <cell r="D332" t="str">
            <v>21-Nov</v>
          </cell>
          <cell r="E332" t="str">
            <v>0</v>
          </cell>
          <cell r="F332" t="str">
            <v>0</v>
          </cell>
          <cell r="G332" t="str">
            <v>0</v>
          </cell>
          <cell r="H332" t="str">
            <v>0</v>
          </cell>
          <cell r="I332" t="str">
            <v>0</v>
          </cell>
          <cell r="J332" t="str">
            <v>0</v>
          </cell>
          <cell r="K332" t="str">
            <v>0</v>
          </cell>
          <cell r="L332" t="str">
            <v>0</v>
          </cell>
          <cell r="M332" t="str">
            <v>0</v>
          </cell>
          <cell r="N332" t="str">
            <v>0</v>
          </cell>
          <cell r="O332" t="str">
            <v>0</v>
          </cell>
          <cell r="P332" t="str">
            <v>0</v>
          </cell>
          <cell r="Q332" t="str">
            <v>0</v>
          </cell>
          <cell r="R332" t="str">
            <v>0</v>
          </cell>
          <cell r="S332" t="str">
            <v>0</v>
          </cell>
          <cell r="T332" t="str">
            <v>0</v>
          </cell>
          <cell r="U332" t="str">
            <v>0</v>
          </cell>
          <cell r="V332" t="str">
            <v>0</v>
          </cell>
          <cell r="W332" t="str">
            <v>0</v>
          </cell>
          <cell r="X332" t="str">
            <v>0</v>
          </cell>
          <cell r="Y332" t="str">
            <v>0</v>
          </cell>
          <cell r="Z332" t="str">
            <v>0</v>
          </cell>
          <cell r="AA332" t="str">
            <v>0</v>
          </cell>
          <cell r="AB332" t="str">
            <v>0</v>
          </cell>
          <cell r="AC332" t="str">
            <v>0</v>
          </cell>
          <cell r="AD332" t="str">
            <v>0</v>
          </cell>
          <cell r="AE332" t="str">
            <v>0</v>
          </cell>
        </row>
        <row r="333">
          <cell r="D333" t="str">
            <v>22-Nov</v>
          </cell>
          <cell r="E333" t="str">
            <v>0</v>
          </cell>
          <cell r="F333" t="str">
            <v>0</v>
          </cell>
          <cell r="G333" t="str">
            <v>0</v>
          </cell>
          <cell r="H333" t="str">
            <v>0</v>
          </cell>
          <cell r="I333" t="str">
            <v>0</v>
          </cell>
          <cell r="J333" t="str">
            <v>0</v>
          </cell>
          <cell r="K333" t="str">
            <v>0</v>
          </cell>
          <cell r="L333" t="str">
            <v>0</v>
          </cell>
          <cell r="M333" t="str">
            <v>0</v>
          </cell>
          <cell r="N333" t="str">
            <v>0</v>
          </cell>
          <cell r="O333" t="str">
            <v>0</v>
          </cell>
          <cell r="P333" t="str">
            <v>0</v>
          </cell>
          <cell r="Q333" t="str">
            <v>0</v>
          </cell>
          <cell r="R333" t="str">
            <v>0</v>
          </cell>
          <cell r="S333" t="str">
            <v>0</v>
          </cell>
          <cell r="T333" t="str">
            <v>0</v>
          </cell>
          <cell r="U333" t="str">
            <v>0</v>
          </cell>
          <cell r="V333" t="str">
            <v>0</v>
          </cell>
          <cell r="W333" t="str">
            <v>0</v>
          </cell>
          <cell r="X333" t="str">
            <v>0</v>
          </cell>
          <cell r="Y333" t="str">
            <v>0</v>
          </cell>
          <cell r="Z333" t="str">
            <v>0</v>
          </cell>
          <cell r="AA333" t="str">
            <v>0</v>
          </cell>
          <cell r="AB333" t="str">
            <v>0</v>
          </cell>
          <cell r="AC333" t="str">
            <v>0</v>
          </cell>
          <cell r="AD333" t="str">
            <v>0</v>
          </cell>
          <cell r="AE333" t="str">
            <v>0</v>
          </cell>
        </row>
        <row r="334">
          <cell r="D334" t="str">
            <v>23-Nov</v>
          </cell>
          <cell r="E334" t="str">
            <v>0</v>
          </cell>
          <cell r="F334" t="str">
            <v>0</v>
          </cell>
          <cell r="G334" t="str">
            <v>0</v>
          </cell>
          <cell r="H334" t="str">
            <v>0</v>
          </cell>
          <cell r="I334" t="str">
            <v>0</v>
          </cell>
          <cell r="J334" t="str">
            <v>0</v>
          </cell>
          <cell r="K334" t="str">
            <v>0</v>
          </cell>
          <cell r="L334" t="str">
            <v>0</v>
          </cell>
          <cell r="M334" t="str">
            <v>0</v>
          </cell>
          <cell r="N334" t="str">
            <v>0</v>
          </cell>
          <cell r="O334" t="str">
            <v>0</v>
          </cell>
          <cell r="P334" t="str">
            <v>0</v>
          </cell>
          <cell r="Q334" t="str">
            <v>0</v>
          </cell>
          <cell r="R334" t="str">
            <v>0</v>
          </cell>
          <cell r="S334" t="str">
            <v>0</v>
          </cell>
          <cell r="T334" t="str">
            <v>0</v>
          </cell>
          <cell r="U334" t="str">
            <v>0</v>
          </cell>
          <cell r="V334" t="str">
            <v>0</v>
          </cell>
          <cell r="W334" t="str">
            <v>0</v>
          </cell>
          <cell r="X334" t="str">
            <v>0</v>
          </cell>
          <cell r="Y334" t="str">
            <v>0</v>
          </cell>
          <cell r="Z334" t="str">
            <v>0</v>
          </cell>
          <cell r="AA334" t="str">
            <v>0</v>
          </cell>
          <cell r="AB334" t="str">
            <v>0</v>
          </cell>
          <cell r="AC334" t="str">
            <v>0</v>
          </cell>
          <cell r="AD334" t="str">
            <v>0</v>
          </cell>
          <cell r="AE334" t="str">
            <v>0</v>
          </cell>
        </row>
        <row r="335">
          <cell r="D335" t="str">
            <v>24-Nov</v>
          </cell>
          <cell r="E335" t="str">
            <v>0</v>
          </cell>
          <cell r="F335" t="str">
            <v>0</v>
          </cell>
          <cell r="G335" t="str">
            <v>0</v>
          </cell>
          <cell r="H335" t="str">
            <v>0</v>
          </cell>
          <cell r="I335" t="str">
            <v>0</v>
          </cell>
          <cell r="J335" t="str">
            <v>0</v>
          </cell>
          <cell r="K335" t="str">
            <v>0</v>
          </cell>
          <cell r="L335" t="str">
            <v>0</v>
          </cell>
          <cell r="M335" t="str">
            <v>0</v>
          </cell>
          <cell r="N335" t="str">
            <v>0</v>
          </cell>
          <cell r="O335" t="str">
            <v>0</v>
          </cell>
          <cell r="P335" t="str">
            <v>0</v>
          </cell>
          <cell r="Q335" t="str">
            <v>0</v>
          </cell>
          <cell r="R335" t="str">
            <v>0</v>
          </cell>
          <cell r="S335" t="str">
            <v>0</v>
          </cell>
          <cell r="T335" t="str">
            <v>0</v>
          </cell>
          <cell r="U335" t="str">
            <v>0</v>
          </cell>
          <cell r="V335" t="str">
            <v>0</v>
          </cell>
          <cell r="W335" t="str">
            <v>0</v>
          </cell>
          <cell r="X335" t="str">
            <v>0</v>
          </cell>
          <cell r="Y335" t="str">
            <v>0</v>
          </cell>
          <cell r="Z335" t="str">
            <v>0</v>
          </cell>
          <cell r="AA335" t="str">
            <v>0</v>
          </cell>
          <cell r="AB335" t="str">
            <v>0</v>
          </cell>
          <cell r="AC335" t="str">
            <v>0</v>
          </cell>
          <cell r="AD335" t="str">
            <v>0</v>
          </cell>
          <cell r="AE335" t="str">
            <v>0</v>
          </cell>
        </row>
        <row r="336">
          <cell r="D336" t="str">
            <v>25-Nov</v>
          </cell>
          <cell r="E336" t="str">
            <v>0</v>
          </cell>
          <cell r="F336" t="str">
            <v>0</v>
          </cell>
          <cell r="G336" t="str">
            <v>0</v>
          </cell>
          <cell r="H336" t="str">
            <v>0</v>
          </cell>
          <cell r="I336" t="str">
            <v>0</v>
          </cell>
          <cell r="J336" t="str">
            <v>0</v>
          </cell>
          <cell r="K336" t="str">
            <v>0</v>
          </cell>
          <cell r="L336" t="str">
            <v>0</v>
          </cell>
          <cell r="M336" t="str">
            <v>0</v>
          </cell>
          <cell r="N336" t="str">
            <v>0</v>
          </cell>
          <cell r="O336" t="str">
            <v>0</v>
          </cell>
          <cell r="P336" t="str">
            <v>0</v>
          </cell>
          <cell r="Q336" t="str">
            <v>0</v>
          </cell>
          <cell r="R336" t="str">
            <v>0</v>
          </cell>
          <cell r="S336" t="str">
            <v>0</v>
          </cell>
          <cell r="T336" t="str">
            <v>0</v>
          </cell>
          <cell r="U336" t="str">
            <v>0</v>
          </cell>
          <cell r="V336" t="str">
            <v>0</v>
          </cell>
          <cell r="W336" t="str">
            <v>0</v>
          </cell>
          <cell r="X336" t="str">
            <v>0</v>
          </cell>
          <cell r="Y336" t="str">
            <v>0</v>
          </cell>
          <cell r="Z336" t="str">
            <v>0</v>
          </cell>
          <cell r="AA336" t="str">
            <v>0</v>
          </cell>
          <cell r="AB336" t="str">
            <v>0</v>
          </cell>
          <cell r="AC336" t="str">
            <v>0</v>
          </cell>
          <cell r="AD336" t="str">
            <v>0</v>
          </cell>
          <cell r="AE336" t="str">
            <v>0</v>
          </cell>
        </row>
        <row r="337">
          <cell r="D337" t="str">
            <v>26-Nov</v>
          </cell>
          <cell r="E337" t="str">
            <v>0</v>
          </cell>
          <cell r="F337" t="str">
            <v>0</v>
          </cell>
          <cell r="G337" t="str">
            <v>0</v>
          </cell>
          <cell r="H337" t="str">
            <v>0</v>
          </cell>
          <cell r="I337" t="str">
            <v>0</v>
          </cell>
          <cell r="J337" t="str">
            <v>0</v>
          </cell>
          <cell r="K337" t="str">
            <v>0</v>
          </cell>
          <cell r="L337" t="str">
            <v>0</v>
          </cell>
          <cell r="M337" t="str">
            <v>0</v>
          </cell>
          <cell r="N337" t="str">
            <v>0</v>
          </cell>
          <cell r="O337" t="str">
            <v>0</v>
          </cell>
          <cell r="P337" t="str">
            <v>0</v>
          </cell>
          <cell r="Q337" t="str">
            <v>0</v>
          </cell>
          <cell r="R337" t="str">
            <v>0</v>
          </cell>
          <cell r="S337" t="str">
            <v>0</v>
          </cell>
          <cell r="T337" t="str">
            <v>0</v>
          </cell>
          <cell r="U337" t="str">
            <v>0</v>
          </cell>
          <cell r="V337" t="str">
            <v>0</v>
          </cell>
          <cell r="W337" t="str">
            <v>0</v>
          </cell>
          <cell r="X337" t="str">
            <v>0</v>
          </cell>
          <cell r="Y337" t="str">
            <v>0</v>
          </cell>
          <cell r="Z337" t="str">
            <v>0</v>
          </cell>
          <cell r="AA337" t="str">
            <v>0</v>
          </cell>
          <cell r="AB337" t="str">
            <v>0</v>
          </cell>
          <cell r="AC337" t="str">
            <v>0</v>
          </cell>
          <cell r="AD337" t="str">
            <v>0</v>
          </cell>
          <cell r="AE337" t="str">
            <v>0</v>
          </cell>
        </row>
        <row r="338">
          <cell r="D338" t="str">
            <v>27-Nov</v>
          </cell>
          <cell r="E338" t="str">
            <v>0</v>
          </cell>
          <cell r="F338" t="str">
            <v>0</v>
          </cell>
          <cell r="G338" t="str">
            <v>0</v>
          </cell>
          <cell r="H338" t="str">
            <v>0</v>
          </cell>
          <cell r="I338" t="str">
            <v>0</v>
          </cell>
          <cell r="J338" t="str">
            <v>0</v>
          </cell>
          <cell r="K338" t="str">
            <v>0</v>
          </cell>
          <cell r="L338" t="str">
            <v>0</v>
          </cell>
          <cell r="M338" t="str">
            <v>0</v>
          </cell>
          <cell r="N338" t="str">
            <v>0</v>
          </cell>
          <cell r="O338" t="str">
            <v>0</v>
          </cell>
          <cell r="P338" t="str">
            <v>0</v>
          </cell>
          <cell r="Q338" t="str">
            <v>0</v>
          </cell>
          <cell r="R338" t="str">
            <v>0</v>
          </cell>
          <cell r="S338" t="str">
            <v>0</v>
          </cell>
          <cell r="T338" t="str">
            <v>0</v>
          </cell>
          <cell r="U338" t="str">
            <v>0</v>
          </cell>
          <cell r="V338" t="str">
            <v>0</v>
          </cell>
          <cell r="W338" t="str">
            <v>0</v>
          </cell>
          <cell r="X338" t="str">
            <v>0</v>
          </cell>
          <cell r="Y338" t="str">
            <v>0</v>
          </cell>
          <cell r="Z338" t="str">
            <v>0</v>
          </cell>
          <cell r="AA338" t="str">
            <v>0</v>
          </cell>
          <cell r="AB338" t="str">
            <v>0</v>
          </cell>
          <cell r="AC338" t="str">
            <v>0</v>
          </cell>
          <cell r="AD338" t="str">
            <v>0</v>
          </cell>
          <cell r="AE338" t="str">
            <v>0</v>
          </cell>
        </row>
        <row r="339">
          <cell r="D339" t="str">
            <v>28-Nov</v>
          </cell>
          <cell r="E339" t="str">
            <v>0</v>
          </cell>
          <cell r="F339" t="str">
            <v>0</v>
          </cell>
          <cell r="G339" t="str">
            <v>0</v>
          </cell>
          <cell r="H339" t="str">
            <v>0</v>
          </cell>
          <cell r="I339" t="str">
            <v>0</v>
          </cell>
          <cell r="J339" t="str">
            <v>0</v>
          </cell>
          <cell r="K339" t="str">
            <v>0</v>
          </cell>
          <cell r="L339" t="str">
            <v>0</v>
          </cell>
          <cell r="M339" t="str">
            <v>0</v>
          </cell>
          <cell r="N339" t="str">
            <v>0</v>
          </cell>
          <cell r="O339" t="str">
            <v>0</v>
          </cell>
          <cell r="P339" t="str">
            <v>0</v>
          </cell>
          <cell r="Q339" t="str">
            <v>0</v>
          </cell>
          <cell r="R339" t="str">
            <v>0</v>
          </cell>
          <cell r="S339" t="str">
            <v>0</v>
          </cell>
          <cell r="T339" t="str">
            <v>0</v>
          </cell>
          <cell r="U339" t="str">
            <v>0</v>
          </cell>
          <cell r="V339" t="str">
            <v>0</v>
          </cell>
          <cell r="W339" t="str">
            <v>0</v>
          </cell>
          <cell r="X339" t="str">
            <v>0</v>
          </cell>
          <cell r="Y339" t="str">
            <v>0</v>
          </cell>
          <cell r="Z339" t="str">
            <v>0</v>
          </cell>
          <cell r="AA339" t="str">
            <v>0</v>
          </cell>
          <cell r="AB339" t="str">
            <v>0</v>
          </cell>
          <cell r="AC339" t="str">
            <v>0</v>
          </cell>
          <cell r="AD339" t="str">
            <v>0</v>
          </cell>
          <cell r="AE339" t="str">
            <v>0</v>
          </cell>
        </row>
        <row r="340">
          <cell r="D340" t="str">
            <v>29-Nov</v>
          </cell>
          <cell r="E340" t="str">
            <v>0</v>
          </cell>
          <cell r="F340" t="str">
            <v>0</v>
          </cell>
          <cell r="G340" t="str">
            <v>0</v>
          </cell>
          <cell r="H340" t="str">
            <v>0</v>
          </cell>
          <cell r="I340" t="str">
            <v>0</v>
          </cell>
          <cell r="J340" t="str">
            <v>0</v>
          </cell>
          <cell r="K340" t="str">
            <v>0</v>
          </cell>
          <cell r="L340" t="str">
            <v>0</v>
          </cell>
          <cell r="M340" t="str">
            <v>0</v>
          </cell>
          <cell r="N340" t="str">
            <v>0</v>
          </cell>
          <cell r="O340" t="str">
            <v>0</v>
          </cell>
          <cell r="P340" t="str">
            <v>0</v>
          </cell>
          <cell r="Q340" t="str">
            <v>0</v>
          </cell>
          <cell r="R340" t="str">
            <v>0</v>
          </cell>
          <cell r="S340" t="str">
            <v>0</v>
          </cell>
          <cell r="T340" t="str">
            <v>0</v>
          </cell>
          <cell r="U340" t="str">
            <v>0</v>
          </cell>
          <cell r="V340" t="str">
            <v>0</v>
          </cell>
          <cell r="W340" t="str">
            <v>0</v>
          </cell>
          <cell r="X340" t="str">
            <v>0</v>
          </cell>
          <cell r="Y340" t="str">
            <v>0</v>
          </cell>
          <cell r="Z340" t="str">
            <v>0</v>
          </cell>
          <cell r="AA340" t="str">
            <v>0</v>
          </cell>
          <cell r="AB340" t="str">
            <v>0</v>
          </cell>
          <cell r="AC340" t="str">
            <v>0</v>
          </cell>
          <cell r="AD340" t="str">
            <v>0</v>
          </cell>
          <cell r="AE340" t="str">
            <v>0</v>
          </cell>
        </row>
        <row r="341">
          <cell r="D341" t="str">
            <v>30-Nov</v>
          </cell>
          <cell r="E341" t="str">
            <v>0</v>
          </cell>
          <cell r="F341" t="str">
            <v>0</v>
          </cell>
          <cell r="G341" t="str">
            <v>0</v>
          </cell>
          <cell r="H341" t="str">
            <v>0</v>
          </cell>
          <cell r="I341" t="str">
            <v>0</v>
          </cell>
          <cell r="J341" t="str">
            <v>0</v>
          </cell>
          <cell r="K341" t="str">
            <v>0</v>
          </cell>
          <cell r="L341" t="str">
            <v>0</v>
          </cell>
          <cell r="M341" t="str">
            <v>0</v>
          </cell>
          <cell r="N341" t="str">
            <v>0</v>
          </cell>
          <cell r="O341" t="str">
            <v>0</v>
          </cell>
          <cell r="P341" t="str">
            <v>0</v>
          </cell>
          <cell r="Q341" t="str">
            <v>0</v>
          </cell>
          <cell r="R341" t="str">
            <v>0</v>
          </cell>
          <cell r="S341" t="str">
            <v>0</v>
          </cell>
          <cell r="T341" t="str">
            <v>0</v>
          </cell>
          <cell r="U341" t="str">
            <v>0</v>
          </cell>
          <cell r="V341" t="str">
            <v>0</v>
          </cell>
          <cell r="W341" t="str">
            <v>0</v>
          </cell>
          <cell r="X341" t="str">
            <v>0</v>
          </cell>
          <cell r="Y341" t="str">
            <v>0</v>
          </cell>
          <cell r="Z341" t="str">
            <v>0</v>
          </cell>
          <cell r="AA341" t="str">
            <v>0</v>
          </cell>
          <cell r="AB341" t="str">
            <v>0</v>
          </cell>
          <cell r="AC341" t="str">
            <v>0</v>
          </cell>
          <cell r="AD341" t="str">
            <v>0</v>
          </cell>
          <cell r="AE341" t="str">
            <v>0</v>
          </cell>
        </row>
        <row r="342">
          <cell r="D342" t="str">
            <v>01-Dec</v>
          </cell>
          <cell r="E342" t="str">
            <v>0</v>
          </cell>
          <cell r="F342" t="str">
            <v>0</v>
          </cell>
          <cell r="G342" t="str">
            <v>0</v>
          </cell>
          <cell r="H342" t="str">
            <v>0</v>
          </cell>
          <cell r="I342" t="str">
            <v>0</v>
          </cell>
          <cell r="J342" t="str">
            <v>0</v>
          </cell>
          <cell r="K342" t="str">
            <v>0</v>
          </cell>
          <cell r="L342" t="str">
            <v>0</v>
          </cell>
          <cell r="M342" t="str">
            <v>0</v>
          </cell>
          <cell r="N342" t="str">
            <v>0</v>
          </cell>
          <cell r="O342" t="str">
            <v>0</v>
          </cell>
          <cell r="P342" t="str">
            <v>0</v>
          </cell>
          <cell r="Q342" t="str">
            <v>0</v>
          </cell>
          <cell r="R342" t="str">
            <v>0</v>
          </cell>
          <cell r="S342" t="str">
            <v>0</v>
          </cell>
          <cell r="T342" t="str">
            <v>0</v>
          </cell>
          <cell r="U342" t="str">
            <v>0</v>
          </cell>
          <cell r="V342" t="str">
            <v>0</v>
          </cell>
          <cell r="W342" t="str">
            <v>0</v>
          </cell>
          <cell r="X342" t="str">
            <v>0</v>
          </cell>
          <cell r="Y342" t="str">
            <v>0</v>
          </cell>
          <cell r="Z342" t="str">
            <v>0</v>
          </cell>
          <cell r="AA342" t="str">
            <v>0</v>
          </cell>
          <cell r="AB342" t="str">
            <v>0</v>
          </cell>
          <cell r="AC342" t="str">
            <v>0</v>
          </cell>
          <cell r="AD342" t="str">
            <v>0</v>
          </cell>
          <cell r="AE342" t="str">
            <v>0</v>
          </cell>
        </row>
        <row r="343">
          <cell r="D343" t="str">
            <v>02-Dec</v>
          </cell>
          <cell r="E343" t="str">
            <v>0</v>
          </cell>
          <cell r="F343" t="str">
            <v>0</v>
          </cell>
          <cell r="G343" t="str">
            <v>0</v>
          </cell>
          <cell r="H343" t="str">
            <v>0</v>
          </cell>
          <cell r="I343" t="str">
            <v>0</v>
          </cell>
          <cell r="J343" t="str">
            <v>0</v>
          </cell>
          <cell r="K343" t="str">
            <v>0</v>
          </cell>
          <cell r="L343" t="str">
            <v>0</v>
          </cell>
          <cell r="M343" t="str">
            <v>0</v>
          </cell>
          <cell r="N343" t="str">
            <v>0</v>
          </cell>
          <cell r="O343" t="str">
            <v>0</v>
          </cell>
          <cell r="P343" t="str">
            <v>0</v>
          </cell>
          <cell r="Q343" t="str">
            <v>0</v>
          </cell>
          <cell r="R343" t="str">
            <v>0</v>
          </cell>
          <cell r="S343" t="str">
            <v>0</v>
          </cell>
          <cell r="T343" t="str">
            <v>0</v>
          </cell>
          <cell r="U343" t="str">
            <v>0</v>
          </cell>
          <cell r="V343" t="str">
            <v>0</v>
          </cell>
          <cell r="W343" t="str">
            <v>0</v>
          </cell>
          <cell r="X343" t="str">
            <v>0</v>
          </cell>
          <cell r="Y343" t="str">
            <v>0</v>
          </cell>
          <cell r="Z343" t="str">
            <v>0</v>
          </cell>
          <cell r="AA343" t="str">
            <v>0</v>
          </cell>
          <cell r="AB343" t="str">
            <v>0</v>
          </cell>
          <cell r="AC343" t="str">
            <v>0</v>
          </cell>
          <cell r="AD343" t="str">
            <v>0</v>
          </cell>
          <cell r="AE343" t="str">
            <v>0</v>
          </cell>
        </row>
        <row r="344">
          <cell r="D344" t="str">
            <v>03-Dec</v>
          </cell>
          <cell r="E344" t="str">
            <v>0</v>
          </cell>
          <cell r="F344" t="str">
            <v>0</v>
          </cell>
          <cell r="G344" t="str">
            <v>0</v>
          </cell>
          <cell r="H344" t="str">
            <v>0</v>
          </cell>
          <cell r="I344" t="str">
            <v>0</v>
          </cell>
          <cell r="J344" t="str">
            <v>0</v>
          </cell>
          <cell r="K344" t="str">
            <v>0</v>
          </cell>
          <cell r="L344" t="str">
            <v>0</v>
          </cell>
          <cell r="M344" t="str">
            <v>0</v>
          </cell>
          <cell r="N344" t="str">
            <v>0</v>
          </cell>
          <cell r="O344" t="str">
            <v>0</v>
          </cell>
          <cell r="P344" t="str">
            <v>0</v>
          </cell>
          <cell r="Q344" t="str">
            <v>0</v>
          </cell>
          <cell r="R344" t="str">
            <v>0</v>
          </cell>
          <cell r="S344" t="str">
            <v>0</v>
          </cell>
          <cell r="T344" t="str">
            <v>0</v>
          </cell>
          <cell r="U344" t="str">
            <v>0</v>
          </cell>
          <cell r="V344" t="str">
            <v>0</v>
          </cell>
          <cell r="W344" t="str">
            <v>0</v>
          </cell>
          <cell r="X344" t="str">
            <v>0</v>
          </cell>
          <cell r="Y344" t="str">
            <v>0</v>
          </cell>
          <cell r="Z344" t="str">
            <v>0</v>
          </cell>
          <cell r="AA344" t="str">
            <v>0</v>
          </cell>
          <cell r="AB344" t="str">
            <v>0</v>
          </cell>
          <cell r="AC344" t="str">
            <v>0</v>
          </cell>
          <cell r="AD344" t="str">
            <v>0</v>
          </cell>
          <cell r="AE344" t="str">
            <v>0</v>
          </cell>
        </row>
        <row r="345">
          <cell r="D345" t="str">
            <v>04-Dec</v>
          </cell>
          <cell r="E345" t="str">
            <v>0</v>
          </cell>
          <cell r="F345" t="str">
            <v>0</v>
          </cell>
          <cell r="G345" t="str">
            <v>0</v>
          </cell>
          <cell r="H345" t="str">
            <v>0</v>
          </cell>
          <cell r="I345" t="str">
            <v>0</v>
          </cell>
          <cell r="J345" t="str">
            <v>0</v>
          </cell>
          <cell r="K345" t="str">
            <v>0</v>
          </cell>
          <cell r="L345" t="str">
            <v>0</v>
          </cell>
          <cell r="M345" t="str">
            <v>0</v>
          </cell>
          <cell r="N345" t="str">
            <v>0</v>
          </cell>
          <cell r="O345" t="str">
            <v>0</v>
          </cell>
          <cell r="P345" t="str">
            <v>0</v>
          </cell>
          <cell r="Q345" t="str">
            <v>0</v>
          </cell>
          <cell r="R345" t="str">
            <v>0</v>
          </cell>
          <cell r="S345" t="str">
            <v>0</v>
          </cell>
          <cell r="T345" t="str">
            <v>0</v>
          </cell>
          <cell r="U345" t="str">
            <v>0</v>
          </cell>
          <cell r="V345" t="str">
            <v>0</v>
          </cell>
          <cell r="W345" t="str">
            <v>0</v>
          </cell>
          <cell r="X345" t="str">
            <v>0</v>
          </cell>
          <cell r="Y345" t="str">
            <v>0</v>
          </cell>
          <cell r="Z345" t="str">
            <v>0</v>
          </cell>
          <cell r="AA345" t="str">
            <v>0</v>
          </cell>
          <cell r="AB345" t="str">
            <v>0</v>
          </cell>
          <cell r="AC345" t="str">
            <v>0</v>
          </cell>
          <cell r="AD345" t="str">
            <v>0</v>
          </cell>
          <cell r="AE345" t="str">
            <v>0</v>
          </cell>
        </row>
        <row r="346">
          <cell r="D346" t="str">
            <v>05-Dec</v>
          </cell>
          <cell r="E346" t="str">
            <v>0</v>
          </cell>
          <cell r="F346" t="str">
            <v>0</v>
          </cell>
          <cell r="G346" t="str">
            <v>0</v>
          </cell>
          <cell r="H346" t="str">
            <v>0</v>
          </cell>
          <cell r="I346" t="str">
            <v>0</v>
          </cell>
          <cell r="J346" t="str">
            <v>0</v>
          </cell>
          <cell r="K346" t="str">
            <v>0</v>
          </cell>
          <cell r="L346" t="str">
            <v>0</v>
          </cell>
          <cell r="M346" t="str">
            <v>0</v>
          </cell>
          <cell r="N346" t="str">
            <v>0</v>
          </cell>
          <cell r="O346" t="str">
            <v>0</v>
          </cell>
          <cell r="P346" t="str">
            <v>0</v>
          </cell>
          <cell r="Q346" t="str">
            <v>0</v>
          </cell>
          <cell r="R346" t="str">
            <v>0</v>
          </cell>
          <cell r="S346" t="str">
            <v>0</v>
          </cell>
          <cell r="T346" t="str">
            <v>0</v>
          </cell>
          <cell r="U346" t="str">
            <v>0</v>
          </cell>
          <cell r="V346" t="str">
            <v>0</v>
          </cell>
          <cell r="W346" t="str">
            <v>0</v>
          </cell>
          <cell r="X346" t="str">
            <v>0</v>
          </cell>
          <cell r="Y346" t="str">
            <v>0</v>
          </cell>
          <cell r="Z346" t="str">
            <v>0</v>
          </cell>
          <cell r="AA346" t="str">
            <v>0</v>
          </cell>
          <cell r="AB346" t="str">
            <v>0</v>
          </cell>
          <cell r="AC346" t="str">
            <v>0</v>
          </cell>
          <cell r="AD346" t="str">
            <v>0</v>
          </cell>
          <cell r="AE346" t="str">
            <v>0</v>
          </cell>
        </row>
        <row r="347">
          <cell r="D347" t="str">
            <v>06-Dec</v>
          </cell>
          <cell r="E347" t="str">
            <v>0</v>
          </cell>
          <cell r="F347" t="str">
            <v>0</v>
          </cell>
          <cell r="G347" t="str">
            <v>0</v>
          </cell>
          <cell r="H347" t="str">
            <v>0</v>
          </cell>
          <cell r="I347" t="str">
            <v>0</v>
          </cell>
          <cell r="J347" t="str">
            <v>0</v>
          </cell>
          <cell r="K347" t="str">
            <v>0</v>
          </cell>
          <cell r="L347" t="str">
            <v>0</v>
          </cell>
          <cell r="M347" t="str">
            <v>0</v>
          </cell>
          <cell r="N347" t="str">
            <v>0</v>
          </cell>
          <cell r="O347" t="str">
            <v>0</v>
          </cell>
          <cell r="P347" t="str">
            <v>0</v>
          </cell>
          <cell r="Q347" t="str">
            <v>0</v>
          </cell>
          <cell r="R347" t="str">
            <v>0</v>
          </cell>
          <cell r="S347" t="str">
            <v>0</v>
          </cell>
          <cell r="T347" t="str">
            <v>0</v>
          </cell>
          <cell r="U347" t="str">
            <v>0</v>
          </cell>
          <cell r="V347" t="str">
            <v>0</v>
          </cell>
          <cell r="W347" t="str">
            <v>0</v>
          </cell>
          <cell r="X347" t="str">
            <v>0</v>
          </cell>
          <cell r="Y347" t="str">
            <v>0</v>
          </cell>
          <cell r="Z347" t="str">
            <v>0</v>
          </cell>
          <cell r="AA347" t="str">
            <v>0</v>
          </cell>
          <cell r="AB347" t="str">
            <v>0</v>
          </cell>
          <cell r="AC347" t="str">
            <v>0</v>
          </cell>
          <cell r="AD347" t="str">
            <v>0</v>
          </cell>
          <cell r="AE347" t="str">
            <v>0</v>
          </cell>
        </row>
        <row r="348">
          <cell r="D348" t="str">
            <v>07-Dec</v>
          </cell>
          <cell r="E348" t="str">
            <v>0</v>
          </cell>
          <cell r="F348" t="str">
            <v>0</v>
          </cell>
          <cell r="G348" t="str">
            <v>0</v>
          </cell>
          <cell r="H348" t="str">
            <v>0</v>
          </cell>
          <cell r="I348" t="str">
            <v>0</v>
          </cell>
          <cell r="J348" t="str">
            <v>0</v>
          </cell>
          <cell r="K348" t="str">
            <v>0</v>
          </cell>
          <cell r="L348" t="str">
            <v>0</v>
          </cell>
          <cell r="M348" t="str">
            <v>0</v>
          </cell>
          <cell r="N348" t="str">
            <v>0</v>
          </cell>
          <cell r="O348" t="str">
            <v>0</v>
          </cell>
          <cell r="P348" t="str">
            <v>0</v>
          </cell>
          <cell r="Q348" t="str">
            <v>0</v>
          </cell>
          <cell r="R348" t="str">
            <v>0</v>
          </cell>
          <cell r="S348" t="str">
            <v>0</v>
          </cell>
          <cell r="T348" t="str">
            <v>0</v>
          </cell>
          <cell r="U348" t="str">
            <v>0</v>
          </cell>
          <cell r="V348" t="str">
            <v>0</v>
          </cell>
          <cell r="W348" t="str">
            <v>0</v>
          </cell>
          <cell r="X348" t="str">
            <v>0</v>
          </cell>
          <cell r="Y348" t="str">
            <v>0</v>
          </cell>
          <cell r="Z348" t="str">
            <v>0</v>
          </cell>
          <cell r="AA348" t="str">
            <v>0</v>
          </cell>
          <cell r="AB348" t="str">
            <v>0</v>
          </cell>
          <cell r="AC348" t="str">
            <v>0</v>
          </cell>
          <cell r="AD348" t="str">
            <v>0</v>
          </cell>
          <cell r="AE348" t="str">
            <v>0</v>
          </cell>
        </row>
        <row r="349">
          <cell r="D349" t="str">
            <v>08-Dec</v>
          </cell>
          <cell r="E349" t="str">
            <v>0</v>
          </cell>
          <cell r="F349" t="str">
            <v>0</v>
          </cell>
          <cell r="G349" t="str">
            <v>0</v>
          </cell>
          <cell r="H349" t="str">
            <v>0</v>
          </cell>
          <cell r="I349" t="str">
            <v>0</v>
          </cell>
          <cell r="J349" t="str">
            <v>0</v>
          </cell>
          <cell r="K349" t="str">
            <v>0</v>
          </cell>
          <cell r="L349" t="str">
            <v>0</v>
          </cell>
          <cell r="M349" t="str">
            <v>0</v>
          </cell>
          <cell r="N349" t="str">
            <v>0</v>
          </cell>
          <cell r="O349" t="str">
            <v>0</v>
          </cell>
          <cell r="P349" t="str">
            <v>0</v>
          </cell>
          <cell r="Q349" t="str">
            <v>0</v>
          </cell>
          <cell r="R349" t="str">
            <v>0</v>
          </cell>
          <cell r="S349" t="str">
            <v>0</v>
          </cell>
          <cell r="T349" t="str">
            <v>0</v>
          </cell>
          <cell r="U349" t="str">
            <v>0</v>
          </cell>
          <cell r="V349" t="str">
            <v>0</v>
          </cell>
          <cell r="W349" t="str">
            <v>0</v>
          </cell>
          <cell r="X349" t="str">
            <v>0</v>
          </cell>
          <cell r="Y349" t="str">
            <v>0</v>
          </cell>
          <cell r="Z349" t="str">
            <v>0</v>
          </cell>
          <cell r="AA349" t="str">
            <v>0</v>
          </cell>
          <cell r="AB349" t="str">
            <v>0</v>
          </cell>
          <cell r="AC349" t="str">
            <v>0</v>
          </cell>
          <cell r="AD349" t="str">
            <v>0</v>
          </cell>
          <cell r="AE349" t="str">
            <v>0</v>
          </cell>
        </row>
        <row r="350">
          <cell r="D350" t="str">
            <v>09-Dec</v>
          </cell>
          <cell r="E350" t="str">
            <v>0</v>
          </cell>
          <cell r="F350" t="str">
            <v>0</v>
          </cell>
          <cell r="G350" t="str">
            <v>0</v>
          </cell>
          <cell r="H350" t="str">
            <v>0</v>
          </cell>
          <cell r="I350" t="str">
            <v>0</v>
          </cell>
          <cell r="J350" t="str">
            <v>0</v>
          </cell>
          <cell r="K350" t="str">
            <v>0</v>
          </cell>
          <cell r="L350" t="str">
            <v>0</v>
          </cell>
          <cell r="M350" t="str">
            <v>0</v>
          </cell>
          <cell r="N350" t="str">
            <v>0</v>
          </cell>
          <cell r="O350" t="str">
            <v>0</v>
          </cell>
          <cell r="P350" t="str">
            <v>0</v>
          </cell>
          <cell r="Q350" t="str">
            <v>0</v>
          </cell>
          <cell r="R350" t="str">
            <v>0</v>
          </cell>
          <cell r="S350" t="str">
            <v>0</v>
          </cell>
          <cell r="T350" t="str">
            <v>0</v>
          </cell>
          <cell r="U350" t="str">
            <v>0</v>
          </cell>
          <cell r="V350" t="str">
            <v>0</v>
          </cell>
          <cell r="W350" t="str">
            <v>0</v>
          </cell>
          <cell r="X350" t="str">
            <v>0</v>
          </cell>
          <cell r="Y350" t="str">
            <v>0</v>
          </cell>
          <cell r="Z350" t="str">
            <v>0</v>
          </cell>
          <cell r="AA350" t="str">
            <v>0</v>
          </cell>
          <cell r="AB350" t="str">
            <v>0</v>
          </cell>
          <cell r="AC350" t="str">
            <v>0</v>
          </cell>
          <cell r="AD350" t="str">
            <v>0</v>
          </cell>
          <cell r="AE350" t="str">
            <v>0</v>
          </cell>
        </row>
        <row r="351">
          <cell r="D351" t="str">
            <v>10-Dec</v>
          </cell>
          <cell r="E351" t="str">
            <v>0</v>
          </cell>
          <cell r="F351" t="str">
            <v>0</v>
          </cell>
          <cell r="G351" t="str">
            <v>0</v>
          </cell>
          <cell r="H351" t="str">
            <v>0</v>
          </cell>
          <cell r="I351" t="str">
            <v>0</v>
          </cell>
          <cell r="J351" t="str">
            <v>0</v>
          </cell>
          <cell r="K351" t="str">
            <v>0</v>
          </cell>
          <cell r="L351" t="str">
            <v>0</v>
          </cell>
          <cell r="M351" t="str">
            <v>0</v>
          </cell>
          <cell r="N351" t="str">
            <v>0</v>
          </cell>
          <cell r="O351" t="str">
            <v>0</v>
          </cell>
          <cell r="P351" t="str">
            <v>0</v>
          </cell>
          <cell r="Q351" t="str">
            <v>0</v>
          </cell>
          <cell r="R351" t="str">
            <v>0</v>
          </cell>
          <cell r="S351" t="str">
            <v>0</v>
          </cell>
          <cell r="T351" t="str">
            <v>0</v>
          </cell>
          <cell r="U351" t="str">
            <v>0</v>
          </cell>
          <cell r="V351" t="str">
            <v>0</v>
          </cell>
          <cell r="W351" t="str">
            <v>0</v>
          </cell>
          <cell r="X351" t="str">
            <v>0</v>
          </cell>
          <cell r="Y351" t="str">
            <v>0</v>
          </cell>
          <cell r="Z351" t="str">
            <v>0</v>
          </cell>
          <cell r="AA351" t="str">
            <v>0</v>
          </cell>
          <cell r="AB351" t="str">
            <v>0</v>
          </cell>
          <cell r="AC351" t="str">
            <v>0</v>
          </cell>
          <cell r="AD351" t="str">
            <v>0</v>
          </cell>
          <cell r="AE351" t="str">
            <v>0</v>
          </cell>
        </row>
        <row r="352">
          <cell r="D352" t="str">
            <v>11-Dec</v>
          </cell>
          <cell r="E352" t="str">
            <v>0</v>
          </cell>
          <cell r="F352" t="str">
            <v>0</v>
          </cell>
          <cell r="G352" t="str">
            <v>0</v>
          </cell>
          <cell r="H352" t="str">
            <v>0</v>
          </cell>
          <cell r="I352" t="str">
            <v>0</v>
          </cell>
          <cell r="J352" t="str">
            <v>0</v>
          </cell>
          <cell r="K352" t="str">
            <v>0</v>
          </cell>
          <cell r="L352" t="str">
            <v>0</v>
          </cell>
          <cell r="M352" t="str">
            <v>0</v>
          </cell>
          <cell r="N352" t="str">
            <v>0</v>
          </cell>
          <cell r="O352" t="str">
            <v>0</v>
          </cell>
          <cell r="P352" t="str">
            <v>0</v>
          </cell>
          <cell r="Q352" t="str">
            <v>0</v>
          </cell>
          <cell r="R352" t="str">
            <v>0</v>
          </cell>
          <cell r="S352" t="str">
            <v>0</v>
          </cell>
          <cell r="T352" t="str">
            <v>0</v>
          </cell>
          <cell r="U352" t="str">
            <v>0</v>
          </cell>
          <cell r="V352" t="str">
            <v>0</v>
          </cell>
          <cell r="W352" t="str">
            <v>0</v>
          </cell>
          <cell r="X352" t="str">
            <v>0</v>
          </cell>
          <cell r="Y352" t="str">
            <v>0</v>
          </cell>
          <cell r="Z352" t="str">
            <v>0</v>
          </cell>
          <cell r="AA352" t="str">
            <v>0</v>
          </cell>
          <cell r="AB352" t="str">
            <v>0</v>
          </cell>
          <cell r="AC352" t="str">
            <v>0</v>
          </cell>
          <cell r="AD352" t="str">
            <v>0</v>
          </cell>
          <cell r="AE352" t="str">
            <v>0</v>
          </cell>
        </row>
        <row r="353">
          <cell r="D353" t="str">
            <v>12-Dec</v>
          </cell>
          <cell r="E353" t="str">
            <v>0</v>
          </cell>
          <cell r="F353" t="str">
            <v>0</v>
          </cell>
          <cell r="G353" t="str">
            <v>0</v>
          </cell>
          <cell r="H353" t="str">
            <v>0</v>
          </cell>
          <cell r="I353" t="str">
            <v>0</v>
          </cell>
          <cell r="J353" t="str">
            <v>0</v>
          </cell>
          <cell r="K353" t="str">
            <v>0</v>
          </cell>
          <cell r="L353" t="str">
            <v>0</v>
          </cell>
          <cell r="M353" t="str">
            <v>0</v>
          </cell>
          <cell r="N353" t="str">
            <v>0</v>
          </cell>
          <cell r="O353" t="str">
            <v>0</v>
          </cell>
          <cell r="P353" t="str">
            <v>0</v>
          </cell>
          <cell r="Q353" t="str">
            <v>0</v>
          </cell>
          <cell r="R353" t="str">
            <v>0</v>
          </cell>
          <cell r="S353" t="str">
            <v>0</v>
          </cell>
          <cell r="T353" t="str">
            <v>0</v>
          </cell>
          <cell r="U353" t="str">
            <v>0</v>
          </cell>
          <cell r="V353" t="str">
            <v>0</v>
          </cell>
          <cell r="W353" t="str">
            <v>0</v>
          </cell>
          <cell r="X353" t="str">
            <v>0</v>
          </cell>
          <cell r="Y353" t="str">
            <v>0</v>
          </cell>
          <cell r="Z353" t="str">
            <v>0</v>
          </cell>
          <cell r="AA353" t="str">
            <v>0</v>
          </cell>
          <cell r="AB353" t="str">
            <v>0</v>
          </cell>
          <cell r="AC353" t="str">
            <v>0</v>
          </cell>
          <cell r="AD353" t="str">
            <v>0</v>
          </cell>
          <cell r="AE353" t="str">
            <v>0</v>
          </cell>
        </row>
        <row r="354">
          <cell r="D354" t="str">
            <v>13-Dec</v>
          </cell>
          <cell r="E354" t="str">
            <v>0</v>
          </cell>
          <cell r="F354" t="str">
            <v>0</v>
          </cell>
          <cell r="G354" t="str">
            <v>0</v>
          </cell>
          <cell r="H354" t="str">
            <v>0</v>
          </cell>
          <cell r="I354" t="str">
            <v>0</v>
          </cell>
          <cell r="J354" t="str">
            <v>0</v>
          </cell>
          <cell r="K354" t="str">
            <v>0</v>
          </cell>
          <cell r="L354" t="str">
            <v>0</v>
          </cell>
          <cell r="M354" t="str">
            <v>0</v>
          </cell>
          <cell r="N354" t="str">
            <v>0</v>
          </cell>
          <cell r="O354" t="str">
            <v>0</v>
          </cell>
          <cell r="P354" t="str">
            <v>0</v>
          </cell>
          <cell r="Q354" t="str">
            <v>0</v>
          </cell>
          <cell r="R354" t="str">
            <v>0</v>
          </cell>
          <cell r="S354" t="str">
            <v>0</v>
          </cell>
          <cell r="T354" t="str">
            <v>0</v>
          </cell>
          <cell r="U354" t="str">
            <v>0</v>
          </cell>
          <cell r="V354" t="str">
            <v>0</v>
          </cell>
          <cell r="W354" t="str">
            <v>0</v>
          </cell>
          <cell r="X354" t="str">
            <v>0</v>
          </cell>
          <cell r="Y354" t="str">
            <v>0</v>
          </cell>
          <cell r="Z354" t="str">
            <v>0</v>
          </cell>
          <cell r="AA354" t="str">
            <v>0</v>
          </cell>
          <cell r="AB354" t="str">
            <v>0</v>
          </cell>
          <cell r="AC354" t="str">
            <v>0</v>
          </cell>
          <cell r="AD354" t="str">
            <v>0</v>
          </cell>
          <cell r="AE354" t="str">
            <v>0</v>
          </cell>
        </row>
        <row r="355">
          <cell r="D355" t="str">
            <v>14-Dec</v>
          </cell>
          <cell r="E355" t="str">
            <v>0</v>
          </cell>
          <cell r="F355" t="str">
            <v>0</v>
          </cell>
          <cell r="G355" t="str">
            <v>0</v>
          </cell>
          <cell r="H355" t="str">
            <v>0</v>
          </cell>
          <cell r="I355" t="str">
            <v>0</v>
          </cell>
          <cell r="J355" t="str">
            <v>0</v>
          </cell>
          <cell r="K355" t="str">
            <v>0</v>
          </cell>
          <cell r="L355" t="str">
            <v>0</v>
          </cell>
          <cell r="M355" t="str">
            <v>0</v>
          </cell>
          <cell r="N355" t="str">
            <v>0</v>
          </cell>
          <cell r="O355" t="str">
            <v>0</v>
          </cell>
          <cell r="P355" t="str">
            <v>0</v>
          </cell>
          <cell r="Q355" t="str">
            <v>0</v>
          </cell>
          <cell r="R355" t="str">
            <v>0</v>
          </cell>
          <cell r="S355" t="str">
            <v>0</v>
          </cell>
          <cell r="T355" t="str">
            <v>0</v>
          </cell>
          <cell r="U355" t="str">
            <v>0</v>
          </cell>
          <cell r="V355" t="str">
            <v>0</v>
          </cell>
          <cell r="W355" t="str">
            <v>0</v>
          </cell>
          <cell r="X355" t="str">
            <v>0</v>
          </cell>
          <cell r="Y355" t="str">
            <v>0</v>
          </cell>
          <cell r="Z355" t="str">
            <v>0</v>
          </cell>
          <cell r="AA355" t="str">
            <v>0</v>
          </cell>
          <cell r="AB355" t="str">
            <v>0</v>
          </cell>
          <cell r="AC355" t="str">
            <v>0</v>
          </cell>
          <cell r="AD355" t="str">
            <v>0</v>
          </cell>
          <cell r="AE355" t="str">
            <v>0</v>
          </cell>
        </row>
        <row r="356">
          <cell r="D356" t="str">
            <v>15-Dec</v>
          </cell>
          <cell r="E356" t="str">
            <v>0</v>
          </cell>
          <cell r="F356" t="str">
            <v>0</v>
          </cell>
          <cell r="G356" t="str">
            <v>0</v>
          </cell>
          <cell r="H356" t="str">
            <v>0</v>
          </cell>
          <cell r="I356" t="str">
            <v>0</v>
          </cell>
          <cell r="J356" t="str">
            <v>0</v>
          </cell>
          <cell r="K356" t="str">
            <v>0</v>
          </cell>
          <cell r="L356" t="str">
            <v>0</v>
          </cell>
          <cell r="M356" t="str">
            <v>0</v>
          </cell>
          <cell r="N356" t="str">
            <v>0</v>
          </cell>
          <cell r="O356" t="str">
            <v>0</v>
          </cell>
          <cell r="P356" t="str">
            <v>0</v>
          </cell>
          <cell r="Q356" t="str">
            <v>0</v>
          </cell>
          <cell r="R356" t="str">
            <v>0</v>
          </cell>
          <cell r="S356" t="str">
            <v>0</v>
          </cell>
          <cell r="T356" t="str">
            <v>0</v>
          </cell>
          <cell r="U356" t="str">
            <v>0</v>
          </cell>
          <cell r="V356" t="str">
            <v>0</v>
          </cell>
          <cell r="W356" t="str">
            <v>0</v>
          </cell>
          <cell r="X356" t="str">
            <v>0</v>
          </cell>
          <cell r="Y356" t="str">
            <v>0</v>
          </cell>
          <cell r="Z356" t="str">
            <v>0</v>
          </cell>
          <cell r="AA356" t="str">
            <v>0</v>
          </cell>
          <cell r="AB356" t="str">
            <v>0</v>
          </cell>
          <cell r="AC356" t="str">
            <v>0</v>
          </cell>
          <cell r="AD356" t="str">
            <v>0</v>
          </cell>
          <cell r="AE356" t="str">
            <v>0</v>
          </cell>
        </row>
        <row r="357">
          <cell r="D357" t="str">
            <v>16-Dec</v>
          </cell>
          <cell r="E357" t="str">
            <v>0</v>
          </cell>
          <cell r="F357" t="str">
            <v>0</v>
          </cell>
          <cell r="G357" t="str">
            <v>0</v>
          </cell>
          <cell r="H357" t="str">
            <v>0</v>
          </cell>
          <cell r="I357" t="str">
            <v>0</v>
          </cell>
          <cell r="J357" t="str">
            <v>0</v>
          </cell>
          <cell r="K357" t="str">
            <v>0</v>
          </cell>
          <cell r="L357" t="str">
            <v>0</v>
          </cell>
          <cell r="M357" t="str">
            <v>0</v>
          </cell>
          <cell r="N357" t="str">
            <v>0</v>
          </cell>
          <cell r="O357" t="str">
            <v>0</v>
          </cell>
          <cell r="P357" t="str">
            <v>0</v>
          </cell>
          <cell r="Q357" t="str">
            <v>0</v>
          </cell>
          <cell r="R357" t="str">
            <v>0</v>
          </cell>
          <cell r="S357" t="str">
            <v>0</v>
          </cell>
          <cell r="T357" t="str">
            <v>0</v>
          </cell>
          <cell r="U357" t="str">
            <v>0</v>
          </cell>
          <cell r="V357" t="str">
            <v>0</v>
          </cell>
          <cell r="W357" t="str">
            <v>0</v>
          </cell>
          <cell r="X357" t="str">
            <v>0</v>
          </cell>
          <cell r="Y357" t="str">
            <v>0</v>
          </cell>
          <cell r="Z357" t="str">
            <v>0</v>
          </cell>
          <cell r="AA357" t="str">
            <v>0</v>
          </cell>
          <cell r="AB357" t="str">
            <v>0</v>
          </cell>
          <cell r="AC357" t="str">
            <v>0</v>
          </cell>
          <cell r="AD357" t="str">
            <v>0</v>
          </cell>
          <cell r="AE357" t="str">
            <v>0</v>
          </cell>
        </row>
        <row r="358">
          <cell r="D358" t="str">
            <v>17-Dec</v>
          </cell>
          <cell r="E358" t="str">
            <v>0</v>
          </cell>
          <cell r="F358" t="str">
            <v>0</v>
          </cell>
          <cell r="G358" t="str">
            <v>0</v>
          </cell>
          <cell r="H358" t="str">
            <v>0</v>
          </cell>
          <cell r="I358" t="str">
            <v>0</v>
          </cell>
          <cell r="J358" t="str">
            <v>0</v>
          </cell>
          <cell r="K358" t="str">
            <v>0</v>
          </cell>
          <cell r="L358" t="str">
            <v>0</v>
          </cell>
          <cell r="M358" t="str">
            <v>0</v>
          </cell>
          <cell r="N358" t="str">
            <v>0</v>
          </cell>
          <cell r="O358" t="str">
            <v>0</v>
          </cell>
          <cell r="P358" t="str">
            <v>0</v>
          </cell>
          <cell r="Q358" t="str">
            <v>0</v>
          </cell>
          <cell r="R358" t="str">
            <v>0</v>
          </cell>
          <cell r="S358" t="str">
            <v>0</v>
          </cell>
          <cell r="T358" t="str">
            <v>0</v>
          </cell>
          <cell r="U358" t="str">
            <v>0</v>
          </cell>
          <cell r="V358" t="str">
            <v>0</v>
          </cell>
          <cell r="W358" t="str">
            <v>0</v>
          </cell>
          <cell r="X358" t="str">
            <v>0</v>
          </cell>
          <cell r="Y358" t="str">
            <v>0</v>
          </cell>
          <cell r="Z358" t="str">
            <v>0</v>
          </cell>
          <cell r="AA358" t="str">
            <v>0</v>
          </cell>
          <cell r="AB358" t="str">
            <v>0</v>
          </cell>
          <cell r="AC358" t="str">
            <v>0</v>
          </cell>
          <cell r="AD358" t="str">
            <v>0</v>
          </cell>
          <cell r="AE358" t="str">
            <v>0</v>
          </cell>
        </row>
        <row r="359">
          <cell r="D359" t="str">
            <v>18-Dec</v>
          </cell>
          <cell r="E359" t="str">
            <v>0</v>
          </cell>
          <cell r="F359" t="str">
            <v>0</v>
          </cell>
          <cell r="G359" t="str">
            <v>0</v>
          </cell>
          <cell r="H359" t="str">
            <v>0</v>
          </cell>
          <cell r="I359" t="str">
            <v>0</v>
          </cell>
          <cell r="J359" t="str">
            <v>0</v>
          </cell>
          <cell r="K359" t="str">
            <v>0</v>
          </cell>
          <cell r="L359" t="str">
            <v>0</v>
          </cell>
          <cell r="M359" t="str">
            <v>0</v>
          </cell>
          <cell r="N359" t="str">
            <v>0</v>
          </cell>
          <cell r="O359" t="str">
            <v>0</v>
          </cell>
          <cell r="P359" t="str">
            <v>0</v>
          </cell>
          <cell r="Q359" t="str">
            <v>0</v>
          </cell>
          <cell r="R359" t="str">
            <v>0</v>
          </cell>
          <cell r="S359" t="str">
            <v>0</v>
          </cell>
          <cell r="T359" t="str">
            <v>0</v>
          </cell>
          <cell r="U359" t="str">
            <v>0</v>
          </cell>
          <cell r="V359" t="str">
            <v>0</v>
          </cell>
          <cell r="W359" t="str">
            <v>0</v>
          </cell>
          <cell r="X359" t="str">
            <v>0</v>
          </cell>
          <cell r="Y359" t="str">
            <v>0</v>
          </cell>
          <cell r="Z359" t="str">
            <v>0</v>
          </cell>
          <cell r="AA359" t="str">
            <v>0</v>
          </cell>
          <cell r="AB359" t="str">
            <v>0</v>
          </cell>
          <cell r="AC359" t="str">
            <v>0</v>
          </cell>
          <cell r="AD359" t="str">
            <v>0</v>
          </cell>
          <cell r="AE359" t="str">
            <v>0</v>
          </cell>
        </row>
        <row r="360">
          <cell r="D360" t="str">
            <v>19-Dec</v>
          </cell>
          <cell r="E360" t="str">
            <v>0</v>
          </cell>
          <cell r="F360" t="str">
            <v>0</v>
          </cell>
          <cell r="G360" t="str">
            <v>0</v>
          </cell>
          <cell r="H360" t="str">
            <v>0</v>
          </cell>
          <cell r="I360" t="str">
            <v>0</v>
          </cell>
          <cell r="J360" t="str">
            <v>0</v>
          </cell>
          <cell r="K360" t="str">
            <v>0</v>
          </cell>
          <cell r="L360" t="str">
            <v>0</v>
          </cell>
          <cell r="M360" t="str">
            <v>0</v>
          </cell>
          <cell r="N360" t="str">
            <v>0</v>
          </cell>
          <cell r="O360" t="str">
            <v>0</v>
          </cell>
          <cell r="P360" t="str">
            <v>0</v>
          </cell>
          <cell r="Q360" t="str">
            <v>0</v>
          </cell>
          <cell r="R360" t="str">
            <v>0</v>
          </cell>
          <cell r="S360" t="str">
            <v>0</v>
          </cell>
          <cell r="T360" t="str">
            <v>0</v>
          </cell>
          <cell r="U360" t="str">
            <v>0</v>
          </cell>
          <cell r="V360" t="str">
            <v>0</v>
          </cell>
          <cell r="W360" t="str">
            <v>0</v>
          </cell>
          <cell r="X360" t="str">
            <v>0</v>
          </cell>
          <cell r="Y360" t="str">
            <v>0</v>
          </cell>
          <cell r="Z360" t="str">
            <v>0</v>
          </cell>
          <cell r="AA360" t="str">
            <v>0</v>
          </cell>
          <cell r="AB360" t="str">
            <v>0</v>
          </cell>
          <cell r="AC360" t="str">
            <v>0</v>
          </cell>
          <cell r="AD360" t="str">
            <v>0</v>
          </cell>
          <cell r="AE360" t="str">
            <v>0</v>
          </cell>
        </row>
        <row r="361">
          <cell r="D361" t="str">
            <v>20-Dec</v>
          </cell>
          <cell r="E361" t="str">
            <v>0</v>
          </cell>
          <cell r="F361" t="str">
            <v>0</v>
          </cell>
          <cell r="G361" t="str">
            <v>0</v>
          </cell>
          <cell r="H361" t="str">
            <v>0</v>
          </cell>
          <cell r="I361" t="str">
            <v>0</v>
          </cell>
          <cell r="J361" t="str">
            <v>0</v>
          </cell>
          <cell r="K361" t="str">
            <v>0</v>
          </cell>
          <cell r="L361" t="str">
            <v>0</v>
          </cell>
          <cell r="M361" t="str">
            <v>0</v>
          </cell>
          <cell r="N361" t="str">
            <v>0</v>
          </cell>
          <cell r="O361" t="str">
            <v>0</v>
          </cell>
          <cell r="P361" t="str">
            <v>0</v>
          </cell>
          <cell r="Q361" t="str">
            <v>0</v>
          </cell>
          <cell r="R361" t="str">
            <v>0</v>
          </cell>
          <cell r="S361" t="str">
            <v>0</v>
          </cell>
          <cell r="T361" t="str">
            <v>0</v>
          </cell>
          <cell r="U361" t="str">
            <v>0</v>
          </cell>
          <cell r="V361" t="str">
            <v>0</v>
          </cell>
          <cell r="W361" t="str">
            <v>0</v>
          </cell>
          <cell r="X361" t="str">
            <v>0</v>
          </cell>
          <cell r="Y361" t="str">
            <v>0</v>
          </cell>
          <cell r="Z361" t="str">
            <v>0</v>
          </cell>
          <cell r="AA361" t="str">
            <v>0</v>
          </cell>
          <cell r="AB361" t="str">
            <v>0</v>
          </cell>
          <cell r="AC361" t="str">
            <v>0</v>
          </cell>
          <cell r="AD361" t="str">
            <v>0</v>
          </cell>
          <cell r="AE361" t="str">
            <v>0</v>
          </cell>
        </row>
        <row r="362">
          <cell r="D362" t="str">
            <v>21-Dec</v>
          </cell>
          <cell r="E362" t="str">
            <v>0</v>
          </cell>
          <cell r="F362" t="str">
            <v>0</v>
          </cell>
          <cell r="G362" t="str">
            <v>0</v>
          </cell>
          <cell r="H362" t="str">
            <v>0</v>
          </cell>
          <cell r="I362" t="str">
            <v>0</v>
          </cell>
          <cell r="J362" t="str">
            <v>0</v>
          </cell>
          <cell r="K362" t="str">
            <v>0</v>
          </cell>
          <cell r="L362" t="str">
            <v>0</v>
          </cell>
          <cell r="M362" t="str">
            <v>0</v>
          </cell>
          <cell r="N362" t="str">
            <v>0</v>
          </cell>
          <cell r="O362" t="str">
            <v>0</v>
          </cell>
          <cell r="P362" t="str">
            <v>0</v>
          </cell>
          <cell r="Q362" t="str">
            <v>0</v>
          </cell>
          <cell r="R362" t="str">
            <v>0</v>
          </cell>
          <cell r="S362" t="str">
            <v>0</v>
          </cell>
          <cell r="T362" t="str">
            <v>0</v>
          </cell>
          <cell r="U362" t="str">
            <v>0</v>
          </cell>
          <cell r="V362" t="str">
            <v>0</v>
          </cell>
          <cell r="W362" t="str">
            <v>0</v>
          </cell>
          <cell r="X362" t="str">
            <v>0</v>
          </cell>
          <cell r="Y362" t="str">
            <v>0</v>
          </cell>
          <cell r="Z362" t="str">
            <v>0</v>
          </cell>
          <cell r="AA362" t="str">
            <v>0</v>
          </cell>
          <cell r="AB362" t="str">
            <v>0</v>
          </cell>
          <cell r="AC362" t="str">
            <v>0</v>
          </cell>
          <cell r="AD362" t="str">
            <v>0</v>
          </cell>
          <cell r="AE362" t="str">
            <v>0</v>
          </cell>
        </row>
        <row r="363">
          <cell r="D363" t="str">
            <v>22-Dec</v>
          </cell>
          <cell r="E363" t="str">
            <v>0</v>
          </cell>
          <cell r="F363" t="str">
            <v>0</v>
          </cell>
          <cell r="G363" t="str">
            <v>0</v>
          </cell>
          <cell r="H363" t="str">
            <v>0</v>
          </cell>
          <cell r="I363" t="str">
            <v>0</v>
          </cell>
          <cell r="J363" t="str">
            <v>0</v>
          </cell>
          <cell r="K363" t="str">
            <v>0</v>
          </cell>
          <cell r="L363" t="str">
            <v>0</v>
          </cell>
          <cell r="M363" t="str">
            <v>0</v>
          </cell>
          <cell r="N363" t="str">
            <v>0</v>
          </cell>
          <cell r="O363" t="str">
            <v>0</v>
          </cell>
          <cell r="P363" t="str">
            <v>0</v>
          </cell>
          <cell r="Q363" t="str">
            <v>0</v>
          </cell>
          <cell r="R363" t="str">
            <v>0</v>
          </cell>
          <cell r="S363" t="str">
            <v>0</v>
          </cell>
          <cell r="T363" t="str">
            <v>0</v>
          </cell>
          <cell r="U363" t="str">
            <v>0</v>
          </cell>
          <cell r="V363" t="str">
            <v>0</v>
          </cell>
          <cell r="W363" t="str">
            <v>0</v>
          </cell>
          <cell r="X363" t="str">
            <v>0</v>
          </cell>
          <cell r="Y363" t="str">
            <v>0</v>
          </cell>
          <cell r="Z363" t="str">
            <v>0</v>
          </cell>
          <cell r="AA363" t="str">
            <v>0</v>
          </cell>
          <cell r="AB363" t="str">
            <v>0</v>
          </cell>
          <cell r="AC363" t="str">
            <v>0</v>
          </cell>
          <cell r="AD363" t="str">
            <v>0</v>
          </cell>
          <cell r="AE363" t="str">
            <v>0</v>
          </cell>
        </row>
        <row r="364">
          <cell r="D364" t="str">
            <v>23-Dec</v>
          </cell>
          <cell r="E364" t="str">
            <v>0</v>
          </cell>
          <cell r="F364" t="str">
            <v>0</v>
          </cell>
          <cell r="G364" t="str">
            <v>0</v>
          </cell>
          <cell r="H364" t="str">
            <v>0</v>
          </cell>
          <cell r="I364" t="str">
            <v>0</v>
          </cell>
          <cell r="J364" t="str">
            <v>0</v>
          </cell>
          <cell r="K364" t="str">
            <v>0</v>
          </cell>
          <cell r="L364" t="str">
            <v>0</v>
          </cell>
          <cell r="M364" t="str">
            <v>0</v>
          </cell>
          <cell r="N364" t="str">
            <v>0</v>
          </cell>
          <cell r="O364" t="str">
            <v>0</v>
          </cell>
          <cell r="P364" t="str">
            <v>0</v>
          </cell>
          <cell r="Q364" t="str">
            <v>0</v>
          </cell>
          <cell r="R364" t="str">
            <v>0</v>
          </cell>
          <cell r="S364" t="str">
            <v>0</v>
          </cell>
          <cell r="T364" t="str">
            <v>0</v>
          </cell>
          <cell r="U364" t="str">
            <v>0</v>
          </cell>
          <cell r="V364" t="str">
            <v>0</v>
          </cell>
          <cell r="W364" t="str">
            <v>0</v>
          </cell>
          <cell r="X364" t="str">
            <v>0</v>
          </cell>
          <cell r="Y364" t="str">
            <v>0</v>
          </cell>
          <cell r="Z364" t="str">
            <v>0</v>
          </cell>
          <cell r="AA364" t="str">
            <v>0</v>
          </cell>
          <cell r="AB364" t="str">
            <v>0</v>
          </cell>
          <cell r="AC364" t="str">
            <v>0</v>
          </cell>
          <cell r="AD364" t="str">
            <v>0</v>
          </cell>
          <cell r="AE364" t="str">
            <v>0</v>
          </cell>
        </row>
        <row r="365">
          <cell r="D365" t="str">
            <v>24-Dec</v>
          </cell>
          <cell r="E365" t="str">
            <v>0</v>
          </cell>
          <cell r="F365" t="str">
            <v>0</v>
          </cell>
          <cell r="G365" t="str">
            <v>0</v>
          </cell>
          <cell r="H365" t="str">
            <v>0</v>
          </cell>
          <cell r="I365" t="str">
            <v>0</v>
          </cell>
          <cell r="J365" t="str">
            <v>0</v>
          </cell>
          <cell r="K365" t="str">
            <v>0</v>
          </cell>
          <cell r="L365" t="str">
            <v>0</v>
          </cell>
          <cell r="M365" t="str">
            <v>0</v>
          </cell>
          <cell r="N365" t="str">
            <v>0</v>
          </cell>
          <cell r="O365" t="str">
            <v>0</v>
          </cell>
          <cell r="P365" t="str">
            <v>0</v>
          </cell>
          <cell r="Q365" t="str">
            <v>0</v>
          </cell>
          <cell r="R365" t="str">
            <v>0</v>
          </cell>
          <cell r="S365" t="str">
            <v>0</v>
          </cell>
          <cell r="T365" t="str">
            <v>0</v>
          </cell>
          <cell r="U365" t="str">
            <v>0</v>
          </cell>
          <cell r="V365" t="str">
            <v>0</v>
          </cell>
          <cell r="W365" t="str">
            <v>0</v>
          </cell>
          <cell r="X365" t="str">
            <v>0</v>
          </cell>
          <cell r="Y365" t="str">
            <v>0</v>
          </cell>
          <cell r="Z365" t="str">
            <v>0</v>
          </cell>
          <cell r="AA365" t="str">
            <v>0</v>
          </cell>
          <cell r="AB365" t="str">
            <v>0</v>
          </cell>
          <cell r="AC365" t="str">
            <v>0</v>
          </cell>
          <cell r="AD365" t="str">
            <v>0</v>
          </cell>
          <cell r="AE365" t="str">
            <v>0</v>
          </cell>
        </row>
        <row r="366">
          <cell r="D366" t="str">
            <v>25-Dec</v>
          </cell>
          <cell r="E366" t="str">
            <v>0</v>
          </cell>
          <cell r="F366" t="str">
            <v>0</v>
          </cell>
          <cell r="G366" t="str">
            <v>0</v>
          </cell>
          <cell r="H366" t="str">
            <v>0</v>
          </cell>
          <cell r="I366" t="str">
            <v>0</v>
          </cell>
          <cell r="J366" t="str">
            <v>0</v>
          </cell>
          <cell r="K366" t="str">
            <v>0</v>
          </cell>
          <cell r="L366" t="str">
            <v>0</v>
          </cell>
          <cell r="M366" t="str">
            <v>0</v>
          </cell>
          <cell r="N366" t="str">
            <v>0</v>
          </cell>
          <cell r="O366" t="str">
            <v>0</v>
          </cell>
          <cell r="P366" t="str">
            <v>0</v>
          </cell>
          <cell r="Q366" t="str">
            <v>0</v>
          </cell>
          <cell r="R366" t="str">
            <v>0</v>
          </cell>
          <cell r="S366" t="str">
            <v>0</v>
          </cell>
          <cell r="T366" t="str">
            <v>0</v>
          </cell>
          <cell r="U366" t="str">
            <v>0</v>
          </cell>
          <cell r="V366" t="str">
            <v>0</v>
          </cell>
          <cell r="W366" t="str">
            <v>0</v>
          </cell>
          <cell r="X366" t="str">
            <v>0</v>
          </cell>
          <cell r="Y366" t="str">
            <v>0</v>
          </cell>
          <cell r="Z366" t="str">
            <v>0</v>
          </cell>
          <cell r="AA366" t="str">
            <v>0</v>
          </cell>
          <cell r="AB366" t="str">
            <v>0</v>
          </cell>
          <cell r="AC366" t="str">
            <v>0</v>
          </cell>
          <cell r="AD366" t="str">
            <v>0</v>
          </cell>
          <cell r="AE366" t="str">
            <v>0</v>
          </cell>
        </row>
        <row r="367">
          <cell r="D367" t="str">
            <v>26-Dec</v>
          </cell>
          <cell r="E367" t="str">
            <v>0</v>
          </cell>
          <cell r="F367" t="str">
            <v>0</v>
          </cell>
          <cell r="G367" t="str">
            <v>0</v>
          </cell>
          <cell r="H367" t="str">
            <v>0</v>
          </cell>
          <cell r="I367" t="str">
            <v>0</v>
          </cell>
          <cell r="J367" t="str">
            <v>0</v>
          </cell>
          <cell r="K367" t="str">
            <v>0</v>
          </cell>
          <cell r="L367" t="str">
            <v>0</v>
          </cell>
          <cell r="M367" t="str">
            <v>0</v>
          </cell>
          <cell r="N367" t="str">
            <v>0</v>
          </cell>
          <cell r="O367" t="str">
            <v>0</v>
          </cell>
          <cell r="P367" t="str">
            <v>0</v>
          </cell>
          <cell r="Q367" t="str">
            <v>0</v>
          </cell>
          <cell r="R367" t="str">
            <v>0</v>
          </cell>
          <cell r="S367" t="str">
            <v>0</v>
          </cell>
          <cell r="T367" t="str">
            <v>0</v>
          </cell>
          <cell r="U367" t="str">
            <v>0</v>
          </cell>
          <cell r="V367" t="str">
            <v>0</v>
          </cell>
          <cell r="W367" t="str">
            <v>0</v>
          </cell>
          <cell r="X367" t="str">
            <v>0</v>
          </cell>
          <cell r="Y367" t="str">
            <v>0</v>
          </cell>
          <cell r="Z367" t="str">
            <v>0</v>
          </cell>
          <cell r="AA367" t="str">
            <v>0</v>
          </cell>
          <cell r="AB367" t="str">
            <v>0</v>
          </cell>
          <cell r="AC367" t="str">
            <v>0</v>
          </cell>
          <cell r="AD367" t="str">
            <v>0</v>
          </cell>
          <cell r="AE367" t="str">
            <v>0</v>
          </cell>
        </row>
        <row r="368">
          <cell r="D368" t="str">
            <v>27-Dec</v>
          </cell>
          <cell r="E368" t="str">
            <v>0</v>
          </cell>
          <cell r="F368" t="str">
            <v>0</v>
          </cell>
          <cell r="G368" t="str">
            <v>0</v>
          </cell>
          <cell r="H368" t="str">
            <v>0</v>
          </cell>
          <cell r="I368" t="str">
            <v>0</v>
          </cell>
          <cell r="J368" t="str">
            <v>0</v>
          </cell>
          <cell r="K368" t="str">
            <v>0</v>
          </cell>
          <cell r="L368" t="str">
            <v>0</v>
          </cell>
          <cell r="M368" t="str">
            <v>0</v>
          </cell>
          <cell r="N368" t="str">
            <v>0</v>
          </cell>
          <cell r="O368" t="str">
            <v>0</v>
          </cell>
          <cell r="P368" t="str">
            <v>0</v>
          </cell>
          <cell r="Q368" t="str">
            <v>0</v>
          </cell>
          <cell r="R368" t="str">
            <v>0</v>
          </cell>
          <cell r="S368" t="str">
            <v>0</v>
          </cell>
          <cell r="T368" t="str">
            <v>0</v>
          </cell>
          <cell r="U368" t="str">
            <v>0</v>
          </cell>
          <cell r="V368" t="str">
            <v>0</v>
          </cell>
          <cell r="W368" t="str">
            <v>0</v>
          </cell>
          <cell r="X368" t="str">
            <v>0</v>
          </cell>
          <cell r="Y368" t="str">
            <v>0</v>
          </cell>
          <cell r="Z368" t="str">
            <v>0</v>
          </cell>
          <cell r="AA368" t="str">
            <v>0</v>
          </cell>
          <cell r="AB368" t="str">
            <v>0</v>
          </cell>
          <cell r="AC368" t="str">
            <v>0</v>
          </cell>
          <cell r="AD368" t="str">
            <v>0</v>
          </cell>
          <cell r="AE368" t="str">
            <v>0</v>
          </cell>
        </row>
        <row r="369">
          <cell r="D369" t="str">
            <v>28-Dec</v>
          </cell>
          <cell r="E369" t="str">
            <v>0</v>
          </cell>
          <cell r="F369" t="str">
            <v>0</v>
          </cell>
          <cell r="G369" t="str">
            <v>0</v>
          </cell>
          <cell r="H369" t="str">
            <v>0</v>
          </cell>
          <cell r="I369" t="str">
            <v>0</v>
          </cell>
          <cell r="J369" t="str">
            <v>0</v>
          </cell>
          <cell r="K369" t="str">
            <v>0</v>
          </cell>
          <cell r="L369" t="str">
            <v>0</v>
          </cell>
          <cell r="M369" t="str">
            <v>0</v>
          </cell>
          <cell r="N369" t="str">
            <v>0</v>
          </cell>
          <cell r="O369" t="str">
            <v>0</v>
          </cell>
          <cell r="P369" t="str">
            <v>0</v>
          </cell>
          <cell r="Q369" t="str">
            <v>0</v>
          </cell>
          <cell r="R369" t="str">
            <v>0</v>
          </cell>
          <cell r="S369" t="str">
            <v>0</v>
          </cell>
          <cell r="T369" t="str">
            <v>0</v>
          </cell>
          <cell r="U369" t="str">
            <v>0</v>
          </cell>
          <cell r="V369" t="str">
            <v>0</v>
          </cell>
          <cell r="W369" t="str">
            <v>0</v>
          </cell>
          <cell r="X369" t="str">
            <v>0</v>
          </cell>
          <cell r="Y369" t="str">
            <v>0</v>
          </cell>
          <cell r="Z369" t="str">
            <v>0</v>
          </cell>
          <cell r="AA369" t="str">
            <v>0</v>
          </cell>
          <cell r="AB369" t="str">
            <v>0</v>
          </cell>
          <cell r="AC369" t="str">
            <v>0</v>
          </cell>
          <cell r="AD369" t="str">
            <v>0</v>
          </cell>
          <cell r="AE369" t="str">
            <v>0</v>
          </cell>
        </row>
        <row r="370">
          <cell r="D370" t="str">
            <v>29-Dec</v>
          </cell>
          <cell r="E370" t="str">
            <v>0</v>
          </cell>
          <cell r="F370" t="str">
            <v>0</v>
          </cell>
          <cell r="G370" t="str">
            <v>0</v>
          </cell>
          <cell r="H370" t="str">
            <v>0</v>
          </cell>
          <cell r="I370" t="str">
            <v>0</v>
          </cell>
          <cell r="J370" t="str">
            <v>0</v>
          </cell>
          <cell r="K370" t="str">
            <v>0</v>
          </cell>
          <cell r="L370" t="str">
            <v>0</v>
          </cell>
          <cell r="M370" t="str">
            <v>0</v>
          </cell>
          <cell r="N370" t="str">
            <v>0</v>
          </cell>
          <cell r="O370" t="str">
            <v>0</v>
          </cell>
          <cell r="P370" t="str">
            <v>0</v>
          </cell>
          <cell r="Q370" t="str">
            <v>0</v>
          </cell>
          <cell r="R370" t="str">
            <v>0</v>
          </cell>
          <cell r="S370" t="str">
            <v>0</v>
          </cell>
          <cell r="T370" t="str">
            <v>0</v>
          </cell>
          <cell r="U370" t="str">
            <v>0</v>
          </cell>
          <cell r="V370" t="str">
            <v>0</v>
          </cell>
          <cell r="W370" t="str">
            <v>0</v>
          </cell>
          <cell r="X370" t="str">
            <v>0</v>
          </cell>
          <cell r="Y370" t="str">
            <v>0</v>
          </cell>
          <cell r="Z370" t="str">
            <v>0</v>
          </cell>
          <cell r="AA370" t="str">
            <v>0</v>
          </cell>
          <cell r="AB370" t="str">
            <v>0</v>
          </cell>
          <cell r="AC370" t="str">
            <v>0</v>
          </cell>
          <cell r="AD370" t="str">
            <v>0</v>
          </cell>
          <cell r="AE370" t="str">
            <v>0</v>
          </cell>
        </row>
        <row r="371">
          <cell r="D371" t="str">
            <v>30-Dec</v>
          </cell>
          <cell r="E371" t="str">
            <v>0</v>
          </cell>
          <cell r="F371" t="str">
            <v>0</v>
          </cell>
          <cell r="G371" t="str">
            <v>0</v>
          </cell>
          <cell r="H371" t="str">
            <v>0</v>
          </cell>
          <cell r="I371" t="str">
            <v>0</v>
          </cell>
          <cell r="J371" t="str">
            <v>0</v>
          </cell>
          <cell r="K371" t="str">
            <v>0</v>
          </cell>
          <cell r="L371" t="str">
            <v>0</v>
          </cell>
          <cell r="M371" t="str">
            <v>0</v>
          </cell>
          <cell r="N371" t="str">
            <v>0</v>
          </cell>
          <cell r="O371" t="str">
            <v>0</v>
          </cell>
          <cell r="P371" t="str">
            <v>0</v>
          </cell>
          <cell r="Q371" t="str">
            <v>0</v>
          </cell>
          <cell r="R371" t="str">
            <v>0</v>
          </cell>
          <cell r="S371" t="str">
            <v>0</v>
          </cell>
          <cell r="T371" t="str">
            <v>0</v>
          </cell>
          <cell r="U371" t="str">
            <v>0</v>
          </cell>
          <cell r="V371" t="str">
            <v>0</v>
          </cell>
          <cell r="W371" t="str">
            <v>0</v>
          </cell>
          <cell r="X371" t="str">
            <v>0</v>
          </cell>
          <cell r="Y371" t="str">
            <v>0</v>
          </cell>
          <cell r="Z371" t="str">
            <v>0</v>
          </cell>
          <cell r="AA371" t="str">
            <v>0</v>
          </cell>
          <cell r="AB371" t="str">
            <v>0</v>
          </cell>
          <cell r="AC371" t="str">
            <v>0</v>
          </cell>
          <cell r="AD371" t="str">
            <v>0</v>
          </cell>
          <cell r="AE371" t="str">
            <v>0</v>
          </cell>
        </row>
        <row r="372">
          <cell r="D372" t="str">
            <v>31-Dec</v>
          </cell>
          <cell r="E372" t="str">
            <v>0</v>
          </cell>
          <cell r="F372" t="str">
            <v>0</v>
          </cell>
          <cell r="G372" t="str">
            <v>0</v>
          </cell>
          <cell r="H372" t="str">
            <v>0</v>
          </cell>
          <cell r="I372" t="str">
            <v>0</v>
          </cell>
          <cell r="J372" t="str">
            <v>0</v>
          </cell>
          <cell r="K372" t="str">
            <v>0</v>
          </cell>
          <cell r="L372" t="str">
            <v>0</v>
          </cell>
          <cell r="M372" t="str">
            <v>0</v>
          </cell>
          <cell r="N372" t="str">
            <v>0</v>
          </cell>
          <cell r="O372" t="str">
            <v>0</v>
          </cell>
          <cell r="P372" t="str">
            <v>0</v>
          </cell>
          <cell r="Q372" t="str">
            <v>0</v>
          </cell>
          <cell r="R372" t="str">
            <v>0</v>
          </cell>
          <cell r="S372" t="str">
            <v>0</v>
          </cell>
          <cell r="T372" t="str">
            <v>0</v>
          </cell>
          <cell r="U372" t="str">
            <v>0</v>
          </cell>
          <cell r="V372" t="str">
            <v>0</v>
          </cell>
          <cell r="W372" t="str">
            <v>0</v>
          </cell>
          <cell r="X372" t="str">
            <v>0</v>
          </cell>
          <cell r="Y372" t="str">
            <v>0</v>
          </cell>
          <cell r="Z372" t="str">
            <v>0</v>
          </cell>
          <cell r="AA372" t="str">
            <v>0</v>
          </cell>
          <cell r="AB372" t="str">
            <v>0</v>
          </cell>
          <cell r="AC372" t="str">
            <v>0</v>
          </cell>
          <cell r="AD372" t="str">
            <v>0</v>
          </cell>
          <cell r="AE372" t="str">
            <v>0</v>
          </cell>
        </row>
      </sheetData>
      <sheetData sheetId="4" refreshError="1">
        <row r="1">
          <cell r="C1" t="str">
            <v>All Sellers</v>
          </cell>
        </row>
        <row r="2">
          <cell r="C2" t="str">
            <v>USD</v>
          </cell>
        </row>
        <row r="3">
          <cell r="C3" t="str">
            <v>Total JP</v>
          </cell>
        </row>
        <row r="4">
          <cell r="C4" t="str">
            <v>Product</v>
          </cell>
        </row>
        <row r="5">
          <cell r="C5" t="str">
            <v>JP DCs</v>
          </cell>
        </row>
        <row r="6">
          <cell r="C6" t="str">
            <v>FY2002</v>
          </cell>
        </row>
        <row r="7">
          <cell r="D7" t="str">
            <v>Units Shipped</v>
          </cell>
        </row>
        <row r="8">
          <cell r="C8" t="str">
            <v>01-Jan</v>
          </cell>
          <cell r="D8">
            <v>0</v>
          </cell>
        </row>
        <row r="9">
          <cell r="C9" t="str">
            <v>02-Jan</v>
          </cell>
          <cell r="D9">
            <v>6</v>
          </cell>
        </row>
        <row r="10">
          <cell r="C10" t="str">
            <v>03-Jan</v>
          </cell>
          <cell r="D10">
            <v>9571</v>
          </cell>
        </row>
        <row r="11">
          <cell r="C11" t="str">
            <v>04-Jan</v>
          </cell>
          <cell r="D11">
            <v>15796</v>
          </cell>
        </row>
        <row r="12">
          <cell r="C12" t="str">
            <v>05-Jan</v>
          </cell>
          <cell r="D12">
            <v>17814</v>
          </cell>
        </row>
        <row r="13">
          <cell r="C13" t="str">
            <v>06-Jan</v>
          </cell>
          <cell r="D13">
            <v>15784</v>
          </cell>
        </row>
        <row r="14">
          <cell r="C14" t="str">
            <v>07-Jan</v>
          </cell>
          <cell r="D14">
            <v>21904</v>
          </cell>
        </row>
        <row r="15">
          <cell r="C15" t="str">
            <v>08-Jan</v>
          </cell>
          <cell r="D15">
            <v>21749</v>
          </cell>
        </row>
        <row r="16">
          <cell r="C16" t="str">
            <v>09-Jan</v>
          </cell>
          <cell r="D16">
            <v>21080</v>
          </cell>
        </row>
        <row r="17">
          <cell r="C17" t="str">
            <v>10-Jan</v>
          </cell>
          <cell r="D17">
            <v>18336</v>
          </cell>
        </row>
        <row r="18">
          <cell r="C18" t="str">
            <v>11-Jan</v>
          </cell>
          <cell r="D18">
            <v>19539</v>
          </cell>
        </row>
        <row r="19">
          <cell r="C19" t="str">
            <v>12-Jan</v>
          </cell>
          <cell r="D19">
            <v>21351</v>
          </cell>
        </row>
        <row r="20">
          <cell r="C20" t="str">
            <v>13-Jan</v>
          </cell>
          <cell r="D20">
            <v>17535</v>
          </cell>
        </row>
        <row r="21">
          <cell r="C21" t="str">
            <v>14-Jan</v>
          </cell>
          <cell r="D21">
            <v>18218</v>
          </cell>
        </row>
        <row r="22">
          <cell r="C22" t="str">
            <v>15-Jan</v>
          </cell>
          <cell r="D22">
            <v>17961</v>
          </cell>
        </row>
        <row r="23">
          <cell r="C23" t="str">
            <v>16-Jan</v>
          </cell>
          <cell r="D23">
            <v>17229</v>
          </cell>
        </row>
        <row r="24">
          <cell r="C24" t="str">
            <v>17-Jan</v>
          </cell>
          <cell r="D24">
            <v>20925</v>
          </cell>
        </row>
        <row r="25">
          <cell r="C25" t="str">
            <v>18-Jan</v>
          </cell>
          <cell r="D25">
            <v>18534</v>
          </cell>
        </row>
        <row r="26">
          <cell r="C26" t="str">
            <v>19-Jan</v>
          </cell>
          <cell r="D26">
            <v>23157</v>
          </cell>
        </row>
        <row r="27">
          <cell r="C27" t="str">
            <v>20-Jan</v>
          </cell>
          <cell r="D27">
            <v>18092</v>
          </cell>
        </row>
        <row r="28">
          <cell r="C28" t="str">
            <v>21-Jan</v>
          </cell>
          <cell r="D28">
            <v>18361</v>
          </cell>
        </row>
        <row r="29">
          <cell r="C29" t="str">
            <v>22-Jan</v>
          </cell>
          <cell r="D29">
            <v>18897</v>
          </cell>
        </row>
        <row r="30">
          <cell r="C30" t="str">
            <v>23-Jan</v>
          </cell>
          <cell r="D30">
            <v>18462</v>
          </cell>
        </row>
        <row r="31">
          <cell r="C31" t="str">
            <v>24-Jan</v>
          </cell>
          <cell r="D31">
            <v>22327</v>
          </cell>
        </row>
        <row r="32">
          <cell r="C32" t="str">
            <v>25-Jan</v>
          </cell>
          <cell r="D32">
            <v>20162</v>
          </cell>
        </row>
        <row r="33">
          <cell r="C33" t="str">
            <v>26-Jan</v>
          </cell>
          <cell r="D33">
            <v>21628</v>
          </cell>
        </row>
        <row r="34">
          <cell r="C34" t="str">
            <v>27-Jan</v>
          </cell>
          <cell r="D34">
            <v>20920</v>
          </cell>
        </row>
        <row r="35">
          <cell r="C35" t="str">
            <v>28-Jan</v>
          </cell>
          <cell r="D35">
            <v>21329</v>
          </cell>
        </row>
        <row r="36">
          <cell r="C36" t="str">
            <v>29-Jan</v>
          </cell>
          <cell r="D36">
            <v>21328</v>
          </cell>
        </row>
        <row r="37">
          <cell r="C37" t="str">
            <v>30-Jan</v>
          </cell>
          <cell r="D37">
            <v>24999</v>
          </cell>
        </row>
        <row r="38">
          <cell r="C38" t="str">
            <v>31-Jan</v>
          </cell>
          <cell r="D38">
            <v>24500</v>
          </cell>
        </row>
        <row r="39">
          <cell r="C39" t="str">
            <v>01-Feb</v>
          </cell>
          <cell r="D39">
            <v>21039</v>
          </cell>
        </row>
        <row r="40">
          <cell r="C40" t="str">
            <v>02-Feb</v>
          </cell>
          <cell r="D40">
            <v>23404</v>
          </cell>
        </row>
        <row r="41">
          <cell r="C41" t="str">
            <v>03-Feb</v>
          </cell>
          <cell r="D41">
            <v>21772</v>
          </cell>
        </row>
        <row r="42">
          <cell r="C42" t="str">
            <v>04-Feb</v>
          </cell>
          <cell r="D42">
            <v>22815</v>
          </cell>
        </row>
        <row r="43">
          <cell r="C43" t="str">
            <v>05-Feb</v>
          </cell>
          <cell r="D43">
            <v>20456</v>
          </cell>
        </row>
        <row r="44">
          <cell r="C44" t="str">
            <v>06-Feb</v>
          </cell>
          <cell r="D44">
            <v>23244</v>
          </cell>
        </row>
        <row r="45">
          <cell r="C45" t="str">
            <v>07-Feb</v>
          </cell>
          <cell r="D45">
            <v>22253</v>
          </cell>
        </row>
        <row r="46">
          <cell r="C46" t="str">
            <v>08-Feb</v>
          </cell>
          <cell r="D46">
            <v>22966</v>
          </cell>
        </row>
        <row r="47">
          <cell r="C47" t="str">
            <v>09-Feb</v>
          </cell>
          <cell r="D47">
            <v>20489</v>
          </cell>
        </row>
        <row r="48">
          <cell r="C48" t="str">
            <v>10-Feb</v>
          </cell>
          <cell r="D48">
            <v>19704</v>
          </cell>
        </row>
        <row r="49">
          <cell r="C49" t="str">
            <v>11-Feb</v>
          </cell>
          <cell r="D49">
            <v>22276</v>
          </cell>
        </row>
        <row r="50">
          <cell r="C50" t="str">
            <v>12-Feb</v>
          </cell>
          <cell r="D50" t="str">
            <v>0</v>
          </cell>
        </row>
        <row r="51">
          <cell r="C51" t="str">
            <v>13-Feb</v>
          </cell>
          <cell r="D51" t="str">
            <v>0</v>
          </cell>
        </row>
        <row r="52">
          <cell r="C52" t="str">
            <v>14-Feb</v>
          </cell>
          <cell r="D52" t="str">
            <v>0</v>
          </cell>
        </row>
        <row r="53">
          <cell r="C53" t="str">
            <v>15-Feb</v>
          </cell>
          <cell r="D53" t="str">
            <v>0</v>
          </cell>
        </row>
        <row r="54">
          <cell r="C54" t="str">
            <v>16-Feb</v>
          </cell>
          <cell r="D54" t="str">
            <v>0</v>
          </cell>
        </row>
        <row r="55">
          <cell r="C55" t="str">
            <v>17-Feb</v>
          </cell>
          <cell r="D55" t="str">
            <v>0</v>
          </cell>
        </row>
        <row r="56">
          <cell r="C56" t="str">
            <v>18-Feb</v>
          </cell>
          <cell r="D56" t="str">
            <v>0</v>
          </cell>
        </row>
        <row r="57">
          <cell r="C57" t="str">
            <v>19-Feb</v>
          </cell>
          <cell r="D57" t="str">
            <v>0</v>
          </cell>
        </row>
        <row r="58">
          <cell r="C58" t="str">
            <v>20-Feb</v>
          </cell>
          <cell r="D58" t="str">
            <v>0</v>
          </cell>
        </row>
        <row r="59">
          <cell r="C59" t="str">
            <v>21-Feb</v>
          </cell>
          <cell r="D59" t="str">
            <v>0</v>
          </cell>
        </row>
        <row r="60">
          <cell r="C60" t="str">
            <v>22-Feb</v>
          </cell>
          <cell r="D60" t="str">
            <v>0</v>
          </cell>
        </row>
        <row r="61">
          <cell r="C61" t="str">
            <v>23-Feb</v>
          </cell>
          <cell r="D61" t="str">
            <v>0</v>
          </cell>
        </row>
        <row r="62">
          <cell r="C62" t="str">
            <v>24-Feb</v>
          </cell>
          <cell r="D62" t="str">
            <v>0</v>
          </cell>
        </row>
        <row r="63">
          <cell r="C63" t="str">
            <v>25-Feb</v>
          </cell>
          <cell r="D63" t="str">
            <v>0</v>
          </cell>
        </row>
        <row r="64">
          <cell r="C64" t="str">
            <v>26-Feb</v>
          </cell>
          <cell r="D64" t="str">
            <v>0</v>
          </cell>
        </row>
        <row r="65">
          <cell r="C65" t="str">
            <v>27-Feb</v>
          </cell>
          <cell r="D65" t="str">
            <v>0</v>
          </cell>
        </row>
        <row r="66">
          <cell r="C66" t="str">
            <v>28-Feb</v>
          </cell>
          <cell r="D66" t="str">
            <v>0</v>
          </cell>
        </row>
        <row r="67">
          <cell r="C67" t="str">
            <v>01-Mar</v>
          </cell>
          <cell r="D67" t="str">
            <v>0</v>
          </cell>
        </row>
        <row r="68">
          <cell r="C68" t="str">
            <v>02-Mar</v>
          </cell>
          <cell r="D68" t="str">
            <v>0</v>
          </cell>
        </row>
        <row r="69">
          <cell r="C69" t="str">
            <v>03-Mar</v>
          </cell>
          <cell r="D69" t="str">
            <v>0</v>
          </cell>
        </row>
        <row r="70">
          <cell r="C70" t="str">
            <v>04-Mar</v>
          </cell>
          <cell r="D70" t="str">
            <v>0</v>
          </cell>
        </row>
        <row r="71">
          <cell r="C71" t="str">
            <v>05-Mar</v>
          </cell>
          <cell r="D71" t="str">
            <v>0</v>
          </cell>
        </row>
        <row r="72">
          <cell r="C72" t="str">
            <v>06-Mar</v>
          </cell>
          <cell r="D72" t="str">
            <v>0</v>
          </cell>
        </row>
        <row r="73">
          <cell r="C73" t="str">
            <v>07-Mar</v>
          </cell>
          <cell r="D73" t="str">
            <v>0</v>
          </cell>
        </row>
        <row r="74">
          <cell r="C74" t="str">
            <v>08-Mar</v>
          </cell>
          <cell r="D74" t="str">
            <v>0</v>
          </cell>
        </row>
        <row r="75">
          <cell r="C75" t="str">
            <v>09-Mar</v>
          </cell>
          <cell r="D75" t="str">
            <v>0</v>
          </cell>
        </row>
        <row r="76">
          <cell r="C76" t="str">
            <v>10-Mar</v>
          </cell>
          <cell r="D76" t="str">
            <v>0</v>
          </cell>
        </row>
        <row r="77">
          <cell r="C77" t="str">
            <v>11-Mar</v>
          </cell>
          <cell r="D77" t="str">
            <v>0</v>
          </cell>
        </row>
        <row r="78">
          <cell r="C78" t="str">
            <v>12-Mar</v>
          </cell>
          <cell r="D78" t="str">
            <v>0</v>
          </cell>
        </row>
        <row r="79">
          <cell r="C79" t="str">
            <v>13-Mar</v>
          </cell>
          <cell r="D79" t="str">
            <v>0</v>
          </cell>
        </row>
        <row r="80">
          <cell r="C80" t="str">
            <v>14-Mar</v>
          </cell>
          <cell r="D80" t="str">
            <v>0</v>
          </cell>
        </row>
        <row r="81">
          <cell r="C81" t="str">
            <v>15-Mar</v>
          </cell>
          <cell r="D81" t="str">
            <v>0</v>
          </cell>
        </row>
        <row r="82">
          <cell r="C82" t="str">
            <v>16-Mar</v>
          </cell>
          <cell r="D82" t="str">
            <v>0</v>
          </cell>
        </row>
        <row r="83">
          <cell r="C83" t="str">
            <v>17-Mar</v>
          </cell>
          <cell r="D83" t="str">
            <v>0</v>
          </cell>
        </row>
        <row r="84">
          <cell r="C84" t="str">
            <v>18-Mar</v>
          </cell>
          <cell r="D84" t="str">
            <v>0</v>
          </cell>
        </row>
        <row r="85">
          <cell r="C85" t="str">
            <v>19-Mar</v>
          </cell>
          <cell r="D85" t="str">
            <v>0</v>
          </cell>
        </row>
        <row r="86">
          <cell r="C86" t="str">
            <v>20-Mar</v>
          </cell>
          <cell r="D86" t="str">
            <v>0</v>
          </cell>
        </row>
        <row r="87">
          <cell r="C87" t="str">
            <v>21-Mar</v>
          </cell>
          <cell r="D87" t="str">
            <v>0</v>
          </cell>
        </row>
        <row r="88">
          <cell r="C88" t="str">
            <v>22-Mar</v>
          </cell>
          <cell r="D88" t="str">
            <v>0</v>
          </cell>
        </row>
        <row r="89">
          <cell r="C89" t="str">
            <v>23-Mar</v>
          </cell>
          <cell r="D89" t="str">
            <v>0</v>
          </cell>
        </row>
        <row r="90">
          <cell r="C90" t="str">
            <v>24-Mar</v>
          </cell>
          <cell r="D90" t="str">
            <v>0</v>
          </cell>
        </row>
        <row r="91">
          <cell r="C91" t="str">
            <v>25-Mar</v>
          </cell>
          <cell r="D91" t="str">
            <v>0</v>
          </cell>
        </row>
        <row r="92">
          <cell r="C92" t="str">
            <v>26-Mar</v>
          </cell>
          <cell r="D92" t="str">
            <v>0</v>
          </cell>
        </row>
        <row r="93">
          <cell r="C93" t="str">
            <v>27-Mar</v>
          </cell>
          <cell r="D93" t="str">
            <v>0</v>
          </cell>
        </row>
        <row r="94">
          <cell r="C94" t="str">
            <v>28-Mar</v>
          </cell>
          <cell r="D94" t="str">
            <v>0</v>
          </cell>
        </row>
        <row r="95">
          <cell r="C95" t="str">
            <v>29-Mar</v>
          </cell>
          <cell r="D95" t="str">
            <v>0</v>
          </cell>
        </row>
        <row r="96">
          <cell r="C96" t="str">
            <v>30-Mar</v>
          </cell>
          <cell r="D96" t="str">
            <v>0</v>
          </cell>
        </row>
        <row r="97">
          <cell r="C97" t="str">
            <v>31-Mar</v>
          </cell>
          <cell r="D97" t="str">
            <v>0</v>
          </cell>
        </row>
        <row r="98">
          <cell r="C98" t="str">
            <v>01-Apr</v>
          </cell>
          <cell r="D98" t="str">
            <v>0</v>
          </cell>
        </row>
        <row r="99">
          <cell r="C99" t="str">
            <v>02-Apr</v>
          </cell>
          <cell r="D99" t="str">
            <v>0</v>
          </cell>
        </row>
        <row r="100">
          <cell r="C100" t="str">
            <v>03-Apr</v>
          </cell>
          <cell r="D100" t="str">
            <v>0</v>
          </cell>
        </row>
        <row r="101">
          <cell r="C101" t="str">
            <v>04-Apr</v>
          </cell>
          <cell r="D101" t="str">
            <v>0</v>
          </cell>
        </row>
        <row r="102">
          <cell r="C102" t="str">
            <v>05-Apr</v>
          </cell>
          <cell r="D102" t="str">
            <v>0</v>
          </cell>
        </row>
        <row r="103">
          <cell r="C103" t="str">
            <v>06-Apr</v>
          </cell>
          <cell r="D103" t="str">
            <v>0</v>
          </cell>
        </row>
        <row r="104">
          <cell r="C104" t="str">
            <v>07-Apr</v>
          </cell>
          <cell r="D104" t="str">
            <v>0</v>
          </cell>
        </row>
        <row r="105">
          <cell r="C105" t="str">
            <v>08-Apr</v>
          </cell>
          <cell r="D105" t="str">
            <v>0</v>
          </cell>
        </row>
        <row r="106">
          <cell r="C106" t="str">
            <v>09-Apr</v>
          </cell>
          <cell r="D106" t="str">
            <v>0</v>
          </cell>
        </row>
        <row r="107">
          <cell r="C107" t="str">
            <v>10-Apr</v>
          </cell>
          <cell r="D107" t="str">
            <v>0</v>
          </cell>
        </row>
        <row r="108">
          <cell r="C108" t="str">
            <v>11-Apr</v>
          </cell>
          <cell r="D108" t="str">
            <v>0</v>
          </cell>
        </row>
        <row r="109">
          <cell r="C109" t="str">
            <v>12-Apr</v>
          </cell>
          <cell r="D109" t="str">
            <v>0</v>
          </cell>
        </row>
        <row r="110">
          <cell r="C110" t="str">
            <v>13-Apr</v>
          </cell>
          <cell r="D110" t="str">
            <v>0</v>
          </cell>
        </row>
        <row r="111">
          <cell r="C111" t="str">
            <v>14-Apr</v>
          </cell>
          <cell r="D111" t="str">
            <v>0</v>
          </cell>
        </row>
        <row r="112">
          <cell r="C112" t="str">
            <v>15-Apr</v>
          </cell>
          <cell r="D112" t="str">
            <v>0</v>
          </cell>
        </row>
        <row r="113">
          <cell r="C113" t="str">
            <v>16-Apr</v>
          </cell>
          <cell r="D113" t="str">
            <v>0</v>
          </cell>
        </row>
        <row r="114">
          <cell r="C114" t="str">
            <v>17-Apr</v>
          </cell>
          <cell r="D114" t="str">
            <v>0</v>
          </cell>
        </row>
        <row r="115">
          <cell r="C115" t="str">
            <v>18-Apr</v>
          </cell>
          <cell r="D115" t="str">
            <v>0</v>
          </cell>
        </row>
        <row r="116">
          <cell r="C116" t="str">
            <v>19-Apr</v>
          </cell>
          <cell r="D116" t="str">
            <v>0</v>
          </cell>
        </row>
        <row r="117">
          <cell r="C117" t="str">
            <v>20-Apr</v>
          </cell>
          <cell r="D117" t="str">
            <v>0</v>
          </cell>
        </row>
        <row r="118">
          <cell r="C118" t="str">
            <v>21-Apr</v>
          </cell>
          <cell r="D118" t="str">
            <v>0</v>
          </cell>
        </row>
        <row r="119">
          <cell r="C119" t="str">
            <v>22-Apr</v>
          </cell>
          <cell r="D119" t="str">
            <v>0</v>
          </cell>
        </row>
        <row r="120">
          <cell r="C120" t="str">
            <v>23-Apr</v>
          </cell>
          <cell r="D120" t="str">
            <v>0</v>
          </cell>
        </row>
        <row r="121">
          <cell r="C121" t="str">
            <v>24-Apr</v>
          </cell>
          <cell r="D121" t="str">
            <v>0</v>
          </cell>
        </row>
        <row r="122">
          <cell r="C122" t="str">
            <v>25-Apr</v>
          </cell>
          <cell r="D122" t="str">
            <v>0</v>
          </cell>
        </row>
        <row r="123">
          <cell r="C123" t="str">
            <v>26-Apr</v>
          </cell>
          <cell r="D123" t="str">
            <v>0</v>
          </cell>
        </row>
        <row r="124">
          <cell r="C124" t="str">
            <v>27-Apr</v>
          </cell>
          <cell r="D124" t="str">
            <v>0</v>
          </cell>
        </row>
        <row r="125">
          <cell r="C125" t="str">
            <v>28-Apr</v>
          </cell>
          <cell r="D125" t="str">
            <v>0</v>
          </cell>
        </row>
        <row r="126">
          <cell r="C126" t="str">
            <v>29-Apr</v>
          </cell>
          <cell r="D126" t="str">
            <v>0</v>
          </cell>
        </row>
        <row r="127">
          <cell r="C127" t="str">
            <v>30-Apr</v>
          </cell>
          <cell r="D127" t="str">
            <v>0</v>
          </cell>
        </row>
        <row r="128">
          <cell r="C128" t="str">
            <v>01-May</v>
          </cell>
          <cell r="D128" t="str">
            <v>0</v>
          </cell>
        </row>
        <row r="129">
          <cell r="C129" t="str">
            <v>02-May</v>
          </cell>
          <cell r="D129" t="str">
            <v>0</v>
          </cell>
        </row>
        <row r="130">
          <cell r="C130" t="str">
            <v>03-May</v>
          </cell>
          <cell r="D130" t="str">
            <v>0</v>
          </cell>
        </row>
        <row r="131">
          <cell r="C131" t="str">
            <v>04-May</v>
          </cell>
          <cell r="D131" t="str">
            <v>0</v>
          </cell>
        </row>
        <row r="132">
          <cell r="C132" t="str">
            <v>05-May</v>
          </cell>
          <cell r="D132" t="str">
            <v>0</v>
          </cell>
        </row>
        <row r="133">
          <cell r="C133" t="str">
            <v>06-May</v>
          </cell>
          <cell r="D133" t="str">
            <v>0</v>
          </cell>
        </row>
        <row r="134">
          <cell r="C134" t="str">
            <v>07-May</v>
          </cell>
          <cell r="D134" t="str">
            <v>0</v>
          </cell>
        </row>
        <row r="135">
          <cell r="C135" t="str">
            <v>08-May</v>
          </cell>
          <cell r="D135" t="str">
            <v>0</v>
          </cell>
        </row>
        <row r="136">
          <cell r="C136" t="str">
            <v>09-May</v>
          </cell>
          <cell r="D136" t="str">
            <v>0</v>
          </cell>
        </row>
        <row r="137">
          <cell r="C137" t="str">
            <v>10-May</v>
          </cell>
          <cell r="D137" t="str">
            <v>0</v>
          </cell>
        </row>
        <row r="138">
          <cell r="C138" t="str">
            <v>11-May</v>
          </cell>
          <cell r="D138" t="str">
            <v>0</v>
          </cell>
        </row>
        <row r="139">
          <cell r="C139" t="str">
            <v>12-May</v>
          </cell>
          <cell r="D139" t="str">
            <v>0</v>
          </cell>
        </row>
        <row r="140">
          <cell r="C140" t="str">
            <v>13-May</v>
          </cell>
          <cell r="D140" t="str">
            <v>0</v>
          </cell>
        </row>
        <row r="141">
          <cell r="C141" t="str">
            <v>14-May</v>
          </cell>
          <cell r="D141" t="str">
            <v>0</v>
          </cell>
        </row>
        <row r="142">
          <cell r="C142" t="str">
            <v>15-May</v>
          </cell>
          <cell r="D142" t="str">
            <v>0</v>
          </cell>
        </row>
        <row r="143">
          <cell r="C143" t="str">
            <v>16-May</v>
          </cell>
          <cell r="D143" t="str">
            <v>0</v>
          </cell>
        </row>
        <row r="144">
          <cell r="C144" t="str">
            <v>17-May</v>
          </cell>
          <cell r="D144" t="str">
            <v>0</v>
          </cell>
        </row>
        <row r="145">
          <cell r="C145" t="str">
            <v>18-May</v>
          </cell>
          <cell r="D145" t="str">
            <v>0</v>
          </cell>
        </row>
        <row r="146">
          <cell r="C146" t="str">
            <v>19-May</v>
          </cell>
          <cell r="D146" t="str">
            <v>0</v>
          </cell>
        </row>
        <row r="147">
          <cell r="C147" t="str">
            <v>20-May</v>
          </cell>
          <cell r="D147" t="str">
            <v>0</v>
          </cell>
        </row>
        <row r="148">
          <cell r="C148" t="str">
            <v>21-May</v>
          </cell>
          <cell r="D148" t="str">
            <v>0</v>
          </cell>
        </row>
        <row r="149">
          <cell r="C149" t="str">
            <v>22-May</v>
          </cell>
          <cell r="D149" t="str">
            <v>0</v>
          </cell>
        </row>
        <row r="150">
          <cell r="C150" t="str">
            <v>23-May</v>
          </cell>
          <cell r="D150" t="str">
            <v>0</v>
          </cell>
        </row>
        <row r="151">
          <cell r="C151" t="str">
            <v>24-May</v>
          </cell>
          <cell r="D151" t="str">
            <v>0</v>
          </cell>
        </row>
        <row r="152">
          <cell r="C152" t="str">
            <v>25-May</v>
          </cell>
          <cell r="D152" t="str">
            <v>0</v>
          </cell>
        </row>
        <row r="153">
          <cell r="C153" t="str">
            <v>26-May</v>
          </cell>
          <cell r="D153" t="str">
            <v>0</v>
          </cell>
        </row>
        <row r="154">
          <cell r="C154" t="str">
            <v>27-May</v>
          </cell>
          <cell r="D154" t="str">
            <v>0</v>
          </cell>
        </row>
        <row r="155">
          <cell r="C155" t="str">
            <v>28-May</v>
          </cell>
          <cell r="D155" t="str">
            <v>0</v>
          </cell>
        </row>
        <row r="156">
          <cell r="C156" t="str">
            <v>29-May</v>
          </cell>
          <cell r="D156" t="str">
            <v>0</v>
          </cell>
        </row>
        <row r="157">
          <cell r="C157" t="str">
            <v>30-May</v>
          </cell>
          <cell r="D157" t="str">
            <v>0</v>
          </cell>
        </row>
        <row r="158">
          <cell r="C158" t="str">
            <v>31-May</v>
          </cell>
          <cell r="D158" t="str">
            <v>0</v>
          </cell>
        </row>
        <row r="159">
          <cell r="C159" t="str">
            <v>01-Jun</v>
          </cell>
          <cell r="D159" t="str">
            <v>0</v>
          </cell>
        </row>
        <row r="160">
          <cell r="C160" t="str">
            <v>02-Jun</v>
          </cell>
          <cell r="D160" t="str">
            <v>0</v>
          </cell>
        </row>
        <row r="161">
          <cell r="C161" t="str">
            <v>03-Jun</v>
          </cell>
          <cell r="D161" t="str">
            <v>0</v>
          </cell>
        </row>
        <row r="162">
          <cell r="C162" t="str">
            <v>04-Jun</v>
          </cell>
          <cell r="D162" t="str">
            <v>0</v>
          </cell>
        </row>
        <row r="163">
          <cell r="C163" t="str">
            <v>05-Jun</v>
          </cell>
          <cell r="D163" t="str">
            <v>0</v>
          </cell>
        </row>
        <row r="164">
          <cell r="C164" t="str">
            <v>06-Jun</v>
          </cell>
          <cell r="D164" t="str">
            <v>0</v>
          </cell>
        </row>
        <row r="165">
          <cell r="C165" t="str">
            <v>07-Jun</v>
          </cell>
          <cell r="D165" t="str">
            <v>0</v>
          </cell>
        </row>
        <row r="166">
          <cell r="C166" t="str">
            <v>08-Jun</v>
          </cell>
          <cell r="D166" t="str">
            <v>0</v>
          </cell>
        </row>
        <row r="167">
          <cell r="C167" t="str">
            <v>09-Jun</v>
          </cell>
          <cell r="D167" t="str">
            <v>0</v>
          </cell>
        </row>
        <row r="168">
          <cell r="C168" t="str">
            <v>10-Jun</v>
          </cell>
          <cell r="D168" t="str">
            <v>0</v>
          </cell>
        </row>
        <row r="169">
          <cell r="C169" t="str">
            <v>11-Jun</v>
          </cell>
          <cell r="D169" t="str">
            <v>0</v>
          </cell>
        </row>
        <row r="170">
          <cell r="C170" t="str">
            <v>12-Jun</v>
          </cell>
          <cell r="D170" t="str">
            <v>0</v>
          </cell>
        </row>
        <row r="171">
          <cell r="C171" t="str">
            <v>13-Jun</v>
          </cell>
          <cell r="D171" t="str">
            <v>0</v>
          </cell>
        </row>
        <row r="172">
          <cell r="C172" t="str">
            <v>14-Jun</v>
          </cell>
          <cell r="D172" t="str">
            <v>0</v>
          </cell>
        </row>
        <row r="173">
          <cell r="C173" t="str">
            <v>15-Jun</v>
          </cell>
          <cell r="D173" t="str">
            <v>0</v>
          </cell>
        </row>
        <row r="174">
          <cell r="C174" t="str">
            <v>16-Jun</v>
          </cell>
          <cell r="D174" t="str">
            <v>0</v>
          </cell>
        </row>
        <row r="175">
          <cell r="C175" t="str">
            <v>17-Jun</v>
          </cell>
          <cell r="D175" t="str">
            <v>0</v>
          </cell>
        </row>
        <row r="176">
          <cell r="C176" t="str">
            <v>18-Jun</v>
          </cell>
          <cell r="D176" t="str">
            <v>0</v>
          </cell>
        </row>
        <row r="177">
          <cell r="C177" t="str">
            <v>19-Jun</v>
          </cell>
          <cell r="D177" t="str">
            <v>0</v>
          </cell>
        </row>
        <row r="178">
          <cell r="C178" t="str">
            <v>20-Jun</v>
          </cell>
          <cell r="D178" t="str">
            <v>0</v>
          </cell>
        </row>
        <row r="179">
          <cell r="C179" t="str">
            <v>21-Jun</v>
          </cell>
          <cell r="D179" t="str">
            <v>0</v>
          </cell>
        </row>
        <row r="180">
          <cell r="C180" t="str">
            <v>22-Jun</v>
          </cell>
          <cell r="D180" t="str">
            <v>0</v>
          </cell>
        </row>
        <row r="181">
          <cell r="C181" t="str">
            <v>23-Jun</v>
          </cell>
          <cell r="D181" t="str">
            <v>0</v>
          </cell>
        </row>
        <row r="182">
          <cell r="C182" t="str">
            <v>24-Jun</v>
          </cell>
          <cell r="D182" t="str">
            <v>0</v>
          </cell>
        </row>
        <row r="183">
          <cell r="C183" t="str">
            <v>25-Jun</v>
          </cell>
          <cell r="D183" t="str">
            <v>0</v>
          </cell>
        </row>
        <row r="184">
          <cell r="C184" t="str">
            <v>26-Jun</v>
          </cell>
          <cell r="D184" t="str">
            <v>0</v>
          </cell>
        </row>
        <row r="185">
          <cell r="C185" t="str">
            <v>27-Jun</v>
          </cell>
          <cell r="D185" t="str">
            <v>0</v>
          </cell>
        </row>
        <row r="186">
          <cell r="C186" t="str">
            <v>28-Jun</v>
          </cell>
          <cell r="D186" t="str">
            <v>0</v>
          </cell>
        </row>
        <row r="187">
          <cell r="C187" t="str">
            <v>29-Jun</v>
          </cell>
          <cell r="D187" t="str">
            <v>0</v>
          </cell>
        </row>
        <row r="188">
          <cell r="C188" t="str">
            <v>30-Jun</v>
          </cell>
          <cell r="D188" t="str">
            <v>0</v>
          </cell>
        </row>
        <row r="189">
          <cell r="C189" t="str">
            <v>01-Jul</v>
          </cell>
          <cell r="D189" t="str">
            <v>0</v>
          </cell>
        </row>
        <row r="190">
          <cell r="C190" t="str">
            <v>02-Jul</v>
          </cell>
          <cell r="D190" t="str">
            <v>0</v>
          </cell>
        </row>
        <row r="191">
          <cell r="C191" t="str">
            <v>03-Jul</v>
          </cell>
          <cell r="D191" t="str">
            <v>0</v>
          </cell>
        </row>
        <row r="192">
          <cell r="C192" t="str">
            <v>04-Jul</v>
          </cell>
          <cell r="D192" t="str">
            <v>0</v>
          </cell>
        </row>
        <row r="193">
          <cell r="C193" t="str">
            <v>05-Jul</v>
          </cell>
          <cell r="D193" t="str">
            <v>0</v>
          </cell>
        </row>
        <row r="194">
          <cell r="C194" t="str">
            <v>06-Jul</v>
          </cell>
          <cell r="D194" t="str">
            <v>0</v>
          </cell>
        </row>
        <row r="195">
          <cell r="C195" t="str">
            <v>07-Jul</v>
          </cell>
          <cell r="D195" t="str">
            <v>0</v>
          </cell>
        </row>
        <row r="196">
          <cell r="C196" t="str">
            <v>08-Jul</v>
          </cell>
          <cell r="D196" t="str">
            <v>0</v>
          </cell>
        </row>
        <row r="197">
          <cell r="C197" t="str">
            <v>09-Jul</v>
          </cell>
          <cell r="D197" t="str">
            <v>0</v>
          </cell>
        </row>
        <row r="198">
          <cell r="C198" t="str">
            <v>10-Jul</v>
          </cell>
          <cell r="D198" t="str">
            <v>0</v>
          </cell>
        </row>
        <row r="199">
          <cell r="C199" t="str">
            <v>11-Jul</v>
          </cell>
          <cell r="D199" t="str">
            <v>0</v>
          </cell>
        </row>
        <row r="200">
          <cell r="C200" t="str">
            <v>12-Jul</v>
          </cell>
          <cell r="D200" t="str">
            <v>0</v>
          </cell>
        </row>
        <row r="201">
          <cell r="C201" t="str">
            <v>13-Jul</v>
          </cell>
          <cell r="D201" t="str">
            <v>0</v>
          </cell>
        </row>
        <row r="202">
          <cell r="C202" t="str">
            <v>14-Jul</v>
          </cell>
          <cell r="D202" t="str">
            <v>0</v>
          </cell>
        </row>
        <row r="203">
          <cell r="C203" t="str">
            <v>15-Jul</v>
          </cell>
          <cell r="D203" t="str">
            <v>0</v>
          </cell>
        </row>
        <row r="204">
          <cell r="C204" t="str">
            <v>16-Jul</v>
          </cell>
          <cell r="D204" t="str">
            <v>0</v>
          </cell>
        </row>
        <row r="205">
          <cell r="C205" t="str">
            <v>17-Jul</v>
          </cell>
          <cell r="D205" t="str">
            <v>0</v>
          </cell>
        </row>
        <row r="206">
          <cell r="C206" t="str">
            <v>18-Jul</v>
          </cell>
          <cell r="D206" t="str">
            <v>0</v>
          </cell>
        </row>
        <row r="207">
          <cell r="C207" t="str">
            <v>19-Jul</v>
          </cell>
          <cell r="D207" t="str">
            <v>0</v>
          </cell>
        </row>
        <row r="208">
          <cell r="C208" t="str">
            <v>20-Jul</v>
          </cell>
          <cell r="D208" t="str">
            <v>0</v>
          </cell>
        </row>
        <row r="209">
          <cell r="C209" t="str">
            <v>21-Jul</v>
          </cell>
          <cell r="D209" t="str">
            <v>0</v>
          </cell>
        </row>
        <row r="210">
          <cell r="C210" t="str">
            <v>22-Jul</v>
          </cell>
          <cell r="D210" t="str">
            <v>0</v>
          </cell>
        </row>
        <row r="211">
          <cell r="C211" t="str">
            <v>23-Jul</v>
          </cell>
          <cell r="D211" t="str">
            <v>0</v>
          </cell>
        </row>
        <row r="212">
          <cell r="C212" t="str">
            <v>24-Jul</v>
          </cell>
          <cell r="D212" t="str">
            <v>0</v>
          </cell>
        </row>
        <row r="213">
          <cell r="C213" t="str">
            <v>25-Jul</v>
          </cell>
          <cell r="D213" t="str">
            <v>0</v>
          </cell>
        </row>
        <row r="214">
          <cell r="C214" t="str">
            <v>26-Jul</v>
          </cell>
          <cell r="D214" t="str">
            <v>0</v>
          </cell>
        </row>
        <row r="215">
          <cell r="C215" t="str">
            <v>27-Jul</v>
          </cell>
          <cell r="D215" t="str">
            <v>0</v>
          </cell>
        </row>
        <row r="216">
          <cell r="C216" t="str">
            <v>28-Jul</v>
          </cell>
          <cell r="D216" t="str">
            <v>0</v>
          </cell>
        </row>
        <row r="217">
          <cell r="C217" t="str">
            <v>29-Jul</v>
          </cell>
          <cell r="D217" t="str">
            <v>0</v>
          </cell>
        </row>
        <row r="218">
          <cell r="C218" t="str">
            <v>30-Jul</v>
          </cell>
          <cell r="D218" t="str">
            <v>0</v>
          </cell>
        </row>
        <row r="219">
          <cell r="C219" t="str">
            <v>31-Jul</v>
          </cell>
          <cell r="D219" t="str">
            <v>0</v>
          </cell>
        </row>
        <row r="220">
          <cell r="C220" t="str">
            <v>01-Aug</v>
          </cell>
          <cell r="D220" t="str">
            <v>0</v>
          </cell>
        </row>
        <row r="221">
          <cell r="C221" t="str">
            <v>02-Aug</v>
          </cell>
          <cell r="D221" t="str">
            <v>0</v>
          </cell>
        </row>
        <row r="222">
          <cell r="C222" t="str">
            <v>03-Aug</v>
          </cell>
          <cell r="D222" t="str">
            <v>0</v>
          </cell>
        </row>
        <row r="223">
          <cell r="C223" t="str">
            <v>04-Aug</v>
          </cell>
          <cell r="D223" t="str">
            <v>0</v>
          </cell>
        </row>
        <row r="224">
          <cell r="C224" t="str">
            <v>05-Aug</v>
          </cell>
          <cell r="D224" t="str">
            <v>0</v>
          </cell>
        </row>
        <row r="225">
          <cell r="C225" t="str">
            <v>06-Aug</v>
          </cell>
          <cell r="D225" t="str">
            <v>0</v>
          </cell>
        </row>
        <row r="226">
          <cell r="C226" t="str">
            <v>07-Aug</v>
          </cell>
          <cell r="D226" t="str">
            <v>0</v>
          </cell>
        </row>
        <row r="227">
          <cell r="C227" t="str">
            <v>08-Aug</v>
          </cell>
          <cell r="D227" t="str">
            <v>0</v>
          </cell>
        </row>
        <row r="228">
          <cell r="C228" t="str">
            <v>09-Aug</v>
          </cell>
          <cell r="D228" t="str">
            <v>0</v>
          </cell>
        </row>
        <row r="229">
          <cell r="C229" t="str">
            <v>10-Aug</v>
          </cell>
          <cell r="D229" t="str">
            <v>0</v>
          </cell>
        </row>
        <row r="230">
          <cell r="C230" t="str">
            <v>11-Aug</v>
          </cell>
          <cell r="D230" t="str">
            <v>0</v>
          </cell>
        </row>
        <row r="231">
          <cell r="C231" t="str">
            <v>12-Aug</v>
          </cell>
          <cell r="D231" t="str">
            <v>0</v>
          </cell>
        </row>
        <row r="232">
          <cell r="C232" t="str">
            <v>13-Aug</v>
          </cell>
          <cell r="D232" t="str">
            <v>0</v>
          </cell>
        </row>
        <row r="233">
          <cell r="C233" t="str">
            <v>14-Aug</v>
          </cell>
          <cell r="D233" t="str">
            <v>0</v>
          </cell>
        </row>
        <row r="234">
          <cell r="C234" t="str">
            <v>15-Aug</v>
          </cell>
          <cell r="D234" t="str">
            <v>0</v>
          </cell>
        </row>
        <row r="235">
          <cell r="C235" t="str">
            <v>16-Aug</v>
          </cell>
          <cell r="D235" t="str">
            <v>0</v>
          </cell>
        </row>
        <row r="236">
          <cell r="C236" t="str">
            <v>17-Aug</v>
          </cell>
          <cell r="D236" t="str">
            <v>0</v>
          </cell>
        </row>
        <row r="237">
          <cell r="C237" t="str">
            <v>18-Aug</v>
          </cell>
          <cell r="D237" t="str">
            <v>0</v>
          </cell>
        </row>
        <row r="238">
          <cell r="C238" t="str">
            <v>19-Aug</v>
          </cell>
          <cell r="D238" t="str">
            <v>0</v>
          </cell>
        </row>
        <row r="239">
          <cell r="C239" t="str">
            <v>20-Aug</v>
          </cell>
          <cell r="D239" t="str">
            <v>0</v>
          </cell>
        </row>
        <row r="240">
          <cell r="C240" t="str">
            <v>21-Aug</v>
          </cell>
          <cell r="D240" t="str">
            <v>0</v>
          </cell>
        </row>
        <row r="241">
          <cell r="C241" t="str">
            <v>22-Aug</v>
          </cell>
          <cell r="D241" t="str">
            <v>0</v>
          </cell>
        </row>
        <row r="242">
          <cell r="C242" t="str">
            <v>23-Aug</v>
          </cell>
          <cell r="D242" t="str">
            <v>0</v>
          </cell>
        </row>
        <row r="243">
          <cell r="C243" t="str">
            <v>24-Aug</v>
          </cell>
          <cell r="D243" t="str">
            <v>0</v>
          </cell>
        </row>
        <row r="244">
          <cell r="C244" t="str">
            <v>25-Aug</v>
          </cell>
          <cell r="D244" t="str">
            <v>0</v>
          </cell>
        </row>
        <row r="245">
          <cell r="C245" t="str">
            <v>26-Aug</v>
          </cell>
          <cell r="D245" t="str">
            <v>0</v>
          </cell>
        </row>
        <row r="246">
          <cell r="C246" t="str">
            <v>27-Aug</v>
          </cell>
          <cell r="D246" t="str">
            <v>0</v>
          </cell>
        </row>
        <row r="247">
          <cell r="C247" t="str">
            <v>28-Aug</v>
          </cell>
          <cell r="D247" t="str">
            <v>0</v>
          </cell>
        </row>
        <row r="248">
          <cell r="C248" t="str">
            <v>29-Aug</v>
          </cell>
          <cell r="D248" t="str">
            <v>0</v>
          </cell>
        </row>
        <row r="249">
          <cell r="C249" t="str">
            <v>30-Aug</v>
          </cell>
          <cell r="D249" t="str">
            <v>0</v>
          </cell>
        </row>
        <row r="250">
          <cell r="C250" t="str">
            <v>31-Aug</v>
          </cell>
          <cell r="D250" t="str">
            <v>0</v>
          </cell>
        </row>
        <row r="251">
          <cell r="C251" t="str">
            <v>01-Sep</v>
          </cell>
          <cell r="D251" t="str">
            <v>0</v>
          </cell>
        </row>
        <row r="252">
          <cell r="C252" t="str">
            <v>02-Sep</v>
          </cell>
          <cell r="D252" t="str">
            <v>0</v>
          </cell>
        </row>
        <row r="253">
          <cell r="C253" t="str">
            <v>03-Sep</v>
          </cell>
          <cell r="D253" t="str">
            <v>0</v>
          </cell>
        </row>
        <row r="254">
          <cell r="C254" t="str">
            <v>04-Sep</v>
          </cell>
          <cell r="D254" t="str">
            <v>0</v>
          </cell>
        </row>
        <row r="255">
          <cell r="C255" t="str">
            <v>05-Sep</v>
          </cell>
          <cell r="D255" t="str">
            <v>0</v>
          </cell>
        </row>
        <row r="256">
          <cell r="C256" t="str">
            <v>06-Sep</v>
          </cell>
          <cell r="D256" t="str">
            <v>0</v>
          </cell>
        </row>
        <row r="257">
          <cell r="C257" t="str">
            <v>07-Sep</v>
          </cell>
          <cell r="D257" t="str">
            <v>0</v>
          </cell>
        </row>
        <row r="258">
          <cell r="C258" t="str">
            <v>08-Sep</v>
          </cell>
          <cell r="D258" t="str">
            <v>0</v>
          </cell>
        </row>
        <row r="259">
          <cell r="C259" t="str">
            <v>09-Sep</v>
          </cell>
          <cell r="D259" t="str">
            <v>0</v>
          </cell>
        </row>
        <row r="260">
          <cell r="C260" t="str">
            <v>10-Sep</v>
          </cell>
          <cell r="D260" t="str">
            <v>0</v>
          </cell>
        </row>
        <row r="261">
          <cell r="C261" t="str">
            <v>11-Sep</v>
          </cell>
          <cell r="D261" t="str">
            <v>0</v>
          </cell>
        </row>
        <row r="262">
          <cell r="C262" t="str">
            <v>12-Sep</v>
          </cell>
          <cell r="D262" t="str">
            <v>0</v>
          </cell>
        </row>
        <row r="263">
          <cell r="C263" t="str">
            <v>13-Sep</v>
          </cell>
          <cell r="D263" t="str">
            <v>0</v>
          </cell>
        </row>
        <row r="264">
          <cell r="C264" t="str">
            <v>14-Sep</v>
          </cell>
          <cell r="D264" t="str">
            <v>0</v>
          </cell>
        </row>
        <row r="265">
          <cell r="C265" t="str">
            <v>15-Sep</v>
          </cell>
          <cell r="D265" t="str">
            <v>0</v>
          </cell>
        </row>
        <row r="266">
          <cell r="C266" t="str">
            <v>16-Sep</v>
          </cell>
          <cell r="D266" t="str">
            <v>0</v>
          </cell>
        </row>
        <row r="267">
          <cell r="C267" t="str">
            <v>17-Sep</v>
          </cell>
          <cell r="D267" t="str">
            <v>0</v>
          </cell>
        </row>
        <row r="268">
          <cell r="C268" t="str">
            <v>18-Sep</v>
          </cell>
          <cell r="D268" t="str">
            <v>0</v>
          </cell>
        </row>
        <row r="269">
          <cell r="C269" t="str">
            <v>19-Sep</v>
          </cell>
          <cell r="D269" t="str">
            <v>0</v>
          </cell>
        </row>
        <row r="270">
          <cell r="C270" t="str">
            <v>20-Sep</v>
          </cell>
          <cell r="D270" t="str">
            <v>0</v>
          </cell>
        </row>
        <row r="271">
          <cell r="C271" t="str">
            <v>21-Sep</v>
          </cell>
          <cell r="D271" t="str">
            <v>0</v>
          </cell>
        </row>
        <row r="272">
          <cell r="C272" t="str">
            <v>22-Sep</v>
          </cell>
          <cell r="D272" t="str">
            <v>0</v>
          </cell>
        </row>
        <row r="273">
          <cell r="C273" t="str">
            <v>23-Sep</v>
          </cell>
          <cell r="D273" t="str">
            <v>0</v>
          </cell>
        </row>
        <row r="274">
          <cell r="C274" t="str">
            <v>24-Sep</v>
          </cell>
          <cell r="D274" t="str">
            <v>0</v>
          </cell>
        </row>
        <row r="275">
          <cell r="C275" t="str">
            <v>25-Sep</v>
          </cell>
          <cell r="D275" t="str">
            <v>0</v>
          </cell>
        </row>
        <row r="276">
          <cell r="C276" t="str">
            <v>26-Sep</v>
          </cell>
          <cell r="D276" t="str">
            <v>0</v>
          </cell>
        </row>
        <row r="277">
          <cell r="C277" t="str">
            <v>27-Sep</v>
          </cell>
          <cell r="D277" t="str">
            <v>0</v>
          </cell>
        </row>
        <row r="278">
          <cell r="C278" t="str">
            <v>28-Sep</v>
          </cell>
          <cell r="D278" t="str">
            <v>0</v>
          </cell>
        </row>
        <row r="279">
          <cell r="C279" t="str">
            <v>29-Sep</v>
          </cell>
          <cell r="D279" t="str">
            <v>0</v>
          </cell>
        </row>
        <row r="280">
          <cell r="C280" t="str">
            <v>30-Sep</v>
          </cell>
          <cell r="D280" t="str">
            <v>0</v>
          </cell>
        </row>
        <row r="281">
          <cell r="C281" t="str">
            <v>01-Oct</v>
          </cell>
          <cell r="D281" t="str">
            <v>0</v>
          </cell>
        </row>
        <row r="282">
          <cell r="C282" t="str">
            <v>02-Oct</v>
          </cell>
          <cell r="D282" t="str">
            <v>0</v>
          </cell>
        </row>
        <row r="283">
          <cell r="C283" t="str">
            <v>03-Oct</v>
          </cell>
          <cell r="D283" t="str">
            <v>0</v>
          </cell>
        </row>
        <row r="284">
          <cell r="C284" t="str">
            <v>04-Oct</v>
          </cell>
          <cell r="D284" t="str">
            <v>0</v>
          </cell>
        </row>
        <row r="285">
          <cell r="C285" t="str">
            <v>05-Oct</v>
          </cell>
          <cell r="D285" t="str">
            <v>0</v>
          </cell>
        </row>
        <row r="286">
          <cell r="C286" t="str">
            <v>06-Oct</v>
          </cell>
          <cell r="D286" t="str">
            <v>0</v>
          </cell>
        </row>
        <row r="287">
          <cell r="C287" t="str">
            <v>07-Oct</v>
          </cell>
          <cell r="D287" t="str">
            <v>0</v>
          </cell>
        </row>
        <row r="288">
          <cell r="C288" t="str">
            <v>08-Oct</v>
          </cell>
          <cell r="D288" t="str">
            <v>0</v>
          </cell>
        </row>
        <row r="289">
          <cell r="C289" t="str">
            <v>09-Oct</v>
          </cell>
          <cell r="D289" t="str">
            <v>0</v>
          </cell>
        </row>
        <row r="290">
          <cell r="C290" t="str">
            <v>10-Oct</v>
          </cell>
          <cell r="D290" t="str">
            <v>0</v>
          </cell>
        </row>
        <row r="291">
          <cell r="C291" t="str">
            <v>11-Oct</v>
          </cell>
          <cell r="D291" t="str">
            <v>0</v>
          </cell>
        </row>
        <row r="292">
          <cell r="C292" t="str">
            <v>12-Oct</v>
          </cell>
          <cell r="D292" t="str">
            <v>0</v>
          </cell>
        </row>
        <row r="293">
          <cell r="C293" t="str">
            <v>13-Oct</v>
          </cell>
          <cell r="D293" t="str">
            <v>0</v>
          </cell>
        </row>
        <row r="294">
          <cell r="C294" t="str">
            <v>14-Oct</v>
          </cell>
          <cell r="D294" t="str">
            <v>0</v>
          </cell>
        </row>
        <row r="295">
          <cell r="C295" t="str">
            <v>15-Oct</v>
          </cell>
          <cell r="D295" t="str">
            <v>0</v>
          </cell>
        </row>
        <row r="296">
          <cell r="C296" t="str">
            <v>16-Oct</v>
          </cell>
          <cell r="D296" t="str">
            <v>0</v>
          </cell>
        </row>
        <row r="297">
          <cell r="C297" t="str">
            <v>17-Oct</v>
          </cell>
          <cell r="D297" t="str">
            <v>0</v>
          </cell>
        </row>
        <row r="298">
          <cell r="C298" t="str">
            <v>18-Oct</v>
          </cell>
          <cell r="D298" t="str">
            <v>0</v>
          </cell>
        </row>
        <row r="299">
          <cell r="C299" t="str">
            <v>19-Oct</v>
          </cell>
          <cell r="D299" t="str">
            <v>0</v>
          </cell>
        </row>
        <row r="300">
          <cell r="C300" t="str">
            <v>20-Oct</v>
          </cell>
          <cell r="D300" t="str">
            <v>0</v>
          </cell>
        </row>
        <row r="301">
          <cell r="C301" t="str">
            <v>21-Oct</v>
          </cell>
          <cell r="D301" t="str">
            <v>0</v>
          </cell>
        </row>
        <row r="302">
          <cell r="C302" t="str">
            <v>22-Oct</v>
          </cell>
          <cell r="D302" t="str">
            <v>0</v>
          </cell>
        </row>
        <row r="303">
          <cell r="C303" t="str">
            <v>23-Oct</v>
          </cell>
          <cell r="D303" t="str">
            <v>0</v>
          </cell>
        </row>
        <row r="304">
          <cell r="C304" t="str">
            <v>24-Oct</v>
          </cell>
          <cell r="D304" t="str">
            <v>0</v>
          </cell>
        </row>
        <row r="305">
          <cell r="C305" t="str">
            <v>25-Oct</v>
          </cell>
          <cell r="D305" t="str">
            <v>0</v>
          </cell>
        </row>
        <row r="306">
          <cell r="C306" t="str">
            <v>26-Oct</v>
          </cell>
          <cell r="D306" t="str">
            <v>0</v>
          </cell>
        </row>
        <row r="307">
          <cell r="C307" t="str">
            <v>27-Oct</v>
          </cell>
          <cell r="D307" t="str">
            <v>0</v>
          </cell>
        </row>
        <row r="308">
          <cell r="C308" t="str">
            <v>28-Oct</v>
          </cell>
          <cell r="D308" t="str">
            <v>0</v>
          </cell>
        </row>
        <row r="309">
          <cell r="C309" t="str">
            <v>29-Oct</v>
          </cell>
          <cell r="D309" t="str">
            <v>0</v>
          </cell>
        </row>
        <row r="310">
          <cell r="C310" t="str">
            <v>30-Oct</v>
          </cell>
          <cell r="D310" t="str">
            <v>0</v>
          </cell>
        </row>
        <row r="311">
          <cell r="C311" t="str">
            <v>31-Oct</v>
          </cell>
          <cell r="D311" t="str">
            <v>0</v>
          </cell>
        </row>
        <row r="312">
          <cell r="C312" t="str">
            <v>01-Nov</v>
          </cell>
          <cell r="D312" t="str">
            <v>0</v>
          </cell>
        </row>
        <row r="313">
          <cell r="C313" t="str">
            <v>02-Nov</v>
          </cell>
          <cell r="D313" t="str">
            <v>0</v>
          </cell>
        </row>
        <row r="314">
          <cell r="C314" t="str">
            <v>03-Nov</v>
          </cell>
          <cell r="D314" t="str">
            <v>0</v>
          </cell>
        </row>
        <row r="315">
          <cell r="C315" t="str">
            <v>04-Nov</v>
          </cell>
          <cell r="D315" t="str">
            <v>0</v>
          </cell>
        </row>
        <row r="316">
          <cell r="C316" t="str">
            <v>05-Nov</v>
          </cell>
          <cell r="D316" t="str">
            <v>0</v>
          </cell>
        </row>
        <row r="317">
          <cell r="C317" t="str">
            <v>06-Nov</v>
          </cell>
          <cell r="D317" t="str">
            <v>0</v>
          </cell>
        </row>
        <row r="318">
          <cell r="C318" t="str">
            <v>07-Nov</v>
          </cell>
          <cell r="D318" t="str">
            <v>0</v>
          </cell>
        </row>
        <row r="319">
          <cell r="C319" t="str">
            <v>08-Nov</v>
          </cell>
          <cell r="D319" t="str">
            <v>0</v>
          </cell>
        </row>
        <row r="320">
          <cell r="C320" t="str">
            <v>09-Nov</v>
          </cell>
          <cell r="D320" t="str">
            <v>0</v>
          </cell>
        </row>
        <row r="321">
          <cell r="C321" t="str">
            <v>10-Nov</v>
          </cell>
          <cell r="D321" t="str">
            <v>0</v>
          </cell>
        </row>
        <row r="322">
          <cell r="C322" t="str">
            <v>11-Nov</v>
          </cell>
          <cell r="D322" t="str">
            <v>0</v>
          </cell>
        </row>
        <row r="323">
          <cell r="C323" t="str">
            <v>12-Nov</v>
          </cell>
          <cell r="D323" t="str">
            <v>0</v>
          </cell>
        </row>
        <row r="324">
          <cell r="C324" t="str">
            <v>13-Nov</v>
          </cell>
          <cell r="D324" t="str">
            <v>0</v>
          </cell>
        </row>
        <row r="325">
          <cell r="C325" t="str">
            <v>14-Nov</v>
          </cell>
          <cell r="D325" t="str">
            <v>0</v>
          </cell>
        </row>
        <row r="326">
          <cell r="C326" t="str">
            <v>15-Nov</v>
          </cell>
          <cell r="D326" t="str">
            <v>0</v>
          </cell>
        </row>
        <row r="327">
          <cell r="C327" t="str">
            <v>16-Nov</v>
          </cell>
          <cell r="D327" t="str">
            <v>0</v>
          </cell>
        </row>
        <row r="328">
          <cell r="C328" t="str">
            <v>17-Nov</v>
          </cell>
          <cell r="D328" t="str">
            <v>0</v>
          </cell>
        </row>
        <row r="329">
          <cell r="C329" t="str">
            <v>18-Nov</v>
          </cell>
          <cell r="D329" t="str">
            <v>0</v>
          </cell>
        </row>
        <row r="330">
          <cell r="C330" t="str">
            <v>19-Nov</v>
          </cell>
          <cell r="D330" t="str">
            <v>0</v>
          </cell>
        </row>
        <row r="331">
          <cell r="C331" t="str">
            <v>20-Nov</v>
          </cell>
          <cell r="D331" t="str">
            <v>0</v>
          </cell>
        </row>
        <row r="332">
          <cell r="C332" t="str">
            <v>21-Nov</v>
          </cell>
          <cell r="D332" t="str">
            <v>0</v>
          </cell>
        </row>
        <row r="333">
          <cell r="C333" t="str">
            <v>22-Nov</v>
          </cell>
          <cell r="D333" t="str">
            <v>0</v>
          </cell>
        </row>
        <row r="334">
          <cell r="C334" t="str">
            <v>23-Nov</v>
          </cell>
          <cell r="D334" t="str">
            <v>0</v>
          </cell>
        </row>
        <row r="335">
          <cell r="C335" t="str">
            <v>24-Nov</v>
          </cell>
          <cell r="D335" t="str">
            <v>0</v>
          </cell>
        </row>
        <row r="336">
          <cell r="C336" t="str">
            <v>25-Nov</v>
          </cell>
          <cell r="D336" t="str">
            <v>0</v>
          </cell>
        </row>
        <row r="337">
          <cell r="C337" t="str">
            <v>26-Nov</v>
          </cell>
          <cell r="D337" t="str">
            <v>0</v>
          </cell>
        </row>
        <row r="338">
          <cell r="C338" t="str">
            <v>27-Nov</v>
          </cell>
          <cell r="D338" t="str">
            <v>0</v>
          </cell>
        </row>
        <row r="339">
          <cell r="C339" t="str">
            <v>28-Nov</v>
          </cell>
          <cell r="D339" t="str">
            <v>0</v>
          </cell>
        </row>
        <row r="340">
          <cell r="C340" t="str">
            <v>29-Nov</v>
          </cell>
          <cell r="D340" t="str">
            <v>0</v>
          </cell>
        </row>
        <row r="341">
          <cell r="C341" t="str">
            <v>30-Nov</v>
          </cell>
          <cell r="D341" t="str">
            <v>0</v>
          </cell>
        </row>
        <row r="342">
          <cell r="C342" t="str">
            <v>01-Dec</v>
          </cell>
          <cell r="D342" t="str">
            <v>0</v>
          </cell>
        </row>
        <row r="343">
          <cell r="C343" t="str">
            <v>02-Dec</v>
          </cell>
          <cell r="D343" t="str">
            <v>0</v>
          </cell>
        </row>
        <row r="344">
          <cell r="C344" t="str">
            <v>03-Dec</v>
          </cell>
          <cell r="D344" t="str">
            <v>0</v>
          </cell>
        </row>
        <row r="345">
          <cell r="C345" t="str">
            <v>04-Dec</v>
          </cell>
          <cell r="D345" t="str">
            <v>0</v>
          </cell>
        </row>
        <row r="346">
          <cell r="C346" t="str">
            <v>05-Dec</v>
          </cell>
          <cell r="D346" t="str">
            <v>0</v>
          </cell>
        </row>
        <row r="347">
          <cell r="C347" t="str">
            <v>06-Dec</v>
          </cell>
          <cell r="D347" t="str">
            <v>0</v>
          </cell>
        </row>
        <row r="348">
          <cell r="C348" t="str">
            <v>07-Dec</v>
          </cell>
          <cell r="D348" t="str">
            <v>0</v>
          </cell>
        </row>
        <row r="349">
          <cell r="C349" t="str">
            <v>08-Dec</v>
          </cell>
          <cell r="D349" t="str">
            <v>0</v>
          </cell>
        </row>
        <row r="350">
          <cell r="C350" t="str">
            <v>09-Dec</v>
          </cell>
          <cell r="D350" t="str">
            <v>0</v>
          </cell>
        </row>
        <row r="351">
          <cell r="C351" t="str">
            <v>10-Dec</v>
          </cell>
          <cell r="D351" t="str">
            <v>0</v>
          </cell>
        </row>
        <row r="352">
          <cell r="C352" t="str">
            <v>11-Dec</v>
          </cell>
          <cell r="D352" t="str">
            <v>0</v>
          </cell>
        </row>
        <row r="353">
          <cell r="C353" t="str">
            <v>12-Dec</v>
          </cell>
          <cell r="D353" t="str">
            <v>0</v>
          </cell>
        </row>
        <row r="354">
          <cell r="C354" t="str">
            <v>13-Dec</v>
          </cell>
          <cell r="D354" t="str">
            <v>0</v>
          </cell>
        </row>
        <row r="355">
          <cell r="C355" t="str">
            <v>14-Dec</v>
          </cell>
          <cell r="D355" t="str">
            <v>0</v>
          </cell>
        </row>
        <row r="356">
          <cell r="C356" t="str">
            <v>15-Dec</v>
          </cell>
          <cell r="D356" t="str">
            <v>0</v>
          </cell>
        </row>
        <row r="357">
          <cell r="C357" t="str">
            <v>16-Dec</v>
          </cell>
          <cell r="D357" t="str">
            <v>0</v>
          </cell>
        </row>
        <row r="358">
          <cell r="C358" t="str">
            <v>17-Dec</v>
          </cell>
          <cell r="D358" t="str">
            <v>0</v>
          </cell>
        </row>
        <row r="359">
          <cell r="C359" t="str">
            <v>18-Dec</v>
          </cell>
          <cell r="D359" t="str">
            <v>0</v>
          </cell>
        </row>
        <row r="360">
          <cell r="C360" t="str">
            <v>19-Dec</v>
          </cell>
          <cell r="D360" t="str">
            <v>0</v>
          </cell>
        </row>
        <row r="361">
          <cell r="C361" t="str">
            <v>20-Dec</v>
          </cell>
          <cell r="D361" t="str">
            <v>0</v>
          </cell>
        </row>
        <row r="362">
          <cell r="C362" t="str">
            <v>21-Dec</v>
          </cell>
          <cell r="D362" t="str">
            <v>0</v>
          </cell>
        </row>
        <row r="363">
          <cell r="C363" t="str">
            <v>22-Dec</v>
          </cell>
          <cell r="D363" t="str">
            <v>0</v>
          </cell>
        </row>
        <row r="364">
          <cell r="C364" t="str">
            <v>23-Dec</v>
          </cell>
          <cell r="D364" t="str">
            <v>0</v>
          </cell>
        </row>
        <row r="365">
          <cell r="C365" t="str">
            <v>24-Dec</v>
          </cell>
          <cell r="D365" t="str">
            <v>0</v>
          </cell>
        </row>
        <row r="366">
          <cell r="C366" t="str">
            <v>25-Dec</v>
          </cell>
          <cell r="D366" t="str">
            <v>0</v>
          </cell>
        </row>
        <row r="367">
          <cell r="C367" t="str">
            <v>26-Dec</v>
          </cell>
          <cell r="D367" t="str">
            <v>0</v>
          </cell>
        </row>
        <row r="368">
          <cell r="C368" t="str">
            <v>27-Dec</v>
          </cell>
          <cell r="D368" t="str">
            <v>0</v>
          </cell>
        </row>
        <row r="369">
          <cell r="C369" t="str">
            <v>28-Dec</v>
          </cell>
          <cell r="D369" t="str">
            <v>0</v>
          </cell>
        </row>
        <row r="370">
          <cell r="C370" t="str">
            <v>29-Dec</v>
          </cell>
          <cell r="D370" t="str">
            <v>0</v>
          </cell>
        </row>
        <row r="371">
          <cell r="C371" t="str">
            <v>30-Dec</v>
          </cell>
          <cell r="D371" t="str">
            <v>0</v>
          </cell>
        </row>
        <row r="372">
          <cell r="C372" t="str">
            <v>31-Dec</v>
          </cell>
          <cell r="D372" t="str">
            <v>0</v>
          </cell>
        </row>
      </sheetData>
      <sheetData sheetId="5" refreshError="1"/>
      <sheetData sheetId="6" refreshError="1">
        <row r="1">
          <cell r="D1" t="str">
            <v>FY2001</v>
          </cell>
        </row>
        <row r="2">
          <cell r="D2" t="str">
            <v>All Owners</v>
          </cell>
        </row>
        <row r="3">
          <cell r="D3" t="str">
            <v>Amazon.co.jp</v>
          </cell>
        </row>
        <row r="4">
          <cell r="D4" t="str">
            <v>Product</v>
          </cell>
        </row>
        <row r="5">
          <cell r="D5" t="str">
            <v>JP DCs</v>
          </cell>
        </row>
        <row r="6">
          <cell r="E6" t="str">
            <v>Free Rep Units</v>
          </cell>
          <cell r="F6" t="str">
            <v>Free Rep Units</v>
          </cell>
          <cell r="G6" t="str">
            <v>Free Rep Units</v>
          </cell>
          <cell r="H6" t="str">
            <v>Free Rep Units</v>
          </cell>
          <cell r="I6" t="str">
            <v>Free Rep Units</v>
          </cell>
          <cell r="J6" t="str">
            <v>Free Rep Units</v>
          </cell>
          <cell r="K6" t="str">
            <v>Free Rep Units</v>
          </cell>
          <cell r="L6" t="str">
            <v>Free Rep Units</v>
          </cell>
          <cell r="M6" t="str">
            <v>Free Rep Units</v>
          </cell>
          <cell r="N6" t="str">
            <v>Free Rep Units</v>
          </cell>
          <cell r="O6" t="str">
            <v>Free Rep Units</v>
          </cell>
          <cell r="P6" t="str">
            <v>Free Rep Units</v>
          </cell>
          <cell r="Q6" t="str">
            <v>Free Rep Units</v>
          </cell>
          <cell r="R6" t="str">
            <v>Free Rep Units</v>
          </cell>
          <cell r="S6" t="str">
            <v>Free Rep Cost (Local Currency)</v>
          </cell>
          <cell r="T6" t="str">
            <v>Free Rep Cost (Local Currency)</v>
          </cell>
          <cell r="U6" t="str">
            <v>Free Rep Cost (Local Currency)</v>
          </cell>
          <cell r="V6" t="str">
            <v>Free Rep Cost (Local Currency)</v>
          </cell>
          <cell r="W6" t="str">
            <v>Free Rep Cost (Local Currency)</v>
          </cell>
          <cell r="X6" t="str">
            <v>Free Rep Cost (Local Currency)</v>
          </cell>
          <cell r="Y6" t="str">
            <v>Free Rep Cost (Local Currency)</v>
          </cell>
          <cell r="Z6" t="str">
            <v>Free Rep Cost (Local Currency)</v>
          </cell>
          <cell r="AA6" t="str">
            <v>Free Rep Cost (Local Currency)</v>
          </cell>
          <cell r="AB6" t="str">
            <v>Free Rep Cost (Local Currency)</v>
          </cell>
          <cell r="AC6" t="str">
            <v>Free Rep Cost (Local Currency)</v>
          </cell>
          <cell r="AD6" t="str">
            <v>Free Rep Cost (Local Currency)</v>
          </cell>
          <cell r="AE6" t="str">
            <v>Free Rep Cost (Local Currency)</v>
          </cell>
        </row>
        <row r="7">
          <cell r="E7" t="str">
            <v>Other</v>
          </cell>
          <cell r="F7" t="str">
            <v>Lost Shipment: Delivery Scan Confirmed</v>
          </cell>
          <cell r="G7" t="str">
            <v>Defective</v>
          </cell>
          <cell r="H7" t="str">
            <v>Damaged Due to Carrier Handling</v>
          </cell>
          <cell r="I7" t="str">
            <v>Wrong Item Received/Switcheroo</v>
          </cell>
          <cell r="J7" t="str">
            <v>Item Missing from Shipment</v>
          </cell>
          <cell r="K7" t="str">
            <v>Lost Shipment: No Delivery Scan</v>
          </cell>
          <cell r="L7" t="str">
            <v>Bought wrong item due to catalog error</v>
          </cell>
          <cell r="M7" t="str">
            <v>Shipped to wrong address</v>
          </cell>
          <cell r="N7" t="str">
            <v>Delivery Problem</v>
          </cell>
          <cell r="O7" t="str">
            <v>Damaged due to FC Handling</v>
          </cell>
          <cell r="P7" t="str">
            <v>Shipment in Cleanup: Item not Received</v>
          </cell>
          <cell r="Q7" t="str">
            <v>Policy Exception/Customer Error</v>
          </cell>
          <cell r="R7" t="str">
            <v>Wrong Address: Items not Returned</v>
          </cell>
          <cell r="S7" t="str">
            <v>Other</v>
          </cell>
          <cell r="T7" t="str">
            <v>Lost Shipment: Delivery Scan Confirmed</v>
          </cell>
          <cell r="U7" t="str">
            <v>Defective</v>
          </cell>
          <cell r="V7" t="str">
            <v>Damaged Due to Carrier Handling</v>
          </cell>
          <cell r="W7" t="str">
            <v>Wrong Item Received/Switcheroo</v>
          </cell>
          <cell r="X7" t="str">
            <v>Item Missing from Shipment</v>
          </cell>
          <cell r="Y7" t="str">
            <v>Lost Shipment: No Delivery Scan</v>
          </cell>
          <cell r="Z7" t="str">
            <v>Bought wrong item due to catalog error</v>
          </cell>
          <cell r="AA7" t="str">
            <v>Shipped to wrong address</v>
          </cell>
          <cell r="AB7" t="str">
            <v>Delivery Problem</v>
          </cell>
          <cell r="AC7" t="str">
            <v>Damaged due to FC Handling</v>
          </cell>
          <cell r="AD7" t="str">
            <v>Shipment in Cleanup: Item not Received</v>
          </cell>
          <cell r="AE7" t="str">
            <v>Policy Exception/Customer Error</v>
          </cell>
        </row>
        <row r="8">
          <cell r="D8" t="str">
            <v>01-Jan</v>
          </cell>
          <cell r="E8" t="str">
            <v>0</v>
          </cell>
          <cell r="F8" t="str">
            <v>0</v>
          </cell>
          <cell r="G8" t="str">
            <v>0</v>
          </cell>
          <cell r="H8" t="str">
            <v>0</v>
          </cell>
          <cell r="I8" t="str">
            <v>0</v>
          </cell>
          <cell r="J8" t="str">
            <v>0</v>
          </cell>
          <cell r="K8" t="str">
            <v>0</v>
          </cell>
          <cell r="L8" t="str">
            <v>0</v>
          </cell>
          <cell r="M8" t="str">
            <v>0</v>
          </cell>
          <cell r="N8" t="str">
            <v>0</v>
          </cell>
          <cell r="O8" t="str">
            <v>0</v>
          </cell>
          <cell r="P8" t="str">
            <v>0</v>
          </cell>
          <cell r="Q8" t="str">
            <v>0</v>
          </cell>
          <cell r="R8" t="str">
            <v>0</v>
          </cell>
          <cell r="S8" t="str">
            <v>0</v>
          </cell>
          <cell r="T8" t="str">
            <v>0</v>
          </cell>
          <cell r="U8" t="str">
            <v>0</v>
          </cell>
          <cell r="V8" t="str">
            <v>0</v>
          </cell>
          <cell r="W8" t="str">
            <v>0</v>
          </cell>
          <cell r="X8" t="str">
            <v>0</v>
          </cell>
          <cell r="Y8" t="str">
            <v>0</v>
          </cell>
          <cell r="Z8" t="str">
            <v>0</v>
          </cell>
          <cell r="AA8" t="str">
            <v>0</v>
          </cell>
          <cell r="AB8" t="str">
            <v>0</v>
          </cell>
          <cell r="AC8" t="str">
            <v>0</v>
          </cell>
          <cell r="AD8" t="str">
            <v>0</v>
          </cell>
          <cell r="AE8" t="str">
            <v>0</v>
          </cell>
        </row>
        <row r="9">
          <cell r="D9" t="str">
            <v>02-Jan</v>
          </cell>
          <cell r="E9" t="str">
            <v>0</v>
          </cell>
          <cell r="F9" t="str">
            <v>0</v>
          </cell>
          <cell r="G9" t="str">
            <v>0</v>
          </cell>
          <cell r="H9" t="str">
            <v>0</v>
          </cell>
          <cell r="I9" t="str">
            <v>0</v>
          </cell>
          <cell r="J9" t="str">
            <v>0</v>
          </cell>
          <cell r="K9" t="str">
            <v>0</v>
          </cell>
          <cell r="L9" t="str">
            <v>0</v>
          </cell>
          <cell r="M9" t="str">
            <v>0</v>
          </cell>
          <cell r="N9" t="str">
            <v>0</v>
          </cell>
          <cell r="O9" t="str">
            <v>0</v>
          </cell>
          <cell r="P9" t="str">
            <v>0</v>
          </cell>
          <cell r="Q9" t="str">
            <v>0</v>
          </cell>
          <cell r="R9" t="str">
            <v>0</v>
          </cell>
          <cell r="S9" t="str">
            <v>0</v>
          </cell>
          <cell r="T9" t="str">
            <v>0</v>
          </cell>
          <cell r="U9" t="str">
            <v>0</v>
          </cell>
          <cell r="V9" t="str">
            <v>0</v>
          </cell>
          <cell r="W9" t="str">
            <v>0</v>
          </cell>
          <cell r="X9" t="str">
            <v>0</v>
          </cell>
          <cell r="Y9" t="str">
            <v>0</v>
          </cell>
          <cell r="Z9" t="str">
            <v>0</v>
          </cell>
          <cell r="AA9" t="str">
            <v>0</v>
          </cell>
          <cell r="AB9" t="str">
            <v>0</v>
          </cell>
          <cell r="AC9" t="str">
            <v>0</v>
          </cell>
          <cell r="AD9" t="str">
            <v>0</v>
          </cell>
          <cell r="AE9" t="str">
            <v>0</v>
          </cell>
        </row>
        <row r="10">
          <cell r="D10" t="str">
            <v>03-Jan</v>
          </cell>
          <cell r="E10" t="str">
            <v>0</v>
          </cell>
          <cell r="F10" t="str">
            <v>0</v>
          </cell>
          <cell r="G10">
            <v>1</v>
          </cell>
          <cell r="H10" t="str">
            <v>0</v>
          </cell>
          <cell r="I10">
            <v>2</v>
          </cell>
          <cell r="J10">
            <v>1</v>
          </cell>
          <cell r="K10">
            <v>1</v>
          </cell>
          <cell r="L10" t="str">
            <v>0</v>
          </cell>
          <cell r="M10" t="str">
            <v>0</v>
          </cell>
          <cell r="N10" t="str">
            <v>0</v>
          </cell>
          <cell r="O10" t="str">
            <v>0</v>
          </cell>
          <cell r="P10" t="str">
            <v>0</v>
          </cell>
          <cell r="Q10" t="str">
            <v>0</v>
          </cell>
          <cell r="R10" t="str">
            <v>0</v>
          </cell>
          <cell r="S10" t="str">
            <v>0</v>
          </cell>
          <cell r="T10" t="str">
            <v>0</v>
          </cell>
          <cell r="U10">
            <v>1001</v>
          </cell>
          <cell r="V10" t="str">
            <v>0</v>
          </cell>
          <cell r="W10">
            <v>1072</v>
          </cell>
          <cell r="X10">
            <v>1386</v>
          </cell>
          <cell r="Y10">
            <v>273</v>
          </cell>
          <cell r="Z10" t="str">
            <v>0</v>
          </cell>
          <cell r="AA10" t="str">
            <v>0</v>
          </cell>
          <cell r="AB10" t="str">
            <v>0</v>
          </cell>
          <cell r="AC10" t="str">
            <v>0</v>
          </cell>
          <cell r="AD10" t="str">
            <v>0</v>
          </cell>
          <cell r="AE10" t="str">
            <v>0</v>
          </cell>
        </row>
        <row r="11">
          <cell r="D11" t="str">
            <v>04-Jan</v>
          </cell>
          <cell r="E11">
            <v>6</v>
          </cell>
          <cell r="F11" t="str">
            <v>0</v>
          </cell>
          <cell r="G11">
            <v>1</v>
          </cell>
          <cell r="H11" t="str">
            <v>0</v>
          </cell>
          <cell r="I11" t="str">
            <v>0</v>
          </cell>
          <cell r="J11" t="str">
            <v>0</v>
          </cell>
          <cell r="K11">
            <v>2</v>
          </cell>
          <cell r="L11" t="str">
            <v>0</v>
          </cell>
          <cell r="M11" t="str">
            <v>0</v>
          </cell>
          <cell r="N11" t="str">
            <v>0</v>
          </cell>
          <cell r="O11" t="str">
            <v>0</v>
          </cell>
          <cell r="P11" t="str">
            <v>0</v>
          </cell>
          <cell r="Q11" t="str">
            <v>0</v>
          </cell>
          <cell r="R11" t="str">
            <v>0</v>
          </cell>
          <cell r="S11">
            <v>1800</v>
          </cell>
          <cell r="T11" t="str">
            <v>0</v>
          </cell>
          <cell r="U11">
            <v>1040</v>
          </cell>
          <cell r="V11" t="str">
            <v>0</v>
          </cell>
          <cell r="W11" t="str">
            <v>0</v>
          </cell>
          <cell r="X11" t="str">
            <v>0</v>
          </cell>
          <cell r="Y11">
            <v>4446</v>
          </cell>
          <cell r="Z11" t="str">
            <v>0</v>
          </cell>
          <cell r="AA11" t="str">
            <v>0</v>
          </cell>
          <cell r="AB11" t="str">
            <v>0</v>
          </cell>
          <cell r="AC11" t="str">
            <v>0</v>
          </cell>
          <cell r="AD11" t="str">
            <v>0</v>
          </cell>
          <cell r="AE11" t="str">
            <v>0</v>
          </cell>
        </row>
        <row r="12">
          <cell r="D12" t="str">
            <v>05-Jan</v>
          </cell>
          <cell r="E12" t="str">
            <v>0</v>
          </cell>
          <cell r="F12" t="str">
            <v>0</v>
          </cell>
          <cell r="G12">
            <v>2</v>
          </cell>
          <cell r="H12" t="str">
            <v>0</v>
          </cell>
          <cell r="I12" t="str">
            <v>0</v>
          </cell>
          <cell r="J12" t="str">
            <v>0</v>
          </cell>
          <cell r="K12">
            <v>1</v>
          </cell>
          <cell r="L12" t="str">
            <v>0</v>
          </cell>
          <cell r="M12" t="str">
            <v>0</v>
          </cell>
          <cell r="N12" t="str">
            <v>0</v>
          </cell>
          <cell r="O12" t="str">
            <v>0</v>
          </cell>
          <cell r="P12" t="str">
            <v>0</v>
          </cell>
          <cell r="Q12" t="str">
            <v>0</v>
          </cell>
          <cell r="R12" t="str">
            <v>0</v>
          </cell>
          <cell r="S12" t="str">
            <v>0</v>
          </cell>
          <cell r="T12" t="str">
            <v>0</v>
          </cell>
          <cell r="U12">
            <v>7323</v>
          </cell>
          <cell r="V12" t="str">
            <v>0</v>
          </cell>
          <cell r="W12" t="str">
            <v>0</v>
          </cell>
          <cell r="X12" t="str">
            <v>0</v>
          </cell>
          <cell r="Y12">
            <v>1694</v>
          </cell>
          <cell r="Z12" t="str">
            <v>0</v>
          </cell>
          <cell r="AA12" t="str">
            <v>0</v>
          </cell>
          <cell r="AB12" t="str">
            <v>0</v>
          </cell>
          <cell r="AC12" t="str">
            <v>0</v>
          </cell>
          <cell r="AD12" t="str">
            <v>0</v>
          </cell>
          <cell r="AE12" t="str">
            <v>0</v>
          </cell>
        </row>
        <row r="13">
          <cell r="D13" t="str">
            <v>06-Jan</v>
          </cell>
          <cell r="E13" t="str">
            <v>0</v>
          </cell>
          <cell r="F13" t="str">
            <v>0</v>
          </cell>
          <cell r="G13">
            <v>1</v>
          </cell>
          <cell r="H13" t="str">
            <v>0</v>
          </cell>
          <cell r="I13" t="str">
            <v>0</v>
          </cell>
          <cell r="J13" t="str">
            <v>0</v>
          </cell>
          <cell r="K13">
            <v>1</v>
          </cell>
          <cell r="L13" t="str">
            <v>0</v>
          </cell>
          <cell r="M13" t="str">
            <v>0</v>
          </cell>
          <cell r="N13" t="str">
            <v>0</v>
          </cell>
          <cell r="O13" t="str">
            <v>0</v>
          </cell>
          <cell r="P13" t="str">
            <v>0</v>
          </cell>
          <cell r="Q13" t="str">
            <v>0</v>
          </cell>
          <cell r="R13" t="str">
            <v>0</v>
          </cell>
          <cell r="S13" t="str">
            <v>0</v>
          </cell>
          <cell r="T13" t="str">
            <v>0</v>
          </cell>
          <cell r="U13">
            <v>300</v>
          </cell>
          <cell r="V13" t="str">
            <v>0</v>
          </cell>
          <cell r="W13" t="str">
            <v>0</v>
          </cell>
          <cell r="X13" t="str">
            <v>0</v>
          </cell>
          <cell r="Y13">
            <v>1386</v>
          </cell>
          <cell r="Z13" t="str">
            <v>0</v>
          </cell>
          <cell r="AA13" t="str">
            <v>0</v>
          </cell>
          <cell r="AB13" t="str">
            <v>0</v>
          </cell>
          <cell r="AC13" t="str">
            <v>0</v>
          </cell>
          <cell r="AD13" t="str">
            <v>0</v>
          </cell>
          <cell r="AE13" t="str">
            <v>0</v>
          </cell>
        </row>
        <row r="14">
          <cell r="D14" t="str">
            <v>07-Jan</v>
          </cell>
          <cell r="E14" t="str">
            <v>0</v>
          </cell>
          <cell r="F14" t="str">
            <v>0</v>
          </cell>
          <cell r="G14">
            <v>4</v>
          </cell>
          <cell r="H14" t="str">
            <v>0</v>
          </cell>
          <cell r="I14">
            <v>1</v>
          </cell>
          <cell r="J14">
            <v>1</v>
          </cell>
          <cell r="K14" t="str">
            <v>0</v>
          </cell>
          <cell r="L14" t="str">
            <v>0</v>
          </cell>
          <cell r="M14" t="str">
            <v>0</v>
          </cell>
          <cell r="N14" t="str">
            <v>0</v>
          </cell>
          <cell r="O14" t="str">
            <v>0</v>
          </cell>
          <cell r="P14" t="str">
            <v>0</v>
          </cell>
          <cell r="Q14" t="str">
            <v>0</v>
          </cell>
          <cell r="R14" t="str">
            <v>0</v>
          </cell>
          <cell r="S14" t="str">
            <v>0</v>
          </cell>
          <cell r="T14" t="str">
            <v>0</v>
          </cell>
          <cell r="U14">
            <v>6585</v>
          </cell>
          <cell r="V14" t="str">
            <v>0</v>
          </cell>
          <cell r="W14">
            <v>508</v>
          </cell>
          <cell r="X14">
            <v>1001</v>
          </cell>
          <cell r="Y14" t="str">
            <v>0</v>
          </cell>
          <cell r="Z14" t="str">
            <v>0</v>
          </cell>
          <cell r="AA14" t="str">
            <v>0</v>
          </cell>
          <cell r="AB14" t="str">
            <v>0</v>
          </cell>
          <cell r="AC14" t="str">
            <v>0</v>
          </cell>
          <cell r="AD14" t="str">
            <v>0</v>
          </cell>
          <cell r="AE14" t="str">
            <v>0</v>
          </cell>
        </row>
        <row r="15">
          <cell r="D15" t="str">
            <v>08-Jan</v>
          </cell>
          <cell r="E15" t="str">
            <v>0</v>
          </cell>
          <cell r="F15" t="str">
            <v>0</v>
          </cell>
          <cell r="G15">
            <v>1</v>
          </cell>
          <cell r="H15" t="str">
            <v>0</v>
          </cell>
          <cell r="I15">
            <v>1</v>
          </cell>
          <cell r="J15" t="str">
            <v>0</v>
          </cell>
          <cell r="K15">
            <v>2</v>
          </cell>
          <cell r="L15" t="str">
            <v>0</v>
          </cell>
          <cell r="M15" t="str">
            <v>0</v>
          </cell>
          <cell r="N15" t="str">
            <v>0</v>
          </cell>
          <cell r="O15" t="str">
            <v>0</v>
          </cell>
          <cell r="P15" t="str">
            <v>0</v>
          </cell>
          <cell r="Q15" t="str">
            <v>0</v>
          </cell>
          <cell r="R15" t="str">
            <v>0</v>
          </cell>
          <cell r="S15" t="str">
            <v>0</v>
          </cell>
          <cell r="T15" t="str">
            <v>0</v>
          </cell>
          <cell r="U15">
            <v>2156</v>
          </cell>
          <cell r="V15" t="str">
            <v>0</v>
          </cell>
          <cell r="W15">
            <v>1925</v>
          </cell>
          <cell r="X15" t="str">
            <v>0</v>
          </cell>
          <cell r="Y15">
            <v>872</v>
          </cell>
          <cell r="Z15" t="str">
            <v>0</v>
          </cell>
          <cell r="AA15" t="str">
            <v>0</v>
          </cell>
          <cell r="AB15" t="str">
            <v>0</v>
          </cell>
          <cell r="AC15" t="str">
            <v>0</v>
          </cell>
          <cell r="AD15" t="str">
            <v>0</v>
          </cell>
          <cell r="AE15" t="str">
            <v>0</v>
          </cell>
        </row>
        <row r="16">
          <cell r="D16" t="str">
            <v>09-Jan</v>
          </cell>
          <cell r="E16" t="str">
            <v>0</v>
          </cell>
          <cell r="F16" t="str">
            <v>0</v>
          </cell>
          <cell r="G16">
            <v>1</v>
          </cell>
          <cell r="H16" t="str">
            <v>0</v>
          </cell>
          <cell r="I16" t="str">
            <v>0</v>
          </cell>
          <cell r="J16" t="str">
            <v>0</v>
          </cell>
          <cell r="K16">
            <v>4</v>
          </cell>
          <cell r="L16" t="str">
            <v>0</v>
          </cell>
          <cell r="M16" t="str">
            <v>0</v>
          </cell>
          <cell r="N16" t="str">
            <v>0</v>
          </cell>
          <cell r="O16" t="str">
            <v>0</v>
          </cell>
          <cell r="P16" t="str">
            <v>0</v>
          </cell>
          <cell r="Q16" t="str">
            <v>0</v>
          </cell>
          <cell r="R16" t="str">
            <v>0</v>
          </cell>
          <cell r="S16" t="str">
            <v>0</v>
          </cell>
          <cell r="T16" t="str">
            <v>0</v>
          </cell>
          <cell r="U16">
            <v>1906</v>
          </cell>
          <cell r="V16" t="str">
            <v>0</v>
          </cell>
          <cell r="W16" t="str">
            <v>0</v>
          </cell>
          <cell r="X16" t="str">
            <v>0</v>
          </cell>
          <cell r="Y16">
            <v>1362</v>
          </cell>
          <cell r="Z16" t="str">
            <v>0</v>
          </cell>
          <cell r="AA16" t="str">
            <v>0</v>
          </cell>
          <cell r="AB16" t="str">
            <v>0</v>
          </cell>
          <cell r="AC16" t="str">
            <v>0</v>
          </cell>
          <cell r="AD16" t="str">
            <v>0</v>
          </cell>
          <cell r="AE16" t="str">
            <v>0</v>
          </cell>
        </row>
        <row r="17">
          <cell r="D17" t="str">
            <v>10-Jan</v>
          </cell>
          <cell r="E17">
            <v>1</v>
          </cell>
          <cell r="F17" t="str">
            <v>0</v>
          </cell>
          <cell r="G17">
            <v>1</v>
          </cell>
          <cell r="H17" t="str">
            <v>0</v>
          </cell>
          <cell r="I17">
            <v>1</v>
          </cell>
          <cell r="J17">
            <v>2</v>
          </cell>
          <cell r="K17" t="str">
            <v>0</v>
          </cell>
          <cell r="L17" t="str">
            <v>0</v>
          </cell>
          <cell r="M17" t="str">
            <v>0</v>
          </cell>
          <cell r="N17" t="str">
            <v>0</v>
          </cell>
          <cell r="O17" t="str">
            <v>0</v>
          </cell>
          <cell r="P17" t="str">
            <v>0</v>
          </cell>
          <cell r="Q17" t="str">
            <v>0</v>
          </cell>
          <cell r="R17" t="str">
            <v>0</v>
          </cell>
          <cell r="S17">
            <v>1495</v>
          </cell>
          <cell r="T17" t="str">
            <v>0</v>
          </cell>
          <cell r="U17">
            <v>747</v>
          </cell>
          <cell r="V17" t="str">
            <v>0</v>
          </cell>
          <cell r="W17">
            <v>770</v>
          </cell>
          <cell r="X17">
            <v>2720</v>
          </cell>
          <cell r="Y17" t="str">
            <v>0</v>
          </cell>
          <cell r="Z17" t="str">
            <v>0</v>
          </cell>
          <cell r="AA17" t="str">
            <v>0</v>
          </cell>
          <cell r="AB17" t="str">
            <v>0</v>
          </cell>
          <cell r="AC17" t="str">
            <v>0</v>
          </cell>
          <cell r="AD17" t="str">
            <v>0</v>
          </cell>
          <cell r="AE17" t="str">
            <v>0</v>
          </cell>
        </row>
        <row r="18">
          <cell r="D18" t="str">
            <v>11-Jan</v>
          </cell>
          <cell r="E18" t="str">
            <v>0</v>
          </cell>
          <cell r="F18" t="str">
            <v>0</v>
          </cell>
          <cell r="G18" t="str">
            <v>0</v>
          </cell>
          <cell r="H18" t="str">
            <v>0</v>
          </cell>
          <cell r="I18" t="str">
            <v>0</v>
          </cell>
          <cell r="J18">
            <v>1</v>
          </cell>
          <cell r="K18">
            <v>2</v>
          </cell>
          <cell r="L18" t="str">
            <v>0</v>
          </cell>
          <cell r="M18" t="str">
            <v>0</v>
          </cell>
          <cell r="N18" t="str">
            <v>0</v>
          </cell>
          <cell r="O18" t="str">
            <v>0</v>
          </cell>
          <cell r="P18" t="str">
            <v>0</v>
          </cell>
          <cell r="Q18" t="str">
            <v>0</v>
          </cell>
          <cell r="R18" t="str">
            <v>0</v>
          </cell>
          <cell r="S18" t="str">
            <v>0</v>
          </cell>
          <cell r="T18" t="str">
            <v>0</v>
          </cell>
          <cell r="U18" t="str">
            <v>0</v>
          </cell>
          <cell r="V18" t="str">
            <v>0</v>
          </cell>
          <cell r="W18" t="str">
            <v>0</v>
          </cell>
          <cell r="X18">
            <v>659</v>
          </cell>
          <cell r="Y18">
            <v>1613</v>
          </cell>
          <cell r="Z18" t="str">
            <v>0</v>
          </cell>
          <cell r="AA18" t="str">
            <v>0</v>
          </cell>
          <cell r="AB18" t="str">
            <v>0</v>
          </cell>
          <cell r="AC18" t="str">
            <v>0</v>
          </cell>
          <cell r="AD18" t="str">
            <v>0</v>
          </cell>
          <cell r="AE18" t="str">
            <v>0</v>
          </cell>
        </row>
        <row r="19">
          <cell r="D19" t="str">
            <v>12-Jan</v>
          </cell>
          <cell r="E19">
            <v>2</v>
          </cell>
          <cell r="F19" t="str">
            <v>0</v>
          </cell>
          <cell r="G19">
            <v>4</v>
          </cell>
          <cell r="H19" t="str">
            <v>0</v>
          </cell>
          <cell r="I19">
            <v>2</v>
          </cell>
          <cell r="J19" t="str">
            <v>0</v>
          </cell>
          <cell r="K19">
            <v>2</v>
          </cell>
          <cell r="L19" t="str">
            <v>0</v>
          </cell>
          <cell r="M19" t="str">
            <v>0</v>
          </cell>
          <cell r="N19" t="str">
            <v>0</v>
          </cell>
          <cell r="O19" t="str">
            <v>0</v>
          </cell>
          <cell r="P19" t="str">
            <v>0</v>
          </cell>
          <cell r="Q19" t="str">
            <v>0</v>
          </cell>
          <cell r="R19" t="str">
            <v>0</v>
          </cell>
          <cell r="S19">
            <v>753</v>
          </cell>
          <cell r="T19" t="str">
            <v>0</v>
          </cell>
          <cell r="U19">
            <v>5282</v>
          </cell>
          <cell r="V19" t="str">
            <v>0</v>
          </cell>
          <cell r="W19">
            <v>4060</v>
          </cell>
          <cell r="X19" t="str">
            <v>0</v>
          </cell>
          <cell r="Y19">
            <v>1690</v>
          </cell>
          <cell r="Z19" t="str">
            <v>0</v>
          </cell>
          <cell r="AA19" t="str">
            <v>0</v>
          </cell>
          <cell r="AB19" t="str">
            <v>0</v>
          </cell>
          <cell r="AC19" t="str">
            <v>0</v>
          </cell>
          <cell r="AD19" t="str">
            <v>0</v>
          </cell>
          <cell r="AE19" t="str">
            <v>0</v>
          </cell>
        </row>
        <row r="20">
          <cell r="D20" t="str">
            <v>13-Jan</v>
          </cell>
          <cell r="E20" t="str">
            <v>0</v>
          </cell>
          <cell r="F20" t="str">
            <v>0</v>
          </cell>
          <cell r="G20">
            <v>1</v>
          </cell>
          <cell r="H20" t="str">
            <v>0</v>
          </cell>
          <cell r="I20" t="str">
            <v>0</v>
          </cell>
          <cell r="J20">
            <v>1</v>
          </cell>
          <cell r="K20">
            <v>1</v>
          </cell>
          <cell r="L20" t="str">
            <v>0</v>
          </cell>
          <cell r="M20" t="str">
            <v>0</v>
          </cell>
          <cell r="N20" t="str">
            <v>0</v>
          </cell>
          <cell r="O20" t="str">
            <v>0</v>
          </cell>
          <cell r="P20" t="str">
            <v>0</v>
          </cell>
          <cell r="Q20" t="str">
            <v>0</v>
          </cell>
          <cell r="R20" t="str">
            <v>0</v>
          </cell>
          <cell r="S20" t="str">
            <v>0</v>
          </cell>
          <cell r="T20" t="str">
            <v>0</v>
          </cell>
          <cell r="U20">
            <v>508</v>
          </cell>
          <cell r="V20" t="str">
            <v>0</v>
          </cell>
          <cell r="W20" t="str">
            <v>0</v>
          </cell>
          <cell r="X20">
            <v>572</v>
          </cell>
          <cell r="Y20">
            <v>1309</v>
          </cell>
          <cell r="Z20" t="str">
            <v>0</v>
          </cell>
          <cell r="AA20" t="str">
            <v>0</v>
          </cell>
          <cell r="AB20" t="str">
            <v>0</v>
          </cell>
          <cell r="AC20" t="str">
            <v>0</v>
          </cell>
          <cell r="AD20" t="str">
            <v>0</v>
          </cell>
          <cell r="AE20" t="str">
            <v>0</v>
          </cell>
        </row>
        <row r="21">
          <cell r="D21" t="str">
            <v>14-Jan</v>
          </cell>
          <cell r="E21" t="str">
            <v>0</v>
          </cell>
          <cell r="F21" t="str">
            <v>0</v>
          </cell>
          <cell r="G21">
            <v>2</v>
          </cell>
          <cell r="H21" t="str">
            <v>0</v>
          </cell>
          <cell r="I21" t="str">
            <v>0</v>
          </cell>
          <cell r="J21" t="str">
            <v>0</v>
          </cell>
          <cell r="K21" t="str">
            <v>0</v>
          </cell>
          <cell r="L21" t="str">
            <v>0</v>
          </cell>
          <cell r="M21" t="str">
            <v>0</v>
          </cell>
          <cell r="N21" t="str">
            <v>0</v>
          </cell>
          <cell r="O21" t="str">
            <v>0</v>
          </cell>
          <cell r="P21" t="str">
            <v>0</v>
          </cell>
          <cell r="Q21" t="str">
            <v>0</v>
          </cell>
          <cell r="R21" t="str">
            <v>0</v>
          </cell>
          <cell r="S21" t="str">
            <v>0</v>
          </cell>
          <cell r="T21" t="str">
            <v>0</v>
          </cell>
          <cell r="U21">
            <v>3391</v>
          </cell>
          <cell r="V21" t="str">
            <v>0</v>
          </cell>
          <cell r="W21" t="str">
            <v>0</v>
          </cell>
          <cell r="X21" t="str">
            <v>0</v>
          </cell>
          <cell r="Y21" t="str">
            <v>0</v>
          </cell>
          <cell r="Z21" t="str">
            <v>0</v>
          </cell>
          <cell r="AA21" t="str">
            <v>0</v>
          </cell>
          <cell r="AB21" t="str">
            <v>0</v>
          </cell>
          <cell r="AC21" t="str">
            <v>0</v>
          </cell>
          <cell r="AD21" t="str">
            <v>0</v>
          </cell>
          <cell r="AE21" t="str">
            <v>0</v>
          </cell>
        </row>
        <row r="22">
          <cell r="D22" t="str">
            <v>15-Jan</v>
          </cell>
          <cell r="E22">
            <v>2</v>
          </cell>
          <cell r="F22" t="str">
            <v>0</v>
          </cell>
          <cell r="G22" t="str">
            <v>0</v>
          </cell>
          <cell r="H22" t="str">
            <v>0</v>
          </cell>
          <cell r="I22" t="str">
            <v>0</v>
          </cell>
          <cell r="J22" t="str">
            <v>0</v>
          </cell>
          <cell r="K22" t="str">
            <v>0</v>
          </cell>
          <cell r="L22" t="str">
            <v>0</v>
          </cell>
          <cell r="M22" t="str">
            <v>0</v>
          </cell>
          <cell r="N22" t="str">
            <v>0</v>
          </cell>
          <cell r="O22" t="str">
            <v>0</v>
          </cell>
          <cell r="P22" t="str">
            <v>0</v>
          </cell>
          <cell r="Q22" t="str">
            <v>0</v>
          </cell>
          <cell r="R22" t="str">
            <v>0</v>
          </cell>
          <cell r="S22">
            <v>600</v>
          </cell>
          <cell r="T22" t="str">
            <v>0</v>
          </cell>
          <cell r="U22" t="str">
            <v>0</v>
          </cell>
          <cell r="V22" t="str">
            <v>0</v>
          </cell>
          <cell r="W22" t="str">
            <v>0</v>
          </cell>
          <cell r="X22" t="str">
            <v>0</v>
          </cell>
          <cell r="Y22" t="str">
            <v>0</v>
          </cell>
          <cell r="Z22" t="str">
            <v>0</v>
          </cell>
          <cell r="AA22" t="str">
            <v>0</v>
          </cell>
          <cell r="AB22" t="str">
            <v>0</v>
          </cell>
          <cell r="AC22" t="str">
            <v>0</v>
          </cell>
          <cell r="AD22" t="str">
            <v>0</v>
          </cell>
          <cell r="AE22" t="str">
            <v>0</v>
          </cell>
        </row>
        <row r="23">
          <cell r="D23" t="str">
            <v>16-Jan</v>
          </cell>
          <cell r="E23" t="str">
            <v>0</v>
          </cell>
          <cell r="F23" t="str">
            <v>0</v>
          </cell>
          <cell r="G23" t="str">
            <v>0</v>
          </cell>
          <cell r="H23" t="str">
            <v>0</v>
          </cell>
          <cell r="I23" t="str">
            <v>0</v>
          </cell>
          <cell r="J23" t="str">
            <v>0</v>
          </cell>
          <cell r="K23" t="str">
            <v>0</v>
          </cell>
          <cell r="L23" t="str">
            <v>0</v>
          </cell>
          <cell r="M23" t="str">
            <v>0</v>
          </cell>
          <cell r="N23" t="str">
            <v>0</v>
          </cell>
          <cell r="O23" t="str">
            <v>0</v>
          </cell>
          <cell r="P23" t="str">
            <v>0</v>
          </cell>
          <cell r="Q23" t="str">
            <v>0</v>
          </cell>
          <cell r="R23" t="str">
            <v>0</v>
          </cell>
          <cell r="S23" t="str">
            <v>0</v>
          </cell>
          <cell r="T23" t="str">
            <v>0</v>
          </cell>
          <cell r="U23" t="str">
            <v>0</v>
          </cell>
          <cell r="V23" t="str">
            <v>0</v>
          </cell>
          <cell r="W23" t="str">
            <v>0</v>
          </cell>
          <cell r="X23" t="str">
            <v>0</v>
          </cell>
          <cell r="Y23" t="str">
            <v>0</v>
          </cell>
          <cell r="Z23" t="str">
            <v>0</v>
          </cell>
          <cell r="AA23" t="str">
            <v>0</v>
          </cell>
          <cell r="AB23" t="str">
            <v>0</v>
          </cell>
          <cell r="AC23" t="str">
            <v>0</v>
          </cell>
          <cell r="AD23" t="str">
            <v>0</v>
          </cell>
          <cell r="AE23" t="str">
            <v>0</v>
          </cell>
        </row>
        <row r="24">
          <cell r="D24" t="str">
            <v>17-Jan</v>
          </cell>
          <cell r="E24">
            <v>1</v>
          </cell>
          <cell r="F24" t="str">
            <v>0</v>
          </cell>
          <cell r="G24" t="str">
            <v>0</v>
          </cell>
          <cell r="H24">
            <v>1</v>
          </cell>
          <cell r="I24">
            <v>1</v>
          </cell>
          <cell r="J24" t="str">
            <v>0</v>
          </cell>
          <cell r="K24" t="str">
            <v>0</v>
          </cell>
          <cell r="L24" t="str">
            <v>0</v>
          </cell>
          <cell r="M24" t="str">
            <v>0</v>
          </cell>
          <cell r="N24" t="str">
            <v>0</v>
          </cell>
          <cell r="O24" t="str">
            <v>0</v>
          </cell>
          <cell r="P24" t="str">
            <v>0</v>
          </cell>
          <cell r="Q24" t="str">
            <v>0</v>
          </cell>
          <cell r="R24" t="str">
            <v>0</v>
          </cell>
          <cell r="S24">
            <v>410</v>
          </cell>
          <cell r="T24" t="str">
            <v>0</v>
          </cell>
          <cell r="U24" t="str">
            <v>0</v>
          </cell>
          <cell r="V24">
            <v>924</v>
          </cell>
          <cell r="W24">
            <v>2541</v>
          </cell>
          <cell r="X24" t="str">
            <v>0</v>
          </cell>
          <cell r="Y24" t="str">
            <v>0</v>
          </cell>
          <cell r="Z24" t="str">
            <v>0</v>
          </cell>
          <cell r="AA24" t="str">
            <v>0</v>
          </cell>
          <cell r="AB24" t="str">
            <v>0</v>
          </cell>
          <cell r="AC24" t="str">
            <v>0</v>
          </cell>
          <cell r="AD24" t="str">
            <v>0</v>
          </cell>
          <cell r="AE24" t="str">
            <v>0</v>
          </cell>
        </row>
        <row r="25">
          <cell r="D25" t="str">
            <v>18-Jan</v>
          </cell>
          <cell r="E25" t="str">
            <v>0</v>
          </cell>
          <cell r="F25" t="str">
            <v>0</v>
          </cell>
          <cell r="G25">
            <v>1</v>
          </cell>
          <cell r="H25" t="str">
            <v>0</v>
          </cell>
          <cell r="I25" t="str">
            <v>0</v>
          </cell>
          <cell r="J25" t="str">
            <v>0</v>
          </cell>
          <cell r="K25">
            <v>1</v>
          </cell>
          <cell r="L25" t="str">
            <v>0</v>
          </cell>
          <cell r="M25" t="str">
            <v>0</v>
          </cell>
          <cell r="N25" t="str">
            <v>0</v>
          </cell>
          <cell r="O25" t="str">
            <v>0</v>
          </cell>
          <cell r="P25" t="str">
            <v>0</v>
          </cell>
          <cell r="Q25" t="str">
            <v>0</v>
          </cell>
          <cell r="R25" t="str">
            <v>0</v>
          </cell>
          <cell r="S25" t="str">
            <v>0</v>
          </cell>
          <cell r="T25" t="str">
            <v>0</v>
          </cell>
          <cell r="U25">
            <v>3003</v>
          </cell>
          <cell r="V25" t="str">
            <v>0</v>
          </cell>
          <cell r="W25" t="str">
            <v>0</v>
          </cell>
          <cell r="X25" t="str">
            <v>0</v>
          </cell>
          <cell r="Y25">
            <v>1232</v>
          </cell>
          <cell r="Z25" t="str">
            <v>0</v>
          </cell>
          <cell r="AA25" t="str">
            <v>0</v>
          </cell>
          <cell r="AB25" t="str">
            <v>0</v>
          </cell>
          <cell r="AC25" t="str">
            <v>0</v>
          </cell>
          <cell r="AD25" t="str">
            <v>0</v>
          </cell>
          <cell r="AE25" t="str">
            <v>0</v>
          </cell>
        </row>
        <row r="26">
          <cell r="D26" t="str">
            <v>19-Jan</v>
          </cell>
          <cell r="E26" t="str">
            <v>0</v>
          </cell>
          <cell r="F26" t="str">
            <v>0</v>
          </cell>
          <cell r="G26">
            <v>3</v>
          </cell>
          <cell r="H26" t="str">
            <v>0</v>
          </cell>
          <cell r="I26">
            <v>2</v>
          </cell>
          <cell r="J26">
            <v>2</v>
          </cell>
          <cell r="K26" t="str">
            <v>0</v>
          </cell>
          <cell r="L26" t="str">
            <v>0</v>
          </cell>
          <cell r="M26" t="str">
            <v>0</v>
          </cell>
          <cell r="N26" t="str">
            <v>0</v>
          </cell>
          <cell r="O26" t="str">
            <v>0</v>
          </cell>
          <cell r="P26" t="str">
            <v>0</v>
          </cell>
          <cell r="Q26" t="str">
            <v>0</v>
          </cell>
          <cell r="R26" t="str">
            <v>0</v>
          </cell>
          <cell r="S26" t="str">
            <v>0</v>
          </cell>
          <cell r="T26" t="str">
            <v>0</v>
          </cell>
          <cell r="U26">
            <v>11100</v>
          </cell>
          <cell r="V26" t="str">
            <v>0</v>
          </cell>
          <cell r="W26">
            <v>2433</v>
          </cell>
          <cell r="X26">
            <v>1293</v>
          </cell>
          <cell r="Y26" t="str">
            <v>0</v>
          </cell>
          <cell r="Z26" t="str">
            <v>0</v>
          </cell>
          <cell r="AA26" t="str">
            <v>0</v>
          </cell>
          <cell r="AB26" t="str">
            <v>0</v>
          </cell>
          <cell r="AC26" t="str">
            <v>0</v>
          </cell>
          <cell r="AD26" t="str">
            <v>0</v>
          </cell>
          <cell r="AE26" t="str">
            <v>0</v>
          </cell>
        </row>
        <row r="27">
          <cell r="D27" t="str">
            <v>20-Jan</v>
          </cell>
          <cell r="E27" t="str">
            <v>0</v>
          </cell>
          <cell r="F27" t="str">
            <v>0</v>
          </cell>
          <cell r="G27">
            <v>2</v>
          </cell>
          <cell r="H27" t="str">
            <v>0</v>
          </cell>
          <cell r="I27">
            <v>1</v>
          </cell>
          <cell r="J27">
            <v>1</v>
          </cell>
          <cell r="K27" t="str">
            <v>0</v>
          </cell>
          <cell r="L27" t="str">
            <v>0</v>
          </cell>
          <cell r="M27" t="str">
            <v>0</v>
          </cell>
          <cell r="N27" t="str">
            <v>0</v>
          </cell>
          <cell r="O27" t="str">
            <v>0</v>
          </cell>
          <cell r="P27" t="str">
            <v>0</v>
          </cell>
          <cell r="Q27" t="str">
            <v>0</v>
          </cell>
          <cell r="R27" t="str">
            <v>0</v>
          </cell>
          <cell r="S27" t="str">
            <v>0</v>
          </cell>
          <cell r="T27" t="str">
            <v>0</v>
          </cell>
          <cell r="U27">
            <v>1971</v>
          </cell>
          <cell r="V27" t="str">
            <v>0</v>
          </cell>
          <cell r="W27">
            <v>531</v>
          </cell>
          <cell r="X27">
            <v>2156</v>
          </cell>
          <cell r="Y27" t="str">
            <v>0</v>
          </cell>
          <cell r="Z27" t="str">
            <v>0</v>
          </cell>
          <cell r="AA27" t="str">
            <v>0</v>
          </cell>
          <cell r="AB27" t="str">
            <v>0</v>
          </cell>
          <cell r="AC27" t="str">
            <v>0</v>
          </cell>
          <cell r="AD27" t="str">
            <v>0</v>
          </cell>
          <cell r="AE27" t="str">
            <v>0</v>
          </cell>
        </row>
        <row r="28">
          <cell r="D28" t="str">
            <v>21-Jan</v>
          </cell>
          <cell r="E28" t="str">
            <v>0</v>
          </cell>
          <cell r="F28" t="str">
            <v>0</v>
          </cell>
          <cell r="G28">
            <v>3</v>
          </cell>
          <cell r="H28" t="str">
            <v>0</v>
          </cell>
          <cell r="I28" t="str">
            <v>0</v>
          </cell>
          <cell r="J28" t="str">
            <v>0</v>
          </cell>
          <cell r="K28" t="str">
            <v>0</v>
          </cell>
          <cell r="L28" t="str">
            <v>0</v>
          </cell>
          <cell r="M28" t="str">
            <v>0</v>
          </cell>
          <cell r="N28" t="str">
            <v>0</v>
          </cell>
          <cell r="O28" t="str">
            <v>0</v>
          </cell>
          <cell r="P28" t="str">
            <v>0</v>
          </cell>
          <cell r="Q28" t="str">
            <v>0</v>
          </cell>
          <cell r="R28" t="str">
            <v>0</v>
          </cell>
          <cell r="S28" t="str">
            <v>0</v>
          </cell>
          <cell r="T28" t="str">
            <v>0</v>
          </cell>
          <cell r="U28">
            <v>1937</v>
          </cell>
          <cell r="V28" t="str">
            <v>0</v>
          </cell>
          <cell r="W28" t="str">
            <v>0</v>
          </cell>
          <cell r="X28" t="str">
            <v>0</v>
          </cell>
          <cell r="Y28" t="str">
            <v>0</v>
          </cell>
          <cell r="Z28" t="str">
            <v>0</v>
          </cell>
          <cell r="AA28" t="str">
            <v>0</v>
          </cell>
          <cell r="AB28" t="str">
            <v>0</v>
          </cell>
          <cell r="AC28" t="str">
            <v>0</v>
          </cell>
          <cell r="AD28" t="str">
            <v>0</v>
          </cell>
          <cell r="AE28" t="str">
            <v>0</v>
          </cell>
        </row>
        <row r="29">
          <cell r="D29" t="str">
            <v>22-Jan</v>
          </cell>
          <cell r="E29">
            <v>1</v>
          </cell>
          <cell r="F29" t="str">
            <v>0</v>
          </cell>
          <cell r="G29">
            <v>1</v>
          </cell>
          <cell r="H29" t="str">
            <v>0</v>
          </cell>
          <cell r="I29" t="str">
            <v>0</v>
          </cell>
          <cell r="J29">
            <v>4</v>
          </cell>
          <cell r="K29" t="str">
            <v>0</v>
          </cell>
          <cell r="L29" t="str">
            <v>0</v>
          </cell>
          <cell r="M29" t="str">
            <v>0</v>
          </cell>
          <cell r="N29" t="str">
            <v>0</v>
          </cell>
          <cell r="O29" t="str">
            <v>0</v>
          </cell>
          <cell r="P29" t="str">
            <v>0</v>
          </cell>
          <cell r="Q29" t="str">
            <v>0</v>
          </cell>
          <cell r="R29" t="str">
            <v>0</v>
          </cell>
          <cell r="S29">
            <v>476</v>
          </cell>
          <cell r="T29" t="str">
            <v>0</v>
          </cell>
          <cell r="U29">
            <v>1868</v>
          </cell>
          <cell r="V29" t="str">
            <v>0</v>
          </cell>
          <cell r="W29" t="str">
            <v>0</v>
          </cell>
          <cell r="X29">
            <v>5048</v>
          </cell>
          <cell r="Y29" t="str">
            <v>0</v>
          </cell>
          <cell r="Z29" t="str">
            <v>0</v>
          </cell>
          <cell r="AA29" t="str">
            <v>0</v>
          </cell>
          <cell r="AB29" t="str">
            <v>0</v>
          </cell>
          <cell r="AC29" t="str">
            <v>0</v>
          </cell>
          <cell r="AD29" t="str">
            <v>0</v>
          </cell>
          <cell r="AE29" t="str">
            <v>0</v>
          </cell>
        </row>
        <row r="30">
          <cell r="D30" t="str">
            <v>23-Jan</v>
          </cell>
          <cell r="E30" t="str">
            <v>0</v>
          </cell>
          <cell r="F30" t="str">
            <v>0</v>
          </cell>
          <cell r="G30" t="str">
            <v>0</v>
          </cell>
          <cell r="H30" t="str">
            <v>0</v>
          </cell>
          <cell r="I30" t="str">
            <v>0</v>
          </cell>
          <cell r="J30" t="str">
            <v>0</v>
          </cell>
          <cell r="K30" t="str">
            <v>0</v>
          </cell>
          <cell r="L30" t="str">
            <v>0</v>
          </cell>
          <cell r="M30" t="str">
            <v>0</v>
          </cell>
          <cell r="N30" t="str">
            <v>0</v>
          </cell>
          <cell r="O30" t="str">
            <v>0</v>
          </cell>
          <cell r="P30" t="str">
            <v>0</v>
          </cell>
          <cell r="Q30" t="str">
            <v>0</v>
          </cell>
          <cell r="R30" t="str">
            <v>0</v>
          </cell>
          <cell r="S30" t="str">
            <v>0</v>
          </cell>
          <cell r="T30" t="str">
            <v>0</v>
          </cell>
          <cell r="U30" t="str">
            <v>0</v>
          </cell>
          <cell r="V30" t="str">
            <v>0</v>
          </cell>
          <cell r="W30" t="str">
            <v>0</v>
          </cell>
          <cell r="X30" t="str">
            <v>0</v>
          </cell>
          <cell r="Y30" t="str">
            <v>0</v>
          </cell>
          <cell r="Z30" t="str">
            <v>0</v>
          </cell>
          <cell r="AA30" t="str">
            <v>0</v>
          </cell>
          <cell r="AB30" t="str">
            <v>0</v>
          </cell>
          <cell r="AC30" t="str">
            <v>0</v>
          </cell>
          <cell r="AD30" t="str">
            <v>0</v>
          </cell>
          <cell r="AE30" t="str">
            <v>0</v>
          </cell>
        </row>
        <row r="31">
          <cell r="D31" t="str">
            <v>24-Jan</v>
          </cell>
          <cell r="E31" t="str">
            <v>0</v>
          </cell>
          <cell r="F31" t="str">
            <v>0</v>
          </cell>
          <cell r="G31">
            <v>2</v>
          </cell>
          <cell r="H31" t="str">
            <v>0</v>
          </cell>
          <cell r="I31">
            <v>1</v>
          </cell>
          <cell r="J31" t="str">
            <v>0</v>
          </cell>
          <cell r="K31">
            <v>1</v>
          </cell>
          <cell r="L31" t="str">
            <v>0</v>
          </cell>
          <cell r="M31" t="str">
            <v>0</v>
          </cell>
          <cell r="N31" t="str">
            <v>0</v>
          </cell>
          <cell r="O31" t="str">
            <v>0</v>
          </cell>
          <cell r="P31" t="str">
            <v>0</v>
          </cell>
          <cell r="Q31" t="str">
            <v>0</v>
          </cell>
          <cell r="R31" t="str">
            <v>0</v>
          </cell>
          <cell r="S31" t="str">
            <v>0</v>
          </cell>
          <cell r="T31" t="str">
            <v>0</v>
          </cell>
          <cell r="U31">
            <v>2236</v>
          </cell>
          <cell r="V31" t="str">
            <v>0</v>
          </cell>
          <cell r="W31">
            <v>960</v>
          </cell>
          <cell r="X31" t="str">
            <v>0</v>
          </cell>
          <cell r="Y31">
            <v>1295</v>
          </cell>
          <cell r="Z31" t="str">
            <v>0</v>
          </cell>
          <cell r="AA31" t="str">
            <v>0</v>
          </cell>
          <cell r="AB31" t="str">
            <v>0</v>
          </cell>
          <cell r="AC31" t="str">
            <v>0</v>
          </cell>
          <cell r="AD31" t="str">
            <v>0</v>
          </cell>
          <cell r="AE31" t="str">
            <v>0</v>
          </cell>
        </row>
        <row r="32">
          <cell r="D32" t="str">
            <v>25-Jan</v>
          </cell>
          <cell r="E32" t="str">
            <v>0</v>
          </cell>
          <cell r="F32" t="str">
            <v>0</v>
          </cell>
          <cell r="G32">
            <v>2</v>
          </cell>
          <cell r="H32" t="str">
            <v>0</v>
          </cell>
          <cell r="I32">
            <v>2</v>
          </cell>
          <cell r="J32" t="str">
            <v>0</v>
          </cell>
          <cell r="K32" t="str">
            <v>0</v>
          </cell>
          <cell r="L32" t="str">
            <v>0</v>
          </cell>
          <cell r="M32" t="str">
            <v>0</v>
          </cell>
          <cell r="N32" t="str">
            <v>0</v>
          </cell>
          <cell r="O32" t="str">
            <v>0</v>
          </cell>
          <cell r="P32" t="str">
            <v>0</v>
          </cell>
          <cell r="Q32" t="str">
            <v>0</v>
          </cell>
          <cell r="R32" t="str">
            <v>0</v>
          </cell>
          <cell r="S32" t="str">
            <v>0</v>
          </cell>
          <cell r="T32" t="str">
            <v>0</v>
          </cell>
          <cell r="U32">
            <v>10241</v>
          </cell>
          <cell r="V32" t="str">
            <v>0</v>
          </cell>
          <cell r="W32">
            <v>5966</v>
          </cell>
          <cell r="X32" t="str">
            <v>0</v>
          </cell>
          <cell r="Y32" t="str">
            <v>0</v>
          </cell>
          <cell r="Z32" t="str">
            <v>0</v>
          </cell>
          <cell r="AA32" t="str">
            <v>0</v>
          </cell>
          <cell r="AB32" t="str">
            <v>0</v>
          </cell>
          <cell r="AC32" t="str">
            <v>0</v>
          </cell>
          <cell r="AD32" t="str">
            <v>0</v>
          </cell>
          <cell r="AE32" t="str">
            <v>0</v>
          </cell>
        </row>
        <row r="33">
          <cell r="D33" t="str">
            <v>26-Jan</v>
          </cell>
          <cell r="E33" t="str">
            <v>0</v>
          </cell>
          <cell r="F33" t="str">
            <v>0</v>
          </cell>
          <cell r="G33">
            <v>2</v>
          </cell>
          <cell r="H33" t="str">
            <v>0</v>
          </cell>
          <cell r="I33" t="str">
            <v>0</v>
          </cell>
          <cell r="J33" t="str">
            <v>0</v>
          </cell>
          <cell r="K33">
            <v>1</v>
          </cell>
          <cell r="L33" t="str">
            <v>0</v>
          </cell>
          <cell r="M33" t="str">
            <v>0</v>
          </cell>
          <cell r="N33" t="str">
            <v>0</v>
          </cell>
          <cell r="O33" t="str">
            <v>0</v>
          </cell>
          <cell r="P33" t="str">
            <v>0</v>
          </cell>
          <cell r="Q33" t="str">
            <v>0</v>
          </cell>
          <cell r="R33" t="str">
            <v>0</v>
          </cell>
          <cell r="S33" t="str">
            <v>0</v>
          </cell>
          <cell r="T33" t="str">
            <v>0</v>
          </cell>
          <cell r="U33">
            <v>1578</v>
          </cell>
          <cell r="V33" t="str">
            <v>0</v>
          </cell>
          <cell r="W33" t="str">
            <v>0</v>
          </cell>
          <cell r="X33" t="str">
            <v>0</v>
          </cell>
          <cell r="Y33">
            <v>1463</v>
          </cell>
          <cell r="Z33" t="str">
            <v>0</v>
          </cell>
          <cell r="AA33" t="str">
            <v>0</v>
          </cell>
          <cell r="AB33" t="str">
            <v>0</v>
          </cell>
          <cell r="AC33" t="str">
            <v>0</v>
          </cell>
          <cell r="AD33" t="str">
            <v>0</v>
          </cell>
          <cell r="AE33" t="str">
            <v>0</v>
          </cell>
        </row>
        <row r="34">
          <cell r="D34" t="str">
            <v>27-Jan</v>
          </cell>
          <cell r="E34" t="str">
            <v>0</v>
          </cell>
          <cell r="F34" t="str">
            <v>0</v>
          </cell>
          <cell r="G34" t="str">
            <v>0</v>
          </cell>
          <cell r="H34">
            <v>1</v>
          </cell>
          <cell r="I34" t="str">
            <v>0</v>
          </cell>
          <cell r="J34" t="str">
            <v>0</v>
          </cell>
          <cell r="K34" t="str">
            <v>0</v>
          </cell>
          <cell r="L34" t="str">
            <v>0</v>
          </cell>
          <cell r="M34" t="str">
            <v>0</v>
          </cell>
          <cell r="N34" t="str">
            <v>0</v>
          </cell>
          <cell r="O34" t="str">
            <v>0</v>
          </cell>
          <cell r="P34" t="str">
            <v>0</v>
          </cell>
          <cell r="Q34" t="str">
            <v>0</v>
          </cell>
          <cell r="R34" t="str">
            <v>0</v>
          </cell>
          <cell r="S34" t="str">
            <v>0</v>
          </cell>
          <cell r="T34" t="str">
            <v>0</v>
          </cell>
          <cell r="U34" t="str">
            <v>0</v>
          </cell>
          <cell r="V34">
            <v>733</v>
          </cell>
          <cell r="W34" t="str">
            <v>0</v>
          </cell>
          <cell r="X34" t="str">
            <v>0</v>
          </cell>
          <cell r="Y34" t="str">
            <v>0</v>
          </cell>
          <cell r="Z34" t="str">
            <v>0</v>
          </cell>
          <cell r="AA34" t="str">
            <v>0</v>
          </cell>
          <cell r="AB34" t="str">
            <v>0</v>
          </cell>
          <cell r="AC34" t="str">
            <v>0</v>
          </cell>
          <cell r="AD34" t="str">
            <v>0</v>
          </cell>
          <cell r="AE34" t="str">
            <v>0</v>
          </cell>
        </row>
        <row r="35">
          <cell r="D35" t="str">
            <v>28-Jan</v>
          </cell>
          <cell r="E35" t="str">
            <v>0</v>
          </cell>
          <cell r="F35" t="str">
            <v>0</v>
          </cell>
          <cell r="G35">
            <v>3</v>
          </cell>
          <cell r="H35" t="str">
            <v>0</v>
          </cell>
          <cell r="I35">
            <v>1</v>
          </cell>
          <cell r="J35" t="str">
            <v>0</v>
          </cell>
          <cell r="K35">
            <v>1</v>
          </cell>
          <cell r="L35" t="str">
            <v>0</v>
          </cell>
          <cell r="M35" t="str">
            <v>0</v>
          </cell>
          <cell r="N35" t="str">
            <v>0</v>
          </cell>
          <cell r="O35" t="str">
            <v>0</v>
          </cell>
          <cell r="P35" t="str">
            <v>0</v>
          </cell>
          <cell r="Q35" t="str">
            <v>0</v>
          </cell>
          <cell r="R35" t="str">
            <v>0</v>
          </cell>
          <cell r="S35" t="str">
            <v>0</v>
          </cell>
          <cell r="T35" t="str">
            <v>0</v>
          </cell>
          <cell r="U35">
            <v>4866</v>
          </cell>
          <cell r="V35" t="str">
            <v>0</v>
          </cell>
          <cell r="W35">
            <v>2240</v>
          </cell>
          <cell r="X35" t="str">
            <v>0</v>
          </cell>
          <cell r="Y35">
            <v>1078</v>
          </cell>
          <cell r="Z35" t="str">
            <v>0</v>
          </cell>
          <cell r="AA35" t="str">
            <v>0</v>
          </cell>
          <cell r="AB35" t="str">
            <v>0</v>
          </cell>
          <cell r="AC35" t="str">
            <v>0</v>
          </cell>
          <cell r="AD35" t="str">
            <v>0</v>
          </cell>
          <cell r="AE35" t="str">
            <v>0</v>
          </cell>
        </row>
        <row r="36">
          <cell r="D36" t="str">
            <v>29-Jan</v>
          </cell>
          <cell r="E36" t="str">
            <v>0</v>
          </cell>
          <cell r="F36" t="str">
            <v>0</v>
          </cell>
          <cell r="G36" t="str">
            <v>0</v>
          </cell>
          <cell r="H36">
            <v>1</v>
          </cell>
          <cell r="I36">
            <v>3</v>
          </cell>
          <cell r="J36" t="str">
            <v>0</v>
          </cell>
          <cell r="K36" t="str">
            <v>0</v>
          </cell>
          <cell r="L36" t="str">
            <v>0</v>
          </cell>
          <cell r="M36" t="str">
            <v>0</v>
          </cell>
          <cell r="N36" t="str">
            <v>0</v>
          </cell>
          <cell r="O36" t="str">
            <v>0</v>
          </cell>
          <cell r="P36" t="str">
            <v>0</v>
          </cell>
          <cell r="Q36" t="str">
            <v>0</v>
          </cell>
          <cell r="R36" t="str">
            <v>0</v>
          </cell>
          <cell r="S36" t="str">
            <v>0</v>
          </cell>
          <cell r="T36" t="str">
            <v>0</v>
          </cell>
          <cell r="U36" t="str">
            <v>0</v>
          </cell>
          <cell r="V36">
            <v>880</v>
          </cell>
          <cell r="W36">
            <v>2929</v>
          </cell>
          <cell r="X36" t="str">
            <v>0</v>
          </cell>
          <cell r="Y36" t="str">
            <v>0</v>
          </cell>
          <cell r="Z36" t="str">
            <v>0</v>
          </cell>
          <cell r="AA36" t="str">
            <v>0</v>
          </cell>
          <cell r="AB36" t="str">
            <v>0</v>
          </cell>
          <cell r="AC36" t="str">
            <v>0</v>
          </cell>
          <cell r="AD36" t="str">
            <v>0</v>
          </cell>
          <cell r="AE36" t="str">
            <v>0</v>
          </cell>
        </row>
        <row r="37">
          <cell r="D37" t="str">
            <v>30-Jan</v>
          </cell>
          <cell r="E37" t="str">
            <v>0</v>
          </cell>
          <cell r="F37" t="str">
            <v>0</v>
          </cell>
          <cell r="G37">
            <v>1</v>
          </cell>
          <cell r="H37">
            <v>1</v>
          </cell>
          <cell r="I37">
            <v>2</v>
          </cell>
          <cell r="J37" t="str">
            <v>0</v>
          </cell>
          <cell r="K37">
            <v>2</v>
          </cell>
          <cell r="L37" t="str">
            <v>0</v>
          </cell>
          <cell r="M37" t="str">
            <v>0</v>
          </cell>
          <cell r="N37" t="str">
            <v>0</v>
          </cell>
          <cell r="O37" t="str">
            <v>0</v>
          </cell>
          <cell r="P37" t="str">
            <v>0</v>
          </cell>
          <cell r="Q37" t="str">
            <v>0</v>
          </cell>
          <cell r="R37" t="str">
            <v>0</v>
          </cell>
          <cell r="S37" t="str">
            <v>0</v>
          </cell>
          <cell r="T37" t="str">
            <v>0</v>
          </cell>
          <cell r="U37">
            <v>1771</v>
          </cell>
          <cell r="V37">
            <v>924</v>
          </cell>
          <cell r="W37">
            <v>1107</v>
          </cell>
          <cell r="X37" t="str">
            <v>0</v>
          </cell>
          <cell r="Y37">
            <v>1036</v>
          </cell>
          <cell r="Z37" t="str">
            <v>0</v>
          </cell>
          <cell r="AA37" t="str">
            <v>0</v>
          </cell>
          <cell r="AB37" t="str">
            <v>0</v>
          </cell>
          <cell r="AC37" t="str">
            <v>0</v>
          </cell>
          <cell r="AD37" t="str">
            <v>0</v>
          </cell>
          <cell r="AE37" t="str">
            <v>0</v>
          </cell>
        </row>
        <row r="38">
          <cell r="D38" t="str">
            <v>31-Jan</v>
          </cell>
          <cell r="E38">
            <v>1</v>
          </cell>
          <cell r="F38" t="str">
            <v>0</v>
          </cell>
          <cell r="G38">
            <v>1</v>
          </cell>
          <cell r="H38">
            <v>1</v>
          </cell>
          <cell r="I38" t="str">
            <v>0</v>
          </cell>
          <cell r="J38">
            <v>1</v>
          </cell>
          <cell r="K38" t="str">
            <v>0</v>
          </cell>
          <cell r="L38" t="str">
            <v>0</v>
          </cell>
          <cell r="M38">
            <v>1</v>
          </cell>
          <cell r="N38" t="str">
            <v>0</v>
          </cell>
          <cell r="O38" t="str">
            <v>0</v>
          </cell>
          <cell r="P38" t="str">
            <v>0</v>
          </cell>
          <cell r="Q38" t="str">
            <v>0</v>
          </cell>
          <cell r="R38" t="str">
            <v>0</v>
          </cell>
          <cell r="S38">
            <v>500</v>
          </cell>
          <cell r="T38" t="str">
            <v>0</v>
          </cell>
          <cell r="U38">
            <v>1001</v>
          </cell>
          <cell r="V38">
            <v>1463</v>
          </cell>
          <cell r="W38" t="str">
            <v>0</v>
          </cell>
          <cell r="X38">
            <v>1001</v>
          </cell>
          <cell r="Y38" t="str">
            <v>0</v>
          </cell>
          <cell r="Z38" t="str">
            <v>0</v>
          </cell>
          <cell r="AA38">
            <v>1848</v>
          </cell>
          <cell r="AB38" t="str">
            <v>0</v>
          </cell>
          <cell r="AC38" t="str">
            <v>0</v>
          </cell>
          <cell r="AD38" t="str">
            <v>0</v>
          </cell>
          <cell r="AE38" t="str">
            <v>0</v>
          </cell>
        </row>
        <row r="39">
          <cell r="D39" t="str">
            <v>01-Feb</v>
          </cell>
          <cell r="E39" t="str">
            <v>0</v>
          </cell>
          <cell r="F39" t="str">
            <v>0</v>
          </cell>
          <cell r="G39">
            <v>4</v>
          </cell>
          <cell r="H39" t="str">
            <v>0</v>
          </cell>
          <cell r="I39" t="str">
            <v>0</v>
          </cell>
          <cell r="J39" t="str">
            <v>0</v>
          </cell>
          <cell r="K39">
            <v>13</v>
          </cell>
          <cell r="L39" t="str">
            <v>0</v>
          </cell>
          <cell r="M39" t="str">
            <v>0</v>
          </cell>
          <cell r="N39" t="str">
            <v>0</v>
          </cell>
          <cell r="O39" t="str">
            <v>0</v>
          </cell>
          <cell r="P39" t="str">
            <v>0</v>
          </cell>
          <cell r="Q39" t="str">
            <v>0</v>
          </cell>
          <cell r="R39" t="str">
            <v>0</v>
          </cell>
          <cell r="S39" t="str">
            <v>0</v>
          </cell>
          <cell r="T39" t="str">
            <v>0</v>
          </cell>
          <cell r="U39">
            <v>2651</v>
          </cell>
          <cell r="V39" t="str">
            <v>0</v>
          </cell>
          <cell r="W39" t="str">
            <v>0</v>
          </cell>
          <cell r="X39" t="str">
            <v>0</v>
          </cell>
          <cell r="Y39">
            <v>15218</v>
          </cell>
          <cell r="Z39" t="str">
            <v>0</v>
          </cell>
          <cell r="AA39" t="str">
            <v>0</v>
          </cell>
          <cell r="AB39" t="str">
            <v>0</v>
          </cell>
          <cell r="AC39" t="str">
            <v>0</v>
          </cell>
          <cell r="AD39" t="str">
            <v>0</v>
          </cell>
          <cell r="AE39" t="str">
            <v>0</v>
          </cell>
        </row>
        <row r="40">
          <cell r="D40" t="str">
            <v>02-Feb</v>
          </cell>
          <cell r="E40">
            <v>3</v>
          </cell>
          <cell r="F40" t="str">
            <v>0</v>
          </cell>
          <cell r="G40">
            <v>1</v>
          </cell>
          <cell r="H40" t="str">
            <v>0</v>
          </cell>
          <cell r="I40" t="str">
            <v>0</v>
          </cell>
          <cell r="J40" t="str">
            <v>0</v>
          </cell>
          <cell r="K40">
            <v>2</v>
          </cell>
          <cell r="L40" t="str">
            <v>0</v>
          </cell>
          <cell r="M40" t="str">
            <v>0</v>
          </cell>
          <cell r="N40" t="str">
            <v>0</v>
          </cell>
          <cell r="O40" t="str">
            <v>0</v>
          </cell>
          <cell r="P40" t="str">
            <v>0</v>
          </cell>
          <cell r="Q40" t="str">
            <v>0</v>
          </cell>
          <cell r="R40" t="str">
            <v>0</v>
          </cell>
          <cell r="S40">
            <v>3564</v>
          </cell>
          <cell r="T40" t="str">
            <v>0</v>
          </cell>
          <cell r="U40">
            <v>1309</v>
          </cell>
          <cell r="V40" t="str">
            <v>0</v>
          </cell>
          <cell r="W40" t="str">
            <v>0</v>
          </cell>
          <cell r="X40" t="str">
            <v>0</v>
          </cell>
          <cell r="Y40">
            <v>1048</v>
          </cell>
          <cell r="Z40" t="str">
            <v>0</v>
          </cell>
          <cell r="AA40" t="str">
            <v>0</v>
          </cell>
          <cell r="AB40" t="str">
            <v>0</v>
          </cell>
          <cell r="AC40" t="str">
            <v>0</v>
          </cell>
          <cell r="AD40" t="str">
            <v>0</v>
          </cell>
          <cell r="AE40" t="str">
            <v>0</v>
          </cell>
        </row>
        <row r="41">
          <cell r="D41" t="str">
            <v>03-Feb</v>
          </cell>
          <cell r="E41">
            <v>1</v>
          </cell>
          <cell r="F41" t="str">
            <v>0</v>
          </cell>
          <cell r="G41">
            <v>3</v>
          </cell>
          <cell r="H41" t="str">
            <v>0</v>
          </cell>
          <cell r="I41">
            <v>1</v>
          </cell>
          <cell r="J41" t="str">
            <v>0</v>
          </cell>
          <cell r="K41">
            <v>3</v>
          </cell>
          <cell r="L41" t="str">
            <v>0</v>
          </cell>
          <cell r="M41" t="str">
            <v>0</v>
          </cell>
          <cell r="N41" t="str">
            <v>0</v>
          </cell>
          <cell r="O41" t="str">
            <v>0</v>
          </cell>
          <cell r="P41" t="str">
            <v>0</v>
          </cell>
          <cell r="Q41" t="str">
            <v>0</v>
          </cell>
          <cell r="R41" t="str">
            <v>0</v>
          </cell>
          <cell r="S41">
            <v>2500</v>
          </cell>
          <cell r="T41" t="str">
            <v>0</v>
          </cell>
          <cell r="U41">
            <v>6373</v>
          </cell>
          <cell r="V41" t="str">
            <v>0</v>
          </cell>
          <cell r="W41">
            <v>2156</v>
          </cell>
          <cell r="X41" t="str">
            <v>0</v>
          </cell>
          <cell r="Y41">
            <v>3311</v>
          </cell>
          <cell r="Z41" t="str">
            <v>0</v>
          </cell>
          <cell r="AA41" t="str">
            <v>0</v>
          </cell>
          <cell r="AB41" t="str">
            <v>0</v>
          </cell>
          <cell r="AC41" t="str">
            <v>0</v>
          </cell>
          <cell r="AD41" t="str">
            <v>0</v>
          </cell>
          <cell r="AE41" t="str">
            <v>0</v>
          </cell>
        </row>
        <row r="42">
          <cell r="D42" t="str">
            <v>04-Feb</v>
          </cell>
          <cell r="E42" t="str">
            <v>0</v>
          </cell>
          <cell r="F42" t="str">
            <v>0</v>
          </cell>
          <cell r="G42">
            <v>1</v>
          </cell>
          <cell r="H42" t="str">
            <v>0</v>
          </cell>
          <cell r="I42" t="str">
            <v>0</v>
          </cell>
          <cell r="J42" t="str">
            <v>0</v>
          </cell>
          <cell r="K42" t="str">
            <v>0</v>
          </cell>
          <cell r="L42" t="str">
            <v>0</v>
          </cell>
          <cell r="M42" t="str">
            <v>0</v>
          </cell>
          <cell r="N42" t="str">
            <v>0</v>
          </cell>
          <cell r="O42" t="str">
            <v>0</v>
          </cell>
          <cell r="P42" t="str">
            <v>0</v>
          </cell>
          <cell r="Q42" t="str">
            <v>0</v>
          </cell>
          <cell r="R42" t="str">
            <v>0</v>
          </cell>
          <cell r="S42" t="str">
            <v>0</v>
          </cell>
          <cell r="T42" t="str">
            <v>0</v>
          </cell>
          <cell r="U42">
            <v>645</v>
          </cell>
          <cell r="V42" t="str">
            <v>0</v>
          </cell>
          <cell r="W42" t="str">
            <v>0</v>
          </cell>
          <cell r="X42" t="str">
            <v>0</v>
          </cell>
          <cell r="Y42" t="str">
            <v>0</v>
          </cell>
          <cell r="Z42" t="str">
            <v>0</v>
          </cell>
          <cell r="AA42" t="str">
            <v>0</v>
          </cell>
          <cell r="AB42" t="str">
            <v>0</v>
          </cell>
          <cell r="AC42" t="str">
            <v>0</v>
          </cell>
          <cell r="AD42" t="str">
            <v>0</v>
          </cell>
          <cell r="AE42" t="str">
            <v>0</v>
          </cell>
        </row>
        <row r="43">
          <cell r="D43" t="str">
            <v>05-Feb</v>
          </cell>
          <cell r="E43">
            <v>5</v>
          </cell>
          <cell r="F43" t="str">
            <v>0</v>
          </cell>
          <cell r="G43">
            <v>1</v>
          </cell>
          <cell r="H43" t="str">
            <v>0</v>
          </cell>
          <cell r="I43">
            <v>1</v>
          </cell>
          <cell r="J43" t="str">
            <v>0</v>
          </cell>
          <cell r="K43">
            <v>5</v>
          </cell>
          <cell r="L43" t="str">
            <v>0</v>
          </cell>
          <cell r="M43" t="str">
            <v>0</v>
          </cell>
          <cell r="N43" t="str">
            <v>0</v>
          </cell>
          <cell r="O43" t="str">
            <v>0</v>
          </cell>
          <cell r="P43" t="str">
            <v>0</v>
          </cell>
          <cell r="Q43" t="str">
            <v>0</v>
          </cell>
          <cell r="R43" t="str">
            <v>0</v>
          </cell>
          <cell r="S43">
            <v>2700</v>
          </cell>
          <cell r="T43" t="str">
            <v>0</v>
          </cell>
          <cell r="U43">
            <v>2464</v>
          </cell>
          <cell r="V43" t="str">
            <v>0</v>
          </cell>
          <cell r="W43">
            <v>2400</v>
          </cell>
          <cell r="X43" t="str">
            <v>0</v>
          </cell>
          <cell r="Y43">
            <v>4512</v>
          </cell>
          <cell r="Z43" t="str">
            <v>0</v>
          </cell>
          <cell r="AA43" t="str">
            <v>0</v>
          </cell>
          <cell r="AB43" t="str">
            <v>0</v>
          </cell>
          <cell r="AC43" t="str">
            <v>0</v>
          </cell>
          <cell r="AD43" t="str">
            <v>0</v>
          </cell>
          <cell r="AE43" t="str">
            <v>0</v>
          </cell>
        </row>
        <row r="44">
          <cell r="D44" t="str">
            <v>06-Feb</v>
          </cell>
          <cell r="E44" t="str">
            <v>0</v>
          </cell>
          <cell r="F44" t="str">
            <v>0</v>
          </cell>
          <cell r="G44">
            <v>2</v>
          </cell>
          <cell r="H44" t="str">
            <v>0</v>
          </cell>
          <cell r="I44" t="str">
            <v>0</v>
          </cell>
          <cell r="J44" t="str">
            <v>0</v>
          </cell>
          <cell r="K44">
            <v>2</v>
          </cell>
          <cell r="L44" t="str">
            <v>0</v>
          </cell>
          <cell r="M44">
            <v>1</v>
          </cell>
          <cell r="N44" t="str">
            <v>0</v>
          </cell>
          <cell r="O44" t="str">
            <v>0</v>
          </cell>
          <cell r="P44" t="str">
            <v>0</v>
          </cell>
          <cell r="Q44" t="str">
            <v>0</v>
          </cell>
          <cell r="R44" t="str">
            <v>0</v>
          </cell>
          <cell r="S44" t="str">
            <v>0</v>
          </cell>
          <cell r="T44" t="str">
            <v>0</v>
          </cell>
          <cell r="U44">
            <v>2464</v>
          </cell>
          <cell r="V44" t="str">
            <v>0</v>
          </cell>
          <cell r="W44" t="str">
            <v>0</v>
          </cell>
          <cell r="X44" t="str">
            <v>0</v>
          </cell>
          <cell r="Y44">
            <v>886</v>
          </cell>
          <cell r="Z44" t="str">
            <v>0</v>
          </cell>
          <cell r="AA44">
            <v>1001</v>
          </cell>
          <cell r="AB44" t="str">
            <v>0</v>
          </cell>
          <cell r="AC44" t="str">
            <v>0</v>
          </cell>
          <cell r="AD44" t="str">
            <v>0</v>
          </cell>
          <cell r="AE44" t="str">
            <v>0</v>
          </cell>
        </row>
        <row r="45">
          <cell r="D45" t="str">
            <v>07-Feb</v>
          </cell>
          <cell r="E45" t="str">
            <v>0</v>
          </cell>
          <cell r="F45" t="str">
            <v>0</v>
          </cell>
          <cell r="G45" t="str">
            <v>0</v>
          </cell>
          <cell r="H45" t="str">
            <v>0</v>
          </cell>
          <cell r="I45" t="str">
            <v>0</v>
          </cell>
          <cell r="J45">
            <v>1</v>
          </cell>
          <cell r="K45" t="str">
            <v>0</v>
          </cell>
          <cell r="L45" t="str">
            <v>0</v>
          </cell>
          <cell r="M45" t="str">
            <v>0</v>
          </cell>
          <cell r="N45" t="str">
            <v>0</v>
          </cell>
          <cell r="O45" t="str">
            <v>0</v>
          </cell>
          <cell r="P45" t="str">
            <v>0</v>
          </cell>
          <cell r="Q45" t="str">
            <v>0</v>
          </cell>
          <cell r="R45" t="str">
            <v>0</v>
          </cell>
          <cell r="S45" t="str">
            <v>0</v>
          </cell>
          <cell r="T45" t="str">
            <v>0</v>
          </cell>
          <cell r="U45" t="str">
            <v>0</v>
          </cell>
          <cell r="V45" t="str">
            <v>0</v>
          </cell>
          <cell r="W45" t="str">
            <v>0</v>
          </cell>
          <cell r="X45">
            <v>2156</v>
          </cell>
          <cell r="Y45" t="str">
            <v>0</v>
          </cell>
          <cell r="Z45" t="str">
            <v>0</v>
          </cell>
          <cell r="AA45" t="str">
            <v>0</v>
          </cell>
          <cell r="AB45" t="str">
            <v>0</v>
          </cell>
          <cell r="AC45" t="str">
            <v>0</v>
          </cell>
          <cell r="AD45" t="str">
            <v>0</v>
          </cell>
          <cell r="AE45" t="str">
            <v>0</v>
          </cell>
        </row>
        <row r="46">
          <cell r="D46" t="str">
            <v>08-Feb</v>
          </cell>
          <cell r="E46" t="str">
            <v>0</v>
          </cell>
          <cell r="F46" t="str">
            <v>0</v>
          </cell>
          <cell r="G46">
            <v>5</v>
          </cell>
          <cell r="H46" t="str">
            <v>0</v>
          </cell>
          <cell r="I46" t="str">
            <v>0</v>
          </cell>
          <cell r="J46" t="str">
            <v>0</v>
          </cell>
          <cell r="K46">
            <v>2</v>
          </cell>
          <cell r="L46" t="str">
            <v>0</v>
          </cell>
          <cell r="M46" t="str">
            <v>0</v>
          </cell>
          <cell r="N46" t="str">
            <v>0</v>
          </cell>
          <cell r="O46" t="str">
            <v>0</v>
          </cell>
          <cell r="P46" t="str">
            <v>0</v>
          </cell>
          <cell r="Q46" t="str">
            <v>0</v>
          </cell>
          <cell r="R46" t="str">
            <v>0</v>
          </cell>
          <cell r="S46" t="str">
            <v>0</v>
          </cell>
          <cell r="T46" t="str">
            <v>0</v>
          </cell>
          <cell r="U46">
            <v>3526</v>
          </cell>
          <cell r="V46" t="str">
            <v>0</v>
          </cell>
          <cell r="W46" t="str">
            <v>0</v>
          </cell>
          <cell r="X46" t="str">
            <v>0</v>
          </cell>
          <cell r="Y46">
            <v>1405</v>
          </cell>
          <cell r="Z46" t="str">
            <v>0</v>
          </cell>
          <cell r="AA46" t="str">
            <v>0</v>
          </cell>
          <cell r="AB46" t="str">
            <v>0</v>
          </cell>
          <cell r="AC46" t="str">
            <v>0</v>
          </cell>
          <cell r="AD46" t="str">
            <v>0</v>
          </cell>
          <cell r="AE46" t="str">
            <v>0</v>
          </cell>
        </row>
        <row r="47">
          <cell r="D47" t="str">
            <v>09-Feb</v>
          </cell>
          <cell r="E47">
            <v>1</v>
          </cell>
          <cell r="F47" t="str">
            <v>0</v>
          </cell>
          <cell r="G47">
            <v>1</v>
          </cell>
          <cell r="H47">
            <v>1</v>
          </cell>
          <cell r="I47">
            <v>1</v>
          </cell>
          <cell r="J47" t="str">
            <v>0</v>
          </cell>
          <cell r="K47" t="str">
            <v>0</v>
          </cell>
          <cell r="L47" t="str">
            <v>0</v>
          </cell>
          <cell r="M47" t="str">
            <v>0</v>
          </cell>
          <cell r="N47" t="str">
            <v>0</v>
          </cell>
          <cell r="O47" t="str">
            <v>0</v>
          </cell>
          <cell r="P47" t="str">
            <v>0</v>
          </cell>
          <cell r="Q47" t="str">
            <v>0</v>
          </cell>
          <cell r="R47" t="str">
            <v>0</v>
          </cell>
          <cell r="S47">
            <v>645</v>
          </cell>
          <cell r="T47" t="str">
            <v>0</v>
          </cell>
          <cell r="U47">
            <v>2156</v>
          </cell>
          <cell r="V47">
            <v>3696</v>
          </cell>
          <cell r="W47">
            <v>513</v>
          </cell>
          <cell r="X47" t="str">
            <v>0</v>
          </cell>
          <cell r="Y47" t="str">
            <v>0</v>
          </cell>
          <cell r="Z47" t="str">
            <v>0</v>
          </cell>
          <cell r="AA47" t="str">
            <v>0</v>
          </cell>
          <cell r="AB47" t="str">
            <v>0</v>
          </cell>
          <cell r="AC47" t="str">
            <v>0</v>
          </cell>
          <cell r="AD47" t="str">
            <v>0</v>
          </cell>
          <cell r="AE47" t="str">
            <v>0</v>
          </cell>
        </row>
        <row r="48">
          <cell r="D48" t="str">
            <v>10-Feb</v>
          </cell>
          <cell r="E48">
            <v>1</v>
          </cell>
          <cell r="F48" t="str">
            <v>0</v>
          </cell>
          <cell r="G48">
            <v>2</v>
          </cell>
          <cell r="H48" t="str">
            <v>0</v>
          </cell>
          <cell r="I48">
            <v>1</v>
          </cell>
          <cell r="J48" t="str">
            <v>0</v>
          </cell>
          <cell r="K48" t="str">
            <v>0</v>
          </cell>
          <cell r="L48" t="str">
            <v>0</v>
          </cell>
          <cell r="M48" t="str">
            <v>0</v>
          </cell>
          <cell r="N48" t="str">
            <v>0</v>
          </cell>
          <cell r="O48" t="str">
            <v>0</v>
          </cell>
          <cell r="P48" t="str">
            <v>0</v>
          </cell>
          <cell r="Q48" t="str">
            <v>0</v>
          </cell>
          <cell r="R48" t="str">
            <v>0</v>
          </cell>
          <cell r="S48">
            <v>924</v>
          </cell>
          <cell r="T48" t="str">
            <v>0</v>
          </cell>
          <cell r="U48">
            <v>2594</v>
          </cell>
          <cell r="V48" t="str">
            <v>0</v>
          </cell>
          <cell r="W48">
            <v>1232</v>
          </cell>
          <cell r="X48" t="str">
            <v>0</v>
          </cell>
          <cell r="Y48" t="str">
            <v>0</v>
          </cell>
          <cell r="Z48" t="str">
            <v>0</v>
          </cell>
          <cell r="AA48" t="str">
            <v>0</v>
          </cell>
          <cell r="AB48" t="str">
            <v>0</v>
          </cell>
          <cell r="AC48" t="str">
            <v>0</v>
          </cell>
          <cell r="AD48" t="str">
            <v>0</v>
          </cell>
          <cell r="AE48" t="str">
            <v>0</v>
          </cell>
        </row>
        <row r="49">
          <cell r="D49" t="str">
            <v>11-Feb</v>
          </cell>
          <cell r="E49">
            <v>1</v>
          </cell>
          <cell r="F49" t="str">
            <v>0</v>
          </cell>
          <cell r="G49">
            <v>3</v>
          </cell>
          <cell r="H49" t="str">
            <v>0</v>
          </cell>
          <cell r="I49">
            <v>1</v>
          </cell>
          <cell r="J49" t="str">
            <v>0</v>
          </cell>
          <cell r="K49" t="str">
            <v>0</v>
          </cell>
          <cell r="L49" t="str">
            <v>0</v>
          </cell>
          <cell r="M49" t="str">
            <v>0</v>
          </cell>
          <cell r="N49" t="str">
            <v>0</v>
          </cell>
          <cell r="O49" t="str">
            <v>0</v>
          </cell>
          <cell r="P49" t="str">
            <v>0</v>
          </cell>
          <cell r="Q49" t="str">
            <v>0</v>
          </cell>
          <cell r="R49" t="str">
            <v>0</v>
          </cell>
          <cell r="S49">
            <v>598</v>
          </cell>
          <cell r="T49" t="str">
            <v>0</v>
          </cell>
          <cell r="U49">
            <v>3571</v>
          </cell>
          <cell r="V49" t="str">
            <v>0</v>
          </cell>
          <cell r="W49">
            <v>1062</v>
          </cell>
          <cell r="X49" t="str">
            <v>0</v>
          </cell>
          <cell r="Y49" t="str">
            <v>0</v>
          </cell>
          <cell r="Z49" t="str">
            <v>0</v>
          </cell>
          <cell r="AA49" t="str">
            <v>0</v>
          </cell>
          <cell r="AB49" t="str">
            <v>0</v>
          </cell>
          <cell r="AC49" t="str">
            <v>0</v>
          </cell>
          <cell r="AD49" t="str">
            <v>0</v>
          </cell>
          <cell r="AE49" t="str">
            <v>0</v>
          </cell>
        </row>
        <row r="50">
          <cell r="D50" t="str">
            <v>12-Feb</v>
          </cell>
          <cell r="E50" t="str">
            <v>0</v>
          </cell>
          <cell r="F50" t="str">
            <v>0</v>
          </cell>
          <cell r="G50">
            <v>1</v>
          </cell>
          <cell r="H50" t="str">
            <v>0</v>
          </cell>
          <cell r="I50" t="str">
            <v>0</v>
          </cell>
          <cell r="J50" t="str">
            <v>0</v>
          </cell>
          <cell r="K50" t="str">
            <v>0</v>
          </cell>
          <cell r="L50" t="str">
            <v>0</v>
          </cell>
          <cell r="M50" t="str">
            <v>0</v>
          </cell>
          <cell r="N50" t="str">
            <v>0</v>
          </cell>
          <cell r="O50" t="str">
            <v>0</v>
          </cell>
          <cell r="P50" t="str">
            <v>0</v>
          </cell>
          <cell r="Q50" t="str">
            <v>0</v>
          </cell>
          <cell r="R50" t="str">
            <v>0</v>
          </cell>
          <cell r="S50" t="str">
            <v>0</v>
          </cell>
          <cell r="T50" t="str">
            <v>0</v>
          </cell>
          <cell r="U50">
            <v>1925</v>
          </cell>
          <cell r="V50" t="str">
            <v>0</v>
          </cell>
          <cell r="W50" t="str">
            <v>0</v>
          </cell>
          <cell r="X50" t="str">
            <v>0</v>
          </cell>
          <cell r="Y50" t="str">
            <v>0</v>
          </cell>
          <cell r="Z50" t="str">
            <v>0</v>
          </cell>
          <cell r="AA50" t="str">
            <v>0</v>
          </cell>
          <cell r="AB50" t="str">
            <v>0</v>
          </cell>
          <cell r="AC50" t="str">
            <v>0</v>
          </cell>
          <cell r="AD50" t="str">
            <v>0</v>
          </cell>
          <cell r="AE50" t="str">
            <v>0</v>
          </cell>
        </row>
        <row r="51">
          <cell r="D51" t="str">
            <v>13-Feb</v>
          </cell>
          <cell r="E51">
            <v>9</v>
          </cell>
          <cell r="F51" t="str">
            <v>0</v>
          </cell>
          <cell r="G51" t="str">
            <v>0</v>
          </cell>
          <cell r="H51" t="str">
            <v>0</v>
          </cell>
          <cell r="I51" t="str">
            <v>0</v>
          </cell>
          <cell r="J51" t="str">
            <v>0</v>
          </cell>
          <cell r="K51" t="str">
            <v>0</v>
          </cell>
          <cell r="L51" t="str">
            <v>0</v>
          </cell>
          <cell r="M51" t="str">
            <v>0</v>
          </cell>
          <cell r="N51" t="str">
            <v>0</v>
          </cell>
          <cell r="O51" t="str">
            <v>0</v>
          </cell>
          <cell r="P51" t="str">
            <v>0</v>
          </cell>
          <cell r="Q51" t="str">
            <v>0</v>
          </cell>
          <cell r="R51" t="str">
            <v>0</v>
          </cell>
          <cell r="S51">
            <v>8798</v>
          </cell>
          <cell r="T51" t="str">
            <v>0</v>
          </cell>
          <cell r="U51" t="str">
            <v>0</v>
          </cell>
          <cell r="V51" t="str">
            <v>0</v>
          </cell>
          <cell r="W51" t="str">
            <v>0</v>
          </cell>
          <cell r="X51" t="str">
            <v>0</v>
          </cell>
          <cell r="Y51" t="str">
            <v>0</v>
          </cell>
          <cell r="Z51" t="str">
            <v>0</v>
          </cell>
          <cell r="AA51" t="str">
            <v>0</v>
          </cell>
          <cell r="AB51" t="str">
            <v>0</v>
          </cell>
          <cell r="AC51" t="str">
            <v>0</v>
          </cell>
          <cell r="AD51" t="str">
            <v>0</v>
          </cell>
          <cell r="AE51" t="str">
            <v>0</v>
          </cell>
        </row>
        <row r="52">
          <cell r="D52" t="str">
            <v>14-Feb</v>
          </cell>
          <cell r="E52" t="str">
            <v>0</v>
          </cell>
          <cell r="F52" t="str">
            <v>0</v>
          </cell>
          <cell r="G52">
            <v>3</v>
          </cell>
          <cell r="H52" t="str">
            <v>0</v>
          </cell>
          <cell r="I52">
            <v>1</v>
          </cell>
          <cell r="J52" t="str">
            <v>0</v>
          </cell>
          <cell r="K52">
            <v>2</v>
          </cell>
          <cell r="L52" t="str">
            <v>0</v>
          </cell>
          <cell r="M52" t="str">
            <v>0</v>
          </cell>
          <cell r="N52" t="str">
            <v>0</v>
          </cell>
          <cell r="O52" t="str">
            <v>0</v>
          </cell>
          <cell r="P52" t="str">
            <v>0</v>
          </cell>
          <cell r="Q52" t="str">
            <v>0</v>
          </cell>
          <cell r="R52" t="str">
            <v>0</v>
          </cell>
          <cell r="S52" t="str">
            <v>0</v>
          </cell>
          <cell r="T52" t="str">
            <v>0</v>
          </cell>
          <cell r="U52">
            <v>3032</v>
          </cell>
          <cell r="V52" t="str">
            <v>0</v>
          </cell>
          <cell r="W52">
            <v>1001</v>
          </cell>
          <cell r="X52" t="str">
            <v>0</v>
          </cell>
          <cell r="Y52">
            <v>2310</v>
          </cell>
          <cell r="Z52" t="str">
            <v>0</v>
          </cell>
          <cell r="AA52" t="str">
            <v>0</v>
          </cell>
          <cell r="AB52" t="str">
            <v>0</v>
          </cell>
          <cell r="AC52" t="str">
            <v>0</v>
          </cell>
          <cell r="AD52" t="str">
            <v>0</v>
          </cell>
          <cell r="AE52" t="str">
            <v>0</v>
          </cell>
        </row>
        <row r="53">
          <cell r="D53" t="str">
            <v>15-Feb</v>
          </cell>
          <cell r="E53">
            <v>1</v>
          </cell>
          <cell r="F53" t="str">
            <v>0</v>
          </cell>
          <cell r="G53">
            <v>4</v>
          </cell>
          <cell r="H53" t="str">
            <v>0</v>
          </cell>
          <cell r="I53">
            <v>1</v>
          </cell>
          <cell r="J53" t="str">
            <v>0</v>
          </cell>
          <cell r="K53" t="str">
            <v>0</v>
          </cell>
          <cell r="L53" t="str">
            <v>0</v>
          </cell>
          <cell r="M53" t="str">
            <v>0</v>
          </cell>
          <cell r="N53" t="str">
            <v>0</v>
          </cell>
          <cell r="O53" t="str">
            <v>0</v>
          </cell>
          <cell r="P53" t="str">
            <v>0</v>
          </cell>
          <cell r="Q53" t="str">
            <v>0</v>
          </cell>
          <cell r="R53" t="str">
            <v>0</v>
          </cell>
          <cell r="S53">
            <v>1001</v>
          </cell>
          <cell r="T53" t="str">
            <v>0</v>
          </cell>
          <cell r="U53">
            <v>5949</v>
          </cell>
          <cell r="V53" t="str">
            <v>0</v>
          </cell>
          <cell r="W53">
            <v>523</v>
          </cell>
          <cell r="X53" t="str">
            <v>0</v>
          </cell>
          <cell r="Y53" t="str">
            <v>0</v>
          </cell>
          <cell r="Z53" t="str">
            <v>0</v>
          </cell>
          <cell r="AA53" t="str">
            <v>0</v>
          </cell>
          <cell r="AB53" t="str">
            <v>0</v>
          </cell>
          <cell r="AC53" t="str">
            <v>0</v>
          </cell>
          <cell r="AD53" t="str">
            <v>0</v>
          </cell>
          <cell r="AE53" t="str">
            <v>0</v>
          </cell>
        </row>
        <row r="54">
          <cell r="D54" t="str">
            <v>16-Feb</v>
          </cell>
          <cell r="E54" t="str">
            <v>0</v>
          </cell>
          <cell r="F54" t="str">
            <v>0</v>
          </cell>
          <cell r="G54">
            <v>4</v>
          </cell>
          <cell r="H54">
            <v>2</v>
          </cell>
          <cell r="I54">
            <v>3</v>
          </cell>
          <cell r="J54">
            <v>1</v>
          </cell>
          <cell r="K54">
            <v>3</v>
          </cell>
          <cell r="L54" t="str">
            <v>0</v>
          </cell>
          <cell r="M54" t="str">
            <v>0</v>
          </cell>
          <cell r="N54" t="str">
            <v>0</v>
          </cell>
          <cell r="O54" t="str">
            <v>0</v>
          </cell>
          <cell r="P54" t="str">
            <v>0</v>
          </cell>
          <cell r="Q54" t="str">
            <v>0</v>
          </cell>
          <cell r="R54" t="str">
            <v>0</v>
          </cell>
          <cell r="S54" t="str">
            <v>0</v>
          </cell>
          <cell r="T54" t="str">
            <v>0</v>
          </cell>
          <cell r="U54">
            <v>3793</v>
          </cell>
          <cell r="V54">
            <v>1778</v>
          </cell>
          <cell r="W54">
            <v>5197</v>
          </cell>
          <cell r="X54">
            <v>1386</v>
          </cell>
          <cell r="Y54">
            <v>2464</v>
          </cell>
          <cell r="Z54" t="str">
            <v>0</v>
          </cell>
          <cell r="AA54" t="str">
            <v>0</v>
          </cell>
          <cell r="AB54" t="str">
            <v>0</v>
          </cell>
          <cell r="AC54" t="str">
            <v>0</v>
          </cell>
          <cell r="AD54" t="str">
            <v>0</v>
          </cell>
          <cell r="AE54" t="str">
            <v>0</v>
          </cell>
        </row>
        <row r="55">
          <cell r="D55" t="str">
            <v>17-Feb</v>
          </cell>
          <cell r="E55" t="str">
            <v>0</v>
          </cell>
          <cell r="F55" t="str">
            <v>0</v>
          </cell>
          <cell r="G55">
            <v>1</v>
          </cell>
          <cell r="H55" t="str">
            <v>0</v>
          </cell>
          <cell r="I55" t="str">
            <v>0</v>
          </cell>
          <cell r="J55" t="str">
            <v>0</v>
          </cell>
          <cell r="K55" t="str">
            <v>0</v>
          </cell>
          <cell r="L55" t="str">
            <v>0</v>
          </cell>
          <cell r="M55" t="str">
            <v>0</v>
          </cell>
          <cell r="N55" t="str">
            <v>0</v>
          </cell>
          <cell r="O55" t="str">
            <v>0</v>
          </cell>
          <cell r="P55" t="str">
            <v>0</v>
          </cell>
          <cell r="Q55" t="str">
            <v>0</v>
          </cell>
          <cell r="R55" t="str">
            <v>0</v>
          </cell>
          <cell r="S55" t="str">
            <v>0</v>
          </cell>
          <cell r="T55" t="str">
            <v>0</v>
          </cell>
          <cell r="U55">
            <v>1078</v>
          </cell>
          <cell r="V55" t="str">
            <v>0</v>
          </cell>
          <cell r="W55" t="str">
            <v>0</v>
          </cell>
          <cell r="X55" t="str">
            <v>0</v>
          </cell>
          <cell r="Y55" t="str">
            <v>0</v>
          </cell>
          <cell r="Z55" t="str">
            <v>0</v>
          </cell>
          <cell r="AA55" t="str">
            <v>0</v>
          </cell>
          <cell r="AB55" t="str">
            <v>0</v>
          </cell>
          <cell r="AC55" t="str">
            <v>0</v>
          </cell>
          <cell r="AD55" t="str">
            <v>0</v>
          </cell>
          <cell r="AE55" t="str">
            <v>0</v>
          </cell>
        </row>
        <row r="56">
          <cell r="D56" t="str">
            <v>18-Feb</v>
          </cell>
          <cell r="E56">
            <v>2</v>
          </cell>
          <cell r="F56" t="str">
            <v>0</v>
          </cell>
          <cell r="G56" t="str">
            <v>0</v>
          </cell>
          <cell r="H56" t="str">
            <v>0</v>
          </cell>
          <cell r="I56">
            <v>2</v>
          </cell>
          <cell r="J56">
            <v>1</v>
          </cell>
          <cell r="K56">
            <v>1</v>
          </cell>
          <cell r="L56" t="str">
            <v>0</v>
          </cell>
          <cell r="M56" t="str">
            <v>0</v>
          </cell>
          <cell r="N56" t="str">
            <v>0</v>
          </cell>
          <cell r="O56" t="str">
            <v>0</v>
          </cell>
          <cell r="P56" t="str">
            <v>0</v>
          </cell>
          <cell r="Q56" t="str">
            <v>0</v>
          </cell>
          <cell r="R56" t="str">
            <v>0</v>
          </cell>
          <cell r="S56">
            <v>4223</v>
          </cell>
          <cell r="T56" t="str">
            <v>0</v>
          </cell>
          <cell r="U56" t="str">
            <v>0</v>
          </cell>
          <cell r="V56" t="str">
            <v>0</v>
          </cell>
          <cell r="W56">
            <v>5422</v>
          </cell>
          <cell r="X56">
            <v>924</v>
          </cell>
          <cell r="Y56">
            <v>454</v>
          </cell>
          <cell r="Z56" t="str">
            <v>0</v>
          </cell>
          <cell r="AA56" t="str">
            <v>0</v>
          </cell>
          <cell r="AB56" t="str">
            <v>0</v>
          </cell>
          <cell r="AC56" t="str">
            <v>0</v>
          </cell>
          <cell r="AD56" t="str">
            <v>0</v>
          </cell>
          <cell r="AE56" t="str">
            <v>0</v>
          </cell>
        </row>
        <row r="57">
          <cell r="D57" t="str">
            <v>19-Feb</v>
          </cell>
          <cell r="E57">
            <v>1</v>
          </cell>
          <cell r="F57" t="str">
            <v>0</v>
          </cell>
          <cell r="G57" t="str">
            <v>0</v>
          </cell>
          <cell r="H57" t="str">
            <v>0</v>
          </cell>
          <cell r="I57" t="str">
            <v>0</v>
          </cell>
          <cell r="J57" t="str">
            <v>0</v>
          </cell>
          <cell r="K57" t="str">
            <v>0</v>
          </cell>
          <cell r="L57" t="str">
            <v>0</v>
          </cell>
          <cell r="M57" t="str">
            <v>0</v>
          </cell>
          <cell r="N57" t="str">
            <v>0</v>
          </cell>
          <cell r="O57" t="str">
            <v>0</v>
          </cell>
          <cell r="P57" t="str">
            <v>0</v>
          </cell>
          <cell r="Q57" t="str">
            <v>0</v>
          </cell>
          <cell r="R57" t="str">
            <v>0</v>
          </cell>
          <cell r="S57">
            <v>1078</v>
          </cell>
          <cell r="T57" t="str">
            <v>0</v>
          </cell>
          <cell r="U57" t="str">
            <v>0</v>
          </cell>
          <cell r="V57" t="str">
            <v>0</v>
          </cell>
          <cell r="W57" t="str">
            <v>0</v>
          </cell>
          <cell r="X57" t="str">
            <v>0</v>
          </cell>
          <cell r="Y57" t="str">
            <v>0</v>
          </cell>
          <cell r="Z57" t="str">
            <v>0</v>
          </cell>
          <cell r="AA57" t="str">
            <v>0</v>
          </cell>
          <cell r="AB57" t="str">
            <v>0</v>
          </cell>
          <cell r="AC57" t="str">
            <v>0</v>
          </cell>
          <cell r="AD57" t="str">
            <v>0</v>
          </cell>
          <cell r="AE57" t="str">
            <v>0</v>
          </cell>
        </row>
        <row r="58">
          <cell r="D58" t="str">
            <v>20-Feb</v>
          </cell>
          <cell r="E58" t="str">
            <v>0</v>
          </cell>
          <cell r="F58" t="str">
            <v>0</v>
          </cell>
          <cell r="G58" t="str">
            <v>0</v>
          </cell>
          <cell r="H58">
            <v>1</v>
          </cell>
          <cell r="I58" t="str">
            <v>0</v>
          </cell>
          <cell r="J58" t="str">
            <v>0</v>
          </cell>
          <cell r="K58" t="str">
            <v>0</v>
          </cell>
          <cell r="L58" t="str">
            <v>0</v>
          </cell>
          <cell r="M58" t="str">
            <v>0</v>
          </cell>
          <cell r="N58" t="str">
            <v>0</v>
          </cell>
          <cell r="O58" t="str">
            <v>0</v>
          </cell>
          <cell r="P58" t="str">
            <v>0</v>
          </cell>
          <cell r="Q58" t="str">
            <v>0</v>
          </cell>
          <cell r="R58" t="str">
            <v>0</v>
          </cell>
          <cell r="S58" t="str">
            <v>0</v>
          </cell>
          <cell r="T58" t="str">
            <v>0</v>
          </cell>
          <cell r="U58" t="str">
            <v>0</v>
          </cell>
          <cell r="V58">
            <v>1001</v>
          </cell>
          <cell r="W58" t="str">
            <v>0</v>
          </cell>
          <cell r="X58" t="str">
            <v>0</v>
          </cell>
          <cell r="Y58" t="str">
            <v>0</v>
          </cell>
          <cell r="Z58" t="str">
            <v>0</v>
          </cell>
          <cell r="AA58" t="str">
            <v>0</v>
          </cell>
          <cell r="AB58" t="str">
            <v>0</v>
          </cell>
          <cell r="AC58" t="str">
            <v>0</v>
          </cell>
          <cell r="AD58" t="str">
            <v>0</v>
          </cell>
          <cell r="AE58" t="str">
            <v>0</v>
          </cell>
        </row>
        <row r="59">
          <cell r="D59" t="str">
            <v>21-Feb</v>
          </cell>
          <cell r="E59" t="str">
            <v>0</v>
          </cell>
          <cell r="F59" t="str">
            <v>0</v>
          </cell>
          <cell r="G59">
            <v>2</v>
          </cell>
          <cell r="H59" t="str">
            <v>0</v>
          </cell>
          <cell r="I59" t="str">
            <v>0</v>
          </cell>
          <cell r="J59" t="str">
            <v>0</v>
          </cell>
          <cell r="K59">
            <v>2</v>
          </cell>
          <cell r="L59" t="str">
            <v>0</v>
          </cell>
          <cell r="M59" t="str">
            <v>0</v>
          </cell>
          <cell r="N59" t="str">
            <v>0</v>
          </cell>
          <cell r="O59" t="str">
            <v>0</v>
          </cell>
          <cell r="P59" t="str">
            <v>0</v>
          </cell>
          <cell r="Q59" t="str">
            <v>0</v>
          </cell>
          <cell r="R59" t="str">
            <v>0</v>
          </cell>
          <cell r="S59" t="str">
            <v>0</v>
          </cell>
          <cell r="T59" t="str">
            <v>0</v>
          </cell>
          <cell r="U59">
            <v>4737</v>
          </cell>
          <cell r="V59" t="str">
            <v>0</v>
          </cell>
          <cell r="W59" t="str">
            <v>0</v>
          </cell>
          <cell r="X59" t="str">
            <v>0</v>
          </cell>
          <cell r="Y59">
            <v>2307</v>
          </cell>
          <cell r="Z59" t="str">
            <v>0</v>
          </cell>
          <cell r="AA59" t="str">
            <v>0</v>
          </cell>
          <cell r="AB59" t="str">
            <v>0</v>
          </cell>
          <cell r="AC59" t="str">
            <v>0</v>
          </cell>
          <cell r="AD59" t="str">
            <v>0</v>
          </cell>
          <cell r="AE59" t="str">
            <v>0</v>
          </cell>
        </row>
        <row r="60">
          <cell r="D60" t="str">
            <v>22-Feb</v>
          </cell>
          <cell r="E60" t="str">
            <v>0</v>
          </cell>
          <cell r="F60" t="str">
            <v>0</v>
          </cell>
          <cell r="G60" t="str">
            <v>0</v>
          </cell>
          <cell r="H60" t="str">
            <v>0</v>
          </cell>
          <cell r="I60">
            <v>1</v>
          </cell>
          <cell r="J60">
            <v>1</v>
          </cell>
          <cell r="K60">
            <v>1</v>
          </cell>
          <cell r="L60" t="str">
            <v>0</v>
          </cell>
          <cell r="M60" t="str">
            <v>0</v>
          </cell>
          <cell r="N60" t="str">
            <v>0</v>
          </cell>
          <cell r="O60" t="str">
            <v>0</v>
          </cell>
          <cell r="P60" t="str">
            <v>0</v>
          </cell>
          <cell r="Q60" t="str">
            <v>0</v>
          </cell>
          <cell r="R60" t="str">
            <v>0</v>
          </cell>
          <cell r="S60" t="str">
            <v>0</v>
          </cell>
          <cell r="T60" t="str">
            <v>0</v>
          </cell>
          <cell r="U60" t="str">
            <v>0</v>
          </cell>
          <cell r="V60" t="str">
            <v>0</v>
          </cell>
          <cell r="W60">
            <v>1062</v>
          </cell>
          <cell r="X60">
            <v>388</v>
          </cell>
          <cell r="Y60">
            <v>1540</v>
          </cell>
          <cell r="Z60" t="str">
            <v>0</v>
          </cell>
          <cell r="AA60" t="str">
            <v>0</v>
          </cell>
          <cell r="AB60" t="str">
            <v>0</v>
          </cell>
          <cell r="AC60" t="str">
            <v>0</v>
          </cell>
          <cell r="AD60" t="str">
            <v>0</v>
          </cell>
          <cell r="AE60" t="str">
            <v>0</v>
          </cell>
        </row>
        <row r="61">
          <cell r="D61" t="str">
            <v>23-Feb</v>
          </cell>
          <cell r="E61">
            <v>3</v>
          </cell>
          <cell r="F61" t="str">
            <v>0</v>
          </cell>
          <cell r="G61">
            <v>2</v>
          </cell>
          <cell r="H61" t="str">
            <v>0</v>
          </cell>
          <cell r="I61" t="str">
            <v>0</v>
          </cell>
          <cell r="J61" t="str">
            <v>0</v>
          </cell>
          <cell r="K61">
            <v>2</v>
          </cell>
          <cell r="L61" t="str">
            <v>0</v>
          </cell>
          <cell r="M61" t="str">
            <v>0</v>
          </cell>
          <cell r="N61" t="str">
            <v>0</v>
          </cell>
          <cell r="O61" t="str">
            <v>0</v>
          </cell>
          <cell r="P61" t="str">
            <v>0</v>
          </cell>
          <cell r="Q61" t="str">
            <v>0</v>
          </cell>
          <cell r="R61" t="str">
            <v>0</v>
          </cell>
          <cell r="S61">
            <v>2223</v>
          </cell>
          <cell r="T61" t="str">
            <v>0</v>
          </cell>
          <cell r="U61">
            <v>2306</v>
          </cell>
          <cell r="V61" t="str">
            <v>0</v>
          </cell>
          <cell r="W61" t="str">
            <v>0</v>
          </cell>
          <cell r="X61" t="str">
            <v>0</v>
          </cell>
          <cell r="Y61">
            <v>2494</v>
          </cell>
          <cell r="Z61" t="str">
            <v>0</v>
          </cell>
          <cell r="AA61" t="str">
            <v>0</v>
          </cell>
          <cell r="AB61" t="str">
            <v>0</v>
          </cell>
          <cell r="AC61" t="str">
            <v>0</v>
          </cell>
          <cell r="AD61" t="str">
            <v>0</v>
          </cell>
          <cell r="AE61" t="str">
            <v>0</v>
          </cell>
        </row>
        <row r="62">
          <cell r="D62" t="str">
            <v>24-Feb</v>
          </cell>
          <cell r="E62">
            <v>2</v>
          </cell>
          <cell r="F62" t="str">
            <v>0</v>
          </cell>
          <cell r="G62">
            <v>11</v>
          </cell>
          <cell r="H62" t="str">
            <v>0</v>
          </cell>
          <cell r="I62">
            <v>1</v>
          </cell>
          <cell r="J62" t="str">
            <v>0</v>
          </cell>
          <cell r="K62">
            <v>4</v>
          </cell>
          <cell r="L62" t="str">
            <v>0</v>
          </cell>
          <cell r="M62" t="str">
            <v>0</v>
          </cell>
          <cell r="N62" t="str">
            <v>0</v>
          </cell>
          <cell r="O62" t="str">
            <v>0</v>
          </cell>
          <cell r="P62" t="str">
            <v>0</v>
          </cell>
          <cell r="Q62" t="str">
            <v>0</v>
          </cell>
          <cell r="R62" t="str">
            <v>0</v>
          </cell>
          <cell r="S62">
            <v>1817</v>
          </cell>
          <cell r="T62" t="str">
            <v>0</v>
          </cell>
          <cell r="U62">
            <v>11976</v>
          </cell>
          <cell r="V62" t="str">
            <v>0</v>
          </cell>
          <cell r="W62">
            <v>344</v>
          </cell>
          <cell r="X62" t="str">
            <v>0</v>
          </cell>
          <cell r="Y62">
            <v>3840</v>
          </cell>
          <cell r="Z62" t="str">
            <v>0</v>
          </cell>
          <cell r="AA62" t="str">
            <v>0</v>
          </cell>
          <cell r="AB62" t="str">
            <v>0</v>
          </cell>
          <cell r="AC62" t="str">
            <v>0</v>
          </cell>
          <cell r="AD62" t="str">
            <v>0</v>
          </cell>
          <cell r="AE62" t="str">
            <v>0</v>
          </cell>
        </row>
        <row r="63">
          <cell r="D63" t="str">
            <v>25-Feb</v>
          </cell>
          <cell r="E63" t="str">
            <v>0</v>
          </cell>
          <cell r="F63" t="str">
            <v>0</v>
          </cell>
          <cell r="G63" t="str">
            <v>0</v>
          </cell>
          <cell r="H63" t="str">
            <v>0</v>
          </cell>
          <cell r="I63" t="str">
            <v>0</v>
          </cell>
          <cell r="J63">
            <v>1</v>
          </cell>
          <cell r="K63" t="str">
            <v>0</v>
          </cell>
          <cell r="L63" t="str">
            <v>0</v>
          </cell>
          <cell r="M63" t="str">
            <v>0</v>
          </cell>
          <cell r="N63" t="str">
            <v>0</v>
          </cell>
          <cell r="O63" t="str">
            <v>0</v>
          </cell>
          <cell r="P63" t="str">
            <v>0</v>
          </cell>
          <cell r="Q63" t="str">
            <v>0</v>
          </cell>
          <cell r="R63" t="str">
            <v>0</v>
          </cell>
          <cell r="S63" t="str">
            <v>0</v>
          </cell>
          <cell r="T63" t="str">
            <v>0</v>
          </cell>
          <cell r="U63" t="str">
            <v>0</v>
          </cell>
          <cell r="V63" t="str">
            <v>0</v>
          </cell>
          <cell r="W63" t="str">
            <v>0</v>
          </cell>
          <cell r="X63">
            <v>1463</v>
          </cell>
          <cell r="Y63" t="str">
            <v>0</v>
          </cell>
          <cell r="Z63" t="str">
            <v>0</v>
          </cell>
          <cell r="AA63" t="str">
            <v>0</v>
          </cell>
          <cell r="AB63" t="str">
            <v>0</v>
          </cell>
          <cell r="AC63" t="str">
            <v>0</v>
          </cell>
          <cell r="AD63" t="str">
            <v>0</v>
          </cell>
          <cell r="AE63" t="str">
            <v>0</v>
          </cell>
        </row>
        <row r="64">
          <cell r="D64" t="str">
            <v>26-Feb</v>
          </cell>
          <cell r="E64" t="str">
            <v>0</v>
          </cell>
          <cell r="F64" t="str">
            <v>0</v>
          </cell>
          <cell r="G64">
            <v>3</v>
          </cell>
          <cell r="H64" t="str">
            <v>0</v>
          </cell>
          <cell r="I64" t="str">
            <v>0</v>
          </cell>
          <cell r="J64" t="str">
            <v>0</v>
          </cell>
          <cell r="K64" t="str">
            <v>0</v>
          </cell>
          <cell r="L64" t="str">
            <v>0</v>
          </cell>
          <cell r="M64" t="str">
            <v>0</v>
          </cell>
          <cell r="N64" t="str">
            <v>0</v>
          </cell>
          <cell r="O64" t="str">
            <v>0</v>
          </cell>
          <cell r="P64" t="str">
            <v>0</v>
          </cell>
          <cell r="Q64" t="str">
            <v>0</v>
          </cell>
          <cell r="R64" t="str">
            <v>0</v>
          </cell>
          <cell r="S64" t="str">
            <v>0</v>
          </cell>
          <cell r="T64" t="str">
            <v>0</v>
          </cell>
          <cell r="U64">
            <v>5702</v>
          </cell>
          <cell r="V64" t="str">
            <v>0</v>
          </cell>
          <cell r="W64" t="str">
            <v>0</v>
          </cell>
          <cell r="X64" t="str">
            <v>0</v>
          </cell>
          <cell r="Y64" t="str">
            <v>0</v>
          </cell>
          <cell r="Z64" t="str">
            <v>0</v>
          </cell>
          <cell r="AA64" t="str">
            <v>0</v>
          </cell>
          <cell r="AB64" t="str">
            <v>0</v>
          </cell>
          <cell r="AC64" t="str">
            <v>0</v>
          </cell>
          <cell r="AD64" t="str">
            <v>0</v>
          </cell>
          <cell r="AE64" t="str">
            <v>0</v>
          </cell>
        </row>
        <row r="65">
          <cell r="D65" t="str">
            <v>27-Feb</v>
          </cell>
          <cell r="E65" t="str">
            <v>0</v>
          </cell>
          <cell r="F65" t="str">
            <v>0</v>
          </cell>
          <cell r="G65">
            <v>4</v>
          </cell>
          <cell r="H65" t="str">
            <v>0</v>
          </cell>
          <cell r="I65">
            <v>1</v>
          </cell>
          <cell r="J65" t="str">
            <v>0</v>
          </cell>
          <cell r="K65">
            <v>2</v>
          </cell>
          <cell r="L65" t="str">
            <v>0</v>
          </cell>
          <cell r="M65" t="str">
            <v>0</v>
          </cell>
          <cell r="N65" t="str">
            <v>0</v>
          </cell>
          <cell r="O65" t="str">
            <v>0</v>
          </cell>
          <cell r="P65" t="str">
            <v>0</v>
          </cell>
          <cell r="Q65" t="str">
            <v>0</v>
          </cell>
          <cell r="R65" t="str">
            <v>0</v>
          </cell>
          <cell r="S65" t="str">
            <v>0</v>
          </cell>
          <cell r="T65" t="str">
            <v>0</v>
          </cell>
          <cell r="U65">
            <v>2830</v>
          </cell>
          <cell r="V65" t="str">
            <v>0</v>
          </cell>
          <cell r="W65">
            <v>1155</v>
          </cell>
          <cell r="X65" t="str">
            <v>0</v>
          </cell>
          <cell r="Y65">
            <v>2387</v>
          </cell>
          <cell r="Z65" t="str">
            <v>0</v>
          </cell>
          <cell r="AA65" t="str">
            <v>0</v>
          </cell>
          <cell r="AB65" t="str">
            <v>0</v>
          </cell>
          <cell r="AC65" t="str">
            <v>0</v>
          </cell>
          <cell r="AD65" t="str">
            <v>0</v>
          </cell>
          <cell r="AE65" t="str">
            <v>0</v>
          </cell>
        </row>
        <row r="66">
          <cell r="D66" t="str">
            <v>28-Feb</v>
          </cell>
          <cell r="E66" t="str">
            <v>0</v>
          </cell>
          <cell r="F66" t="str">
            <v>0</v>
          </cell>
          <cell r="G66">
            <v>1</v>
          </cell>
          <cell r="H66">
            <v>1</v>
          </cell>
          <cell r="I66" t="str">
            <v>0</v>
          </cell>
          <cell r="J66" t="str">
            <v>0</v>
          </cell>
          <cell r="K66">
            <v>7</v>
          </cell>
          <cell r="L66" t="str">
            <v>0</v>
          </cell>
          <cell r="M66" t="str">
            <v>0</v>
          </cell>
          <cell r="N66" t="str">
            <v>0</v>
          </cell>
          <cell r="O66" t="str">
            <v>0</v>
          </cell>
          <cell r="P66" t="str">
            <v>0</v>
          </cell>
          <cell r="Q66" t="str">
            <v>0</v>
          </cell>
          <cell r="R66" t="str">
            <v>0</v>
          </cell>
          <cell r="S66" t="str">
            <v>0</v>
          </cell>
          <cell r="T66" t="str">
            <v>0</v>
          </cell>
          <cell r="U66">
            <v>1771</v>
          </cell>
          <cell r="V66">
            <v>1155</v>
          </cell>
          <cell r="W66" t="str">
            <v>0</v>
          </cell>
          <cell r="X66" t="str">
            <v>0</v>
          </cell>
          <cell r="Y66">
            <v>6209</v>
          </cell>
          <cell r="Z66" t="str">
            <v>0</v>
          </cell>
          <cell r="AA66" t="str">
            <v>0</v>
          </cell>
          <cell r="AB66" t="str">
            <v>0</v>
          </cell>
          <cell r="AC66" t="str">
            <v>0</v>
          </cell>
          <cell r="AD66" t="str">
            <v>0</v>
          </cell>
          <cell r="AE66" t="str">
            <v>0</v>
          </cell>
        </row>
        <row r="67">
          <cell r="D67" t="str">
            <v>01-Mar</v>
          </cell>
          <cell r="E67" t="str">
            <v>0</v>
          </cell>
          <cell r="F67" t="str">
            <v>0</v>
          </cell>
          <cell r="G67">
            <v>1</v>
          </cell>
          <cell r="H67" t="str">
            <v>0</v>
          </cell>
          <cell r="I67" t="str">
            <v>0</v>
          </cell>
          <cell r="J67" t="str">
            <v>0</v>
          </cell>
          <cell r="K67">
            <v>2</v>
          </cell>
          <cell r="L67" t="str">
            <v>0</v>
          </cell>
          <cell r="M67" t="str">
            <v>0</v>
          </cell>
          <cell r="N67" t="str">
            <v>0</v>
          </cell>
          <cell r="O67" t="str">
            <v>0</v>
          </cell>
          <cell r="P67" t="str">
            <v>0</v>
          </cell>
          <cell r="Q67" t="str">
            <v>0</v>
          </cell>
          <cell r="R67" t="str">
            <v>0</v>
          </cell>
          <cell r="S67" t="str">
            <v>0</v>
          </cell>
          <cell r="T67" t="str">
            <v>0</v>
          </cell>
          <cell r="U67">
            <v>1121</v>
          </cell>
          <cell r="V67" t="str">
            <v>0</v>
          </cell>
          <cell r="W67" t="str">
            <v>0</v>
          </cell>
          <cell r="X67" t="str">
            <v>0</v>
          </cell>
          <cell r="Y67">
            <v>1657</v>
          </cell>
          <cell r="Z67" t="str">
            <v>0</v>
          </cell>
          <cell r="AA67" t="str">
            <v>0</v>
          </cell>
          <cell r="AB67" t="str">
            <v>0</v>
          </cell>
          <cell r="AC67" t="str">
            <v>0</v>
          </cell>
          <cell r="AD67" t="str">
            <v>0</v>
          </cell>
          <cell r="AE67" t="str">
            <v>0</v>
          </cell>
        </row>
        <row r="68">
          <cell r="D68" t="str">
            <v>02-Mar</v>
          </cell>
          <cell r="E68" t="str">
            <v>0</v>
          </cell>
          <cell r="F68" t="str">
            <v>0</v>
          </cell>
          <cell r="G68" t="str">
            <v>0</v>
          </cell>
          <cell r="H68" t="str">
            <v>0</v>
          </cell>
          <cell r="I68" t="str">
            <v>0</v>
          </cell>
          <cell r="J68">
            <v>1</v>
          </cell>
          <cell r="K68">
            <v>1</v>
          </cell>
          <cell r="L68" t="str">
            <v>0</v>
          </cell>
          <cell r="M68" t="str">
            <v>0</v>
          </cell>
          <cell r="N68" t="str">
            <v>0</v>
          </cell>
          <cell r="O68" t="str">
            <v>0</v>
          </cell>
          <cell r="P68" t="str">
            <v>0</v>
          </cell>
          <cell r="Q68" t="str">
            <v>0</v>
          </cell>
          <cell r="R68" t="str">
            <v>0</v>
          </cell>
          <cell r="S68" t="str">
            <v>0</v>
          </cell>
          <cell r="T68" t="str">
            <v>0</v>
          </cell>
          <cell r="U68" t="str">
            <v>0</v>
          </cell>
          <cell r="V68" t="str">
            <v>0</v>
          </cell>
          <cell r="W68" t="str">
            <v>0</v>
          </cell>
          <cell r="X68">
            <v>924</v>
          </cell>
          <cell r="Y68">
            <v>1386</v>
          </cell>
          <cell r="Z68" t="str">
            <v>0</v>
          </cell>
          <cell r="AA68" t="str">
            <v>0</v>
          </cell>
          <cell r="AB68" t="str">
            <v>0</v>
          </cell>
          <cell r="AC68" t="str">
            <v>0</v>
          </cell>
          <cell r="AD68" t="str">
            <v>0</v>
          </cell>
          <cell r="AE68" t="str">
            <v>0</v>
          </cell>
        </row>
        <row r="69">
          <cell r="D69" t="str">
            <v>03-Mar</v>
          </cell>
          <cell r="E69" t="str">
            <v>0</v>
          </cell>
          <cell r="F69" t="str">
            <v>0</v>
          </cell>
          <cell r="G69" t="str">
            <v>0</v>
          </cell>
          <cell r="H69" t="str">
            <v>0</v>
          </cell>
          <cell r="I69">
            <v>1</v>
          </cell>
          <cell r="J69" t="str">
            <v>0</v>
          </cell>
          <cell r="K69" t="str">
            <v>0</v>
          </cell>
          <cell r="L69" t="str">
            <v>0</v>
          </cell>
          <cell r="M69" t="str">
            <v>0</v>
          </cell>
          <cell r="N69" t="str">
            <v>0</v>
          </cell>
          <cell r="O69" t="str">
            <v>0</v>
          </cell>
          <cell r="P69" t="str">
            <v>0</v>
          </cell>
          <cell r="Q69" t="str">
            <v>0</v>
          </cell>
          <cell r="R69" t="str">
            <v>0</v>
          </cell>
          <cell r="S69" t="str">
            <v>0</v>
          </cell>
          <cell r="T69" t="str">
            <v>0</v>
          </cell>
          <cell r="U69" t="str">
            <v>0</v>
          </cell>
          <cell r="V69" t="str">
            <v>0</v>
          </cell>
          <cell r="W69">
            <v>1848</v>
          </cell>
          <cell r="X69" t="str">
            <v>0</v>
          </cell>
          <cell r="Y69" t="str">
            <v>0</v>
          </cell>
          <cell r="Z69" t="str">
            <v>0</v>
          </cell>
          <cell r="AA69" t="str">
            <v>0</v>
          </cell>
          <cell r="AB69" t="str">
            <v>0</v>
          </cell>
          <cell r="AC69" t="str">
            <v>0</v>
          </cell>
          <cell r="AD69" t="str">
            <v>0</v>
          </cell>
          <cell r="AE69" t="str">
            <v>0</v>
          </cell>
        </row>
        <row r="70">
          <cell r="D70" t="str">
            <v>04-Mar</v>
          </cell>
          <cell r="E70" t="str">
            <v>0</v>
          </cell>
          <cell r="F70" t="str">
            <v>0</v>
          </cell>
          <cell r="G70">
            <v>2</v>
          </cell>
          <cell r="H70">
            <v>1</v>
          </cell>
          <cell r="I70" t="str">
            <v>0</v>
          </cell>
          <cell r="J70">
            <v>2</v>
          </cell>
          <cell r="K70" t="str">
            <v>0</v>
          </cell>
          <cell r="L70" t="str">
            <v>0</v>
          </cell>
          <cell r="M70" t="str">
            <v>0</v>
          </cell>
          <cell r="N70" t="str">
            <v>0</v>
          </cell>
          <cell r="O70" t="str">
            <v>0</v>
          </cell>
          <cell r="P70" t="str">
            <v>0</v>
          </cell>
          <cell r="Q70" t="str">
            <v>0</v>
          </cell>
          <cell r="R70" t="str">
            <v>0</v>
          </cell>
          <cell r="S70" t="str">
            <v>0</v>
          </cell>
          <cell r="T70" t="str">
            <v>0</v>
          </cell>
          <cell r="U70">
            <v>2464</v>
          </cell>
          <cell r="V70">
            <v>366</v>
          </cell>
          <cell r="W70" t="str">
            <v>0</v>
          </cell>
          <cell r="X70">
            <v>1028</v>
          </cell>
          <cell r="Y70" t="str">
            <v>0</v>
          </cell>
          <cell r="Z70" t="str">
            <v>0</v>
          </cell>
          <cell r="AA70" t="str">
            <v>0</v>
          </cell>
          <cell r="AB70" t="str">
            <v>0</v>
          </cell>
          <cell r="AC70" t="str">
            <v>0</v>
          </cell>
          <cell r="AD70" t="str">
            <v>0</v>
          </cell>
          <cell r="AE70" t="str">
            <v>0</v>
          </cell>
        </row>
        <row r="71">
          <cell r="D71" t="str">
            <v>05-Mar</v>
          </cell>
          <cell r="E71" t="str">
            <v>0</v>
          </cell>
          <cell r="F71" t="str">
            <v>0</v>
          </cell>
          <cell r="G71">
            <v>3</v>
          </cell>
          <cell r="H71" t="str">
            <v>0</v>
          </cell>
          <cell r="I71" t="str">
            <v>0</v>
          </cell>
          <cell r="J71" t="str">
            <v>0</v>
          </cell>
          <cell r="K71" t="str">
            <v>0</v>
          </cell>
          <cell r="L71" t="str">
            <v>0</v>
          </cell>
          <cell r="M71" t="str">
            <v>0</v>
          </cell>
          <cell r="N71" t="str">
            <v>0</v>
          </cell>
          <cell r="O71" t="str">
            <v>0</v>
          </cell>
          <cell r="P71" t="str">
            <v>0</v>
          </cell>
          <cell r="Q71" t="str">
            <v>0</v>
          </cell>
          <cell r="R71" t="str">
            <v>0</v>
          </cell>
          <cell r="S71" t="str">
            <v>0</v>
          </cell>
          <cell r="T71" t="str">
            <v>0</v>
          </cell>
          <cell r="U71">
            <v>4854</v>
          </cell>
          <cell r="V71" t="str">
            <v>0</v>
          </cell>
          <cell r="W71" t="str">
            <v>0</v>
          </cell>
          <cell r="X71" t="str">
            <v>0</v>
          </cell>
          <cell r="Y71" t="str">
            <v>0</v>
          </cell>
          <cell r="Z71" t="str">
            <v>0</v>
          </cell>
          <cell r="AA71" t="str">
            <v>0</v>
          </cell>
          <cell r="AB71" t="str">
            <v>0</v>
          </cell>
          <cell r="AC71" t="str">
            <v>0</v>
          </cell>
          <cell r="AD71" t="str">
            <v>0</v>
          </cell>
          <cell r="AE71" t="str">
            <v>0</v>
          </cell>
        </row>
        <row r="72">
          <cell r="D72" t="str">
            <v>06-Mar</v>
          </cell>
          <cell r="E72" t="str">
            <v>0</v>
          </cell>
          <cell r="F72" t="str">
            <v>0</v>
          </cell>
          <cell r="G72" t="str">
            <v>0</v>
          </cell>
          <cell r="H72" t="str">
            <v>0</v>
          </cell>
          <cell r="I72" t="str">
            <v>0</v>
          </cell>
          <cell r="J72" t="str">
            <v>0</v>
          </cell>
          <cell r="K72">
            <v>1</v>
          </cell>
          <cell r="L72" t="str">
            <v>0</v>
          </cell>
          <cell r="M72" t="str">
            <v>0</v>
          </cell>
          <cell r="N72" t="str">
            <v>0</v>
          </cell>
          <cell r="O72" t="str">
            <v>0</v>
          </cell>
          <cell r="P72" t="str">
            <v>0</v>
          </cell>
          <cell r="Q72" t="str">
            <v>0</v>
          </cell>
          <cell r="R72" t="str">
            <v>0</v>
          </cell>
          <cell r="S72" t="str">
            <v>0</v>
          </cell>
          <cell r="T72" t="str">
            <v>0</v>
          </cell>
          <cell r="U72" t="str">
            <v>0</v>
          </cell>
          <cell r="V72" t="str">
            <v>0</v>
          </cell>
          <cell r="W72" t="str">
            <v>0</v>
          </cell>
          <cell r="X72" t="str">
            <v>0</v>
          </cell>
          <cell r="Y72">
            <v>1848</v>
          </cell>
          <cell r="Z72" t="str">
            <v>0</v>
          </cell>
          <cell r="AA72" t="str">
            <v>0</v>
          </cell>
          <cell r="AB72" t="str">
            <v>0</v>
          </cell>
          <cell r="AC72" t="str">
            <v>0</v>
          </cell>
          <cell r="AD72" t="str">
            <v>0</v>
          </cell>
          <cell r="AE72" t="str">
            <v>0</v>
          </cell>
        </row>
        <row r="73">
          <cell r="D73" t="str">
            <v>07-Mar</v>
          </cell>
          <cell r="E73" t="str">
            <v>0</v>
          </cell>
          <cell r="F73" t="str">
            <v>0</v>
          </cell>
          <cell r="G73" t="str">
            <v>0</v>
          </cell>
          <cell r="H73" t="str">
            <v>0</v>
          </cell>
          <cell r="I73" t="str">
            <v>0</v>
          </cell>
          <cell r="J73" t="str">
            <v>0</v>
          </cell>
          <cell r="K73">
            <v>1</v>
          </cell>
          <cell r="L73" t="str">
            <v>0</v>
          </cell>
          <cell r="M73" t="str">
            <v>0</v>
          </cell>
          <cell r="N73" t="str">
            <v>0</v>
          </cell>
          <cell r="O73" t="str">
            <v>0</v>
          </cell>
          <cell r="P73" t="str">
            <v>0</v>
          </cell>
          <cell r="Q73" t="str">
            <v>0</v>
          </cell>
          <cell r="R73" t="str">
            <v>0</v>
          </cell>
          <cell r="S73" t="str">
            <v>0</v>
          </cell>
          <cell r="T73" t="str">
            <v>0</v>
          </cell>
          <cell r="U73" t="str">
            <v>0</v>
          </cell>
          <cell r="V73" t="str">
            <v>0</v>
          </cell>
          <cell r="W73" t="str">
            <v>0</v>
          </cell>
          <cell r="X73" t="str">
            <v>0</v>
          </cell>
          <cell r="Y73">
            <v>569</v>
          </cell>
          <cell r="Z73" t="str">
            <v>0</v>
          </cell>
          <cell r="AA73" t="str">
            <v>0</v>
          </cell>
          <cell r="AB73" t="str">
            <v>0</v>
          </cell>
          <cell r="AC73" t="str">
            <v>0</v>
          </cell>
          <cell r="AD73" t="str">
            <v>0</v>
          </cell>
          <cell r="AE73" t="str">
            <v>0</v>
          </cell>
        </row>
        <row r="74">
          <cell r="D74" t="str">
            <v>08-Mar</v>
          </cell>
          <cell r="E74" t="str">
            <v>0</v>
          </cell>
          <cell r="F74" t="str">
            <v>0</v>
          </cell>
          <cell r="G74">
            <v>1</v>
          </cell>
          <cell r="H74">
            <v>1</v>
          </cell>
          <cell r="I74" t="str">
            <v>0</v>
          </cell>
          <cell r="J74" t="str">
            <v>0</v>
          </cell>
          <cell r="K74" t="str">
            <v>0</v>
          </cell>
          <cell r="L74" t="str">
            <v>0</v>
          </cell>
          <cell r="M74" t="str">
            <v>0</v>
          </cell>
          <cell r="N74" t="str">
            <v>0</v>
          </cell>
          <cell r="O74" t="str">
            <v>0</v>
          </cell>
          <cell r="P74" t="str">
            <v>0</v>
          </cell>
          <cell r="Q74" t="str">
            <v>0</v>
          </cell>
          <cell r="R74" t="str">
            <v>0</v>
          </cell>
          <cell r="S74" t="str">
            <v>0</v>
          </cell>
          <cell r="T74" t="str">
            <v>0</v>
          </cell>
          <cell r="U74">
            <v>696</v>
          </cell>
          <cell r="V74">
            <v>1440</v>
          </cell>
          <cell r="W74" t="str">
            <v>0</v>
          </cell>
          <cell r="X74" t="str">
            <v>0</v>
          </cell>
          <cell r="Y74" t="str">
            <v>0</v>
          </cell>
          <cell r="Z74" t="str">
            <v>0</v>
          </cell>
          <cell r="AA74" t="str">
            <v>0</v>
          </cell>
          <cell r="AB74" t="str">
            <v>0</v>
          </cell>
          <cell r="AC74" t="str">
            <v>0</v>
          </cell>
          <cell r="AD74" t="str">
            <v>0</v>
          </cell>
          <cell r="AE74" t="str">
            <v>0</v>
          </cell>
        </row>
        <row r="75">
          <cell r="D75" t="str">
            <v>09-Mar</v>
          </cell>
          <cell r="E75" t="str">
            <v>0</v>
          </cell>
          <cell r="F75" t="str">
            <v>0</v>
          </cell>
          <cell r="G75">
            <v>5</v>
          </cell>
          <cell r="H75">
            <v>1</v>
          </cell>
          <cell r="I75" t="str">
            <v>0</v>
          </cell>
          <cell r="J75" t="str">
            <v>0</v>
          </cell>
          <cell r="K75">
            <v>2</v>
          </cell>
          <cell r="L75" t="str">
            <v>0</v>
          </cell>
          <cell r="M75" t="str">
            <v>0</v>
          </cell>
          <cell r="N75" t="str">
            <v>0</v>
          </cell>
          <cell r="O75" t="str">
            <v>0</v>
          </cell>
          <cell r="P75" t="str">
            <v>0</v>
          </cell>
          <cell r="Q75" t="str">
            <v>0</v>
          </cell>
          <cell r="R75" t="str">
            <v>0</v>
          </cell>
          <cell r="S75" t="str">
            <v>0</v>
          </cell>
          <cell r="T75" t="str">
            <v>0</v>
          </cell>
          <cell r="U75">
            <v>5040</v>
          </cell>
          <cell r="V75">
            <v>1540</v>
          </cell>
          <cell r="W75" t="str">
            <v>0</v>
          </cell>
          <cell r="X75" t="str">
            <v>0</v>
          </cell>
          <cell r="Y75">
            <v>2504</v>
          </cell>
          <cell r="Z75" t="str">
            <v>0</v>
          </cell>
          <cell r="AA75" t="str">
            <v>0</v>
          </cell>
          <cell r="AB75" t="str">
            <v>0</v>
          </cell>
          <cell r="AC75" t="str">
            <v>0</v>
          </cell>
          <cell r="AD75" t="str">
            <v>0</v>
          </cell>
          <cell r="AE75" t="str">
            <v>0</v>
          </cell>
        </row>
        <row r="76">
          <cell r="D76" t="str">
            <v>10-Mar</v>
          </cell>
          <cell r="E76" t="str">
            <v>0</v>
          </cell>
          <cell r="F76" t="str">
            <v>0</v>
          </cell>
          <cell r="G76">
            <v>2</v>
          </cell>
          <cell r="H76" t="str">
            <v>0</v>
          </cell>
          <cell r="I76" t="str">
            <v>0</v>
          </cell>
          <cell r="J76" t="str">
            <v>0</v>
          </cell>
          <cell r="K76">
            <v>5</v>
          </cell>
          <cell r="L76" t="str">
            <v>0</v>
          </cell>
          <cell r="M76" t="str">
            <v>0</v>
          </cell>
          <cell r="N76" t="str">
            <v>0</v>
          </cell>
          <cell r="O76" t="str">
            <v>0</v>
          </cell>
          <cell r="P76" t="str">
            <v>0</v>
          </cell>
          <cell r="Q76" t="str">
            <v>0</v>
          </cell>
          <cell r="R76" t="str">
            <v>0</v>
          </cell>
          <cell r="S76" t="str">
            <v>0</v>
          </cell>
          <cell r="T76" t="str">
            <v>0</v>
          </cell>
          <cell r="U76">
            <v>1121</v>
          </cell>
          <cell r="V76" t="str">
            <v>0</v>
          </cell>
          <cell r="W76" t="str">
            <v>0</v>
          </cell>
          <cell r="X76" t="str">
            <v>0</v>
          </cell>
          <cell r="Y76">
            <v>4614</v>
          </cell>
          <cell r="Z76" t="str">
            <v>0</v>
          </cell>
          <cell r="AA76" t="str">
            <v>0</v>
          </cell>
          <cell r="AB76" t="str">
            <v>0</v>
          </cell>
          <cell r="AC76" t="str">
            <v>0</v>
          </cell>
          <cell r="AD76" t="str">
            <v>0</v>
          </cell>
          <cell r="AE76" t="str">
            <v>0</v>
          </cell>
        </row>
        <row r="77">
          <cell r="D77" t="str">
            <v>11-Mar</v>
          </cell>
          <cell r="E77" t="str">
            <v>0</v>
          </cell>
          <cell r="F77" t="str">
            <v>0</v>
          </cell>
          <cell r="G77" t="str">
            <v>0</v>
          </cell>
          <cell r="H77" t="str">
            <v>0</v>
          </cell>
          <cell r="I77">
            <v>1</v>
          </cell>
          <cell r="J77" t="str">
            <v>0</v>
          </cell>
          <cell r="K77">
            <v>9</v>
          </cell>
          <cell r="L77" t="str">
            <v>0</v>
          </cell>
          <cell r="M77" t="str">
            <v>0</v>
          </cell>
          <cell r="N77" t="str">
            <v>0</v>
          </cell>
          <cell r="O77" t="str">
            <v>0</v>
          </cell>
          <cell r="P77" t="str">
            <v>0</v>
          </cell>
          <cell r="Q77" t="str">
            <v>0</v>
          </cell>
          <cell r="R77" t="str">
            <v>0</v>
          </cell>
          <cell r="S77" t="str">
            <v>0</v>
          </cell>
          <cell r="T77" t="str">
            <v>0</v>
          </cell>
          <cell r="U77" t="str">
            <v>0</v>
          </cell>
          <cell r="V77" t="str">
            <v>0</v>
          </cell>
          <cell r="W77">
            <v>1540</v>
          </cell>
          <cell r="X77" t="str">
            <v>0</v>
          </cell>
          <cell r="Y77">
            <v>3492</v>
          </cell>
          <cell r="Z77" t="str">
            <v>0</v>
          </cell>
          <cell r="AA77" t="str">
            <v>0</v>
          </cell>
          <cell r="AB77" t="str">
            <v>0</v>
          </cell>
          <cell r="AC77" t="str">
            <v>0</v>
          </cell>
          <cell r="AD77" t="str">
            <v>0</v>
          </cell>
          <cell r="AE77" t="str">
            <v>0</v>
          </cell>
        </row>
        <row r="78">
          <cell r="D78" t="str">
            <v>12-Mar</v>
          </cell>
          <cell r="E78" t="str">
            <v>0</v>
          </cell>
          <cell r="F78" t="str">
            <v>0</v>
          </cell>
          <cell r="G78">
            <v>2</v>
          </cell>
          <cell r="H78" t="str">
            <v>0</v>
          </cell>
          <cell r="I78">
            <v>1</v>
          </cell>
          <cell r="J78" t="str">
            <v>0</v>
          </cell>
          <cell r="K78" t="str">
            <v>0</v>
          </cell>
          <cell r="L78" t="str">
            <v>0</v>
          </cell>
          <cell r="M78" t="str">
            <v>0</v>
          </cell>
          <cell r="N78" t="str">
            <v>0</v>
          </cell>
          <cell r="O78" t="str">
            <v>0</v>
          </cell>
          <cell r="P78" t="str">
            <v>0</v>
          </cell>
          <cell r="Q78" t="str">
            <v>0</v>
          </cell>
          <cell r="R78" t="str">
            <v>0</v>
          </cell>
          <cell r="S78" t="str">
            <v>0</v>
          </cell>
          <cell r="T78" t="str">
            <v>0</v>
          </cell>
          <cell r="U78">
            <v>2756</v>
          </cell>
          <cell r="V78" t="str">
            <v>0</v>
          </cell>
          <cell r="W78">
            <v>754</v>
          </cell>
          <cell r="X78" t="str">
            <v>0</v>
          </cell>
          <cell r="Y78" t="str">
            <v>0</v>
          </cell>
          <cell r="Z78" t="str">
            <v>0</v>
          </cell>
          <cell r="AA78" t="str">
            <v>0</v>
          </cell>
          <cell r="AB78" t="str">
            <v>0</v>
          </cell>
          <cell r="AC78" t="str">
            <v>0</v>
          </cell>
          <cell r="AD78" t="str">
            <v>0</v>
          </cell>
          <cell r="AE78" t="str">
            <v>0</v>
          </cell>
        </row>
        <row r="79">
          <cell r="D79" t="str">
            <v>13-Mar</v>
          </cell>
          <cell r="E79">
            <v>1</v>
          </cell>
          <cell r="F79" t="str">
            <v>0</v>
          </cell>
          <cell r="G79" t="str">
            <v>0</v>
          </cell>
          <cell r="H79">
            <v>1</v>
          </cell>
          <cell r="I79">
            <v>1</v>
          </cell>
          <cell r="J79" t="str">
            <v>0</v>
          </cell>
          <cell r="K79" t="str">
            <v>0</v>
          </cell>
          <cell r="L79" t="str">
            <v>0</v>
          </cell>
          <cell r="M79" t="str">
            <v>0</v>
          </cell>
          <cell r="N79" t="str">
            <v>0</v>
          </cell>
          <cell r="O79" t="str">
            <v>0</v>
          </cell>
          <cell r="P79" t="str">
            <v>0</v>
          </cell>
          <cell r="Q79" t="str">
            <v>0</v>
          </cell>
          <cell r="R79" t="str">
            <v>0</v>
          </cell>
          <cell r="S79">
            <v>1463</v>
          </cell>
          <cell r="T79" t="str">
            <v>0</v>
          </cell>
          <cell r="U79" t="str">
            <v>0</v>
          </cell>
          <cell r="V79">
            <v>1155</v>
          </cell>
          <cell r="W79">
            <v>1386</v>
          </cell>
          <cell r="X79" t="str">
            <v>0</v>
          </cell>
          <cell r="Y79" t="str">
            <v>0</v>
          </cell>
          <cell r="Z79" t="str">
            <v>0</v>
          </cell>
          <cell r="AA79" t="str">
            <v>0</v>
          </cell>
          <cell r="AB79" t="str">
            <v>0</v>
          </cell>
          <cell r="AC79" t="str">
            <v>0</v>
          </cell>
          <cell r="AD79" t="str">
            <v>0</v>
          </cell>
          <cell r="AE79" t="str">
            <v>0</v>
          </cell>
        </row>
        <row r="80">
          <cell r="D80" t="str">
            <v>14-Mar</v>
          </cell>
          <cell r="E80" t="str">
            <v>0</v>
          </cell>
          <cell r="F80" t="str">
            <v>0</v>
          </cell>
          <cell r="G80" t="str">
            <v>0</v>
          </cell>
          <cell r="H80" t="str">
            <v>0</v>
          </cell>
          <cell r="I80">
            <v>1</v>
          </cell>
          <cell r="J80" t="str">
            <v>0</v>
          </cell>
          <cell r="K80" t="str">
            <v>0</v>
          </cell>
          <cell r="L80" t="str">
            <v>0</v>
          </cell>
          <cell r="M80" t="str">
            <v>0</v>
          </cell>
          <cell r="N80" t="str">
            <v>0</v>
          </cell>
          <cell r="O80" t="str">
            <v>0</v>
          </cell>
          <cell r="P80" t="str">
            <v>0</v>
          </cell>
          <cell r="Q80" t="str">
            <v>0</v>
          </cell>
          <cell r="R80" t="str">
            <v>0</v>
          </cell>
          <cell r="S80" t="str">
            <v>0</v>
          </cell>
          <cell r="T80" t="str">
            <v>0</v>
          </cell>
          <cell r="U80" t="str">
            <v>0</v>
          </cell>
          <cell r="V80" t="str">
            <v>0</v>
          </cell>
          <cell r="W80">
            <v>754</v>
          </cell>
          <cell r="X80" t="str">
            <v>0</v>
          </cell>
          <cell r="Y80" t="str">
            <v>0</v>
          </cell>
          <cell r="Z80" t="str">
            <v>0</v>
          </cell>
          <cell r="AA80" t="str">
            <v>0</v>
          </cell>
          <cell r="AB80" t="str">
            <v>0</v>
          </cell>
          <cell r="AC80" t="str">
            <v>0</v>
          </cell>
          <cell r="AD80" t="str">
            <v>0</v>
          </cell>
          <cell r="AE80" t="str">
            <v>0</v>
          </cell>
        </row>
        <row r="81">
          <cell r="D81" t="str">
            <v>15-Mar</v>
          </cell>
          <cell r="E81" t="str">
            <v>0</v>
          </cell>
          <cell r="F81" t="str">
            <v>0</v>
          </cell>
          <cell r="G81" t="str">
            <v>0</v>
          </cell>
          <cell r="H81" t="str">
            <v>0</v>
          </cell>
          <cell r="I81" t="str">
            <v>0</v>
          </cell>
          <cell r="J81" t="str">
            <v>0</v>
          </cell>
          <cell r="K81" t="str">
            <v>0</v>
          </cell>
          <cell r="L81" t="str">
            <v>0</v>
          </cell>
          <cell r="M81" t="str">
            <v>0</v>
          </cell>
          <cell r="N81" t="str">
            <v>0</v>
          </cell>
          <cell r="O81" t="str">
            <v>0</v>
          </cell>
          <cell r="P81" t="str">
            <v>0</v>
          </cell>
          <cell r="Q81" t="str">
            <v>0</v>
          </cell>
          <cell r="R81" t="str">
            <v>0</v>
          </cell>
          <cell r="S81" t="str">
            <v>0</v>
          </cell>
          <cell r="T81" t="str">
            <v>0</v>
          </cell>
          <cell r="U81" t="str">
            <v>0</v>
          </cell>
          <cell r="V81" t="str">
            <v>0</v>
          </cell>
          <cell r="W81" t="str">
            <v>0</v>
          </cell>
          <cell r="X81" t="str">
            <v>0</v>
          </cell>
          <cell r="Y81" t="str">
            <v>0</v>
          </cell>
          <cell r="Z81" t="str">
            <v>0</v>
          </cell>
          <cell r="AA81" t="str">
            <v>0</v>
          </cell>
          <cell r="AB81" t="str">
            <v>0</v>
          </cell>
          <cell r="AC81" t="str">
            <v>0</v>
          </cell>
          <cell r="AD81" t="str">
            <v>0</v>
          </cell>
          <cell r="AE81" t="str">
            <v>0</v>
          </cell>
        </row>
        <row r="82">
          <cell r="D82" t="str">
            <v>16-Mar</v>
          </cell>
          <cell r="E82" t="str">
            <v>0</v>
          </cell>
          <cell r="F82" t="str">
            <v>0</v>
          </cell>
          <cell r="G82">
            <v>3</v>
          </cell>
          <cell r="H82">
            <v>1</v>
          </cell>
          <cell r="I82" t="str">
            <v>0</v>
          </cell>
          <cell r="J82" t="str">
            <v>0</v>
          </cell>
          <cell r="K82" t="str">
            <v>0</v>
          </cell>
          <cell r="L82" t="str">
            <v>0</v>
          </cell>
          <cell r="M82" t="str">
            <v>0</v>
          </cell>
          <cell r="N82" t="str">
            <v>0</v>
          </cell>
          <cell r="O82" t="str">
            <v>0</v>
          </cell>
          <cell r="P82" t="str">
            <v>0</v>
          </cell>
          <cell r="Q82" t="str">
            <v>0</v>
          </cell>
          <cell r="R82" t="str">
            <v>0</v>
          </cell>
          <cell r="S82" t="str">
            <v>0</v>
          </cell>
          <cell r="T82" t="str">
            <v>0</v>
          </cell>
          <cell r="U82">
            <v>3566</v>
          </cell>
          <cell r="V82">
            <v>1386</v>
          </cell>
          <cell r="W82" t="str">
            <v>0</v>
          </cell>
          <cell r="X82" t="str">
            <v>0</v>
          </cell>
          <cell r="Y82" t="str">
            <v>0</v>
          </cell>
          <cell r="Z82" t="str">
            <v>0</v>
          </cell>
          <cell r="AA82" t="str">
            <v>0</v>
          </cell>
          <cell r="AB82" t="str">
            <v>0</v>
          </cell>
          <cell r="AC82" t="str">
            <v>0</v>
          </cell>
          <cell r="AD82" t="str">
            <v>0</v>
          </cell>
          <cell r="AE82" t="str">
            <v>0</v>
          </cell>
        </row>
        <row r="83">
          <cell r="D83" t="str">
            <v>17-Mar</v>
          </cell>
          <cell r="E83" t="str">
            <v>0</v>
          </cell>
          <cell r="F83" t="str">
            <v>0</v>
          </cell>
          <cell r="G83">
            <v>1</v>
          </cell>
          <cell r="H83" t="str">
            <v>0</v>
          </cell>
          <cell r="I83" t="str">
            <v>0</v>
          </cell>
          <cell r="J83" t="str">
            <v>0</v>
          </cell>
          <cell r="K83">
            <v>4</v>
          </cell>
          <cell r="L83" t="str">
            <v>0</v>
          </cell>
          <cell r="M83" t="str">
            <v>0</v>
          </cell>
          <cell r="N83" t="str">
            <v>0</v>
          </cell>
          <cell r="O83" t="str">
            <v>0</v>
          </cell>
          <cell r="P83" t="str">
            <v>0</v>
          </cell>
          <cell r="Q83" t="str">
            <v>0</v>
          </cell>
          <cell r="R83" t="str">
            <v>0</v>
          </cell>
          <cell r="S83" t="str">
            <v>0</v>
          </cell>
          <cell r="T83" t="str">
            <v>0</v>
          </cell>
          <cell r="U83">
            <v>1463</v>
          </cell>
          <cell r="V83" t="str">
            <v>0</v>
          </cell>
          <cell r="W83" t="str">
            <v>0</v>
          </cell>
          <cell r="X83" t="str">
            <v>0</v>
          </cell>
          <cell r="Y83">
            <v>3648</v>
          </cell>
          <cell r="Z83" t="str">
            <v>0</v>
          </cell>
          <cell r="AA83" t="str">
            <v>0</v>
          </cell>
          <cell r="AB83" t="str">
            <v>0</v>
          </cell>
          <cell r="AC83" t="str">
            <v>0</v>
          </cell>
          <cell r="AD83" t="str">
            <v>0</v>
          </cell>
          <cell r="AE83" t="str">
            <v>0</v>
          </cell>
        </row>
        <row r="84">
          <cell r="D84" t="str">
            <v>18-Mar</v>
          </cell>
          <cell r="E84" t="str">
            <v>0</v>
          </cell>
          <cell r="F84" t="str">
            <v>0</v>
          </cell>
          <cell r="G84">
            <v>1</v>
          </cell>
          <cell r="H84" t="str">
            <v>0</v>
          </cell>
          <cell r="I84" t="str">
            <v>0</v>
          </cell>
          <cell r="J84" t="str">
            <v>0</v>
          </cell>
          <cell r="K84" t="str">
            <v>0</v>
          </cell>
          <cell r="L84" t="str">
            <v>0</v>
          </cell>
          <cell r="M84" t="str">
            <v>0</v>
          </cell>
          <cell r="N84" t="str">
            <v>0</v>
          </cell>
          <cell r="O84" t="str">
            <v>0</v>
          </cell>
          <cell r="P84" t="str">
            <v>0</v>
          </cell>
          <cell r="Q84" t="str">
            <v>0</v>
          </cell>
          <cell r="R84" t="str">
            <v>0</v>
          </cell>
          <cell r="S84" t="str">
            <v>0</v>
          </cell>
          <cell r="T84" t="str">
            <v>0</v>
          </cell>
          <cell r="U84">
            <v>513</v>
          </cell>
          <cell r="V84" t="str">
            <v>0</v>
          </cell>
          <cell r="W84" t="str">
            <v>0</v>
          </cell>
          <cell r="X84" t="str">
            <v>0</v>
          </cell>
          <cell r="Y84" t="str">
            <v>0</v>
          </cell>
          <cell r="Z84" t="str">
            <v>0</v>
          </cell>
          <cell r="AA84" t="str">
            <v>0</v>
          </cell>
          <cell r="AB84" t="str">
            <v>0</v>
          </cell>
          <cell r="AC84" t="str">
            <v>0</v>
          </cell>
          <cell r="AD84" t="str">
            <v>0</v>
          </cell>
          <cell r="AE84" t="str">
            <v>0</v>
          </cell>
        </row>
        <row r="85">
          <cell r="D85" t="str">
            <v>19-Mar</v>
          </cell>
          <cell r="E85" t="str">
            <v>0</v>
          </cell>
          <cell r="F85" t="str">
            <v>0</v>
          </cell>
          <cell r="G85" t="str">
            <v>0</v>
          </cell>
          <cell r="H85">
            <v>1</v>
          </cell>
          <cell r="I85" t="str">
            <v>0</v>
          </cell>
          <cell r="J85" t="str">
            <v>0</v>
          </cell>
          <cell r="K85" t="str">
            <v>0</v>
          </cell>
          <cell r="L85" t="str">
            <v>0</v>
          </cell>
          <cell r="M85" t="str">
            <v>0</v>
          </cell>
          <cell r="N85" t="str">
            <v>0</v>
          </cell>
          <cell r="O85" t="str">
            <v>0</v>
          </cell>
          <cell r="P85" t="str">
            <v>0</v>
          </cell>
          <cell r="Q85" t="str">
            <v>0</v>
          </cell>
          <cell r="R85" t="str">
            <v>0</v>
          </cell>
          <cell r="S85" t="str">
            <v>0</v>
          </cell>
          <cell r="T85" t="str">
            <v>0</v>
          </cell>
          <cell r="U85" t="str">
            <v>0</v>
          </cell>
          <cell r="V85">
            <v>1694</v>
          </cell>
          <cell r="W85" t="str">
            <v>0</v>
          </cell>
          <cell r="X85" t="str">
            <v>0</v>
          </cell>
          <cell r="Y85" t="str">
            <v>0</v>
          </cell>
          <cell r="Z85" t="str">
            <v>0</v>
          </cell>
          <cell r="AA85" t="str">
            <v>0</v>
          </cell>
          <cell r="AB85" t="str">
            <v>0</v>
          </cell>
          <cell r="AC85" t="str">
            <v>0</v>
          </cell>
          <cell r="AD85" t="str">
            <v>0</v>
          </cell>
          <cell r="AE85" t="str">
            <v>0</v>
          </cell>
        </row>
        <row r="86">
          <cell r="D86" t="str">
            <v>20-Mar</v>
          </cell>
          <cell r="E86" t="str">
            <v>0</v>
          </cell>
          <cell r="F86" t="str">
            <v>0</v>
          </cell>
          <cell r="G86">
            <v>1</v>
          </cell>
          <cell r="H86" t="str">
            <v>0</v>
          </cell>
          <cell r="I86" t="str">
            <v>0</v>
          </cell>
          <cell r="J86" t="str">
            <v>0</v>
          </cell>
          <cell r="K86">
            <v>1</v>
          </cell>
          <cell r="L86" t="str">
            <v>0</v>
          </cell>
          <cell r="M86" t="str">
            <v>0</v>
          </cell>
          <cell r="N86" t="str">
            <v>0</v>
          </cell>
          <cell r="O86" t="str">
            <v>0</v>
          </cell>
          <cell r="P86" t="str">
            <v>0</v>
          </cell>
          <cell r="Q86" t="str">
            <v>0</v>
          </cell>
          <cell r="R86" t="str">
            <v>0</v>
          </cell>
          <cell r="S86" t="str">
            <v>0</v>
          </cell>
          <cell r="T86" t="str">
            <v>0</v>
          </cell>
          <cell r="U86">
            <v>1644</v>
          </cell>
          <cell r="V86" t="str">
            <v>0</v>
          </cell>
          <cell r="W86" t="str">
            <v>0</v>
          </cell>
          <cell r="X86" t="str">
            <v>0</v>
          </cell>
          <cell r="Y86">
            <v>645</v>
          </cell>
          <cell r="Z86" t="str">
            <v>0</v>
          </cell>
          <cell r="AA86" t="str">
            <v>0</v>
          </cell>
          <cell r="AB86" t="str">
            <v>0</v>
          </cell>
          <cell r="AC86" t="str">
            <v>0</v>
          </cell>
          <cell r="AD86" t="str">
            <v>0</v>
          </cell>
          <cell r="AE86" t="str">
            <v>0</v>
          </cell>
        </row>
        <row r="87">
          <cell r="D87" t="str">
            <v>21-Mar</v>
          </cell>
          <cell r="E87" t="str">
            <v>0</v>
          </cell>
          <cell r="F87" t="str">
            <v>0</v>
          </cell>
          <cell r="G87" t="str">
            <v>0</v>
          </cell>
          <cell r="H87">
            <v>7</v>
          </cell>
          <cell r="I87" t="str">
            <v>0</v>
          </cell>
          <cell r="J87" t="str">
            <v>0</v>
          </cell>
          <cell r="K87" t="str">
            <v>0</v>
          </cell>
          <cell r="L87" t="str">
            <v>0</v>
          </cell>
          <cell r="M87" t="str">
            <v>0</v>
          </cell>
          <cell r="N87" t="str">
            <v>0</v>
          </cell>
          <cell r="O87" t="str">
            <v>0</v>
          </cell>
          <cell r="P87" t="str">
            <v>0</v>
          </cell>
          <cell r="Q87" t="str">
            <v>0</v>
          </cell>
          <cell r="R87" t="str">
            <v>0</v>
          </cell>
          <cell r="S87" t="str">
            <v>0</v>
          </cell>
          <cell r="T87" t="str">
            <v>0</v>
          </cell>
          <cell r="U87" t="str">
            <v>0</v>
          </cell>
          <cell r="V87">
            <v>6200</v>
          </cell>
          <cell r="W87" t="str">
            <v>0</v>
          </cell>
          <cell r="X87" t="str">
            <v>0</v>
          </cell>
          <cell r="Y87" t="str">
            <v>0</v>
          </cell>
          <cell r="Z87" t="str">
            <v>0</v>
          </cell>
          <cell r="AA87" t="str">
            <v>0</v>
          </cell>
          <cell r="AB87" t="str">
            <v>0</v>
          </cell>
          <cell r="AC87" t="str">
            <v>0</v>
          </cell>
          <cell r="AD87" t="str">
            <v>0</v>
          </cell>
          <cell r="AE87" t="str">
            <v>0</v>
          </cell>
        </row>
        <row r="88">
          <cell r="D88" t="str">
            <v>22-Mar</v>
          </cell>
          <cell r="E88">
            <v>1</v>
          </cell>
          <cell r="F88" t="str">
            <v>0</v>
          </cell>
          <cell r="G88" t="str">
            <v>0</v>
          </cell>
          <cell r="H88">
            <v>2</v>
          </cell>
          <cell r="I88" t="str">
            <v>0</v>
          </cell>
          <cell r="J88" t="str">
            <v>0</v>
          </cell>
          <cell r="K88">
            <v>1</v>
          </cell>
          <cell r="L88" t="str">
            <v>0</v>
          </cell>
          <cell r="M88" t="str">
            <v>0</v>
          </cell>
          <cell r="N88" t="str">
            <v>0</v>
          </cell>
          <cell r="O88" t="str">
            <v>0</v>
          </cell>
          <cell r="P88" t="str">
            <v>0</v>
          </cell>
          <cell r="Q88" t="str">
            <v>0</v>
          </cell>
          <cell r="R88" t="str">
            <v>0</v>
          </cell>
          <cell r="S88">
            <v>463</v>
          </cell>
          <cell r="T88" t="str">
            <v>0</v>
          </cell>
          <cell r="U88" t="str">
            <v>0</v>
          </cell>
          <cell r="V88">
            <v>614</v>
          </cell>
          <cell r="W88" t="str">
            <v>0</v>
          </cell>
          <cell r="X88" t="str">
            <v>0</v>
          </cell>
          <cell r="Y88">
            <v>770</v>
          </cell>
          <cell r="Z88" t="str">
            <v>0</v>
          </cell>
          <cell r="AA88" t="str">
            <v>0</v>
          </cell>
          <cell r="AB88" t="str">
            <v>0</v>
          </cell>
          <cell r="AC88" t="str">
            <v>0</v>
          </cell>
          <cell r="AD88" t="str">
            <v>0</v>
          </cell>
          <cell r="AE88" t="str">
            <v>0</v>
          </cell>
        </row>
        <row r="89">
          <cell r="D89" t="str">
            <v>23-Mar</v>
          </cell>
          <cell r="E89" t="str">
            <v>0</v>
          </cell>
          <cell r="F89" t="str">
            <v>0</v>
          </cell>
          <cell r="G89">
            <v>3</v>
          </cell>
          <cell r="H89">
            <v>2</v>
          </cell>
          <cell r="I89" t="str">
            <v>0</v>
          </cell>
          <cell r="J89">
            <v>1</v>
          </cell>
          <cell r="K89" t="str">
            <v>0</v>
          </cell>
          <cell r="L89" t="str">
            <v>0</v>
          </cell>
          <cell r="M89" t="str">
            <v>0</v>
          </cell>
          <cell r="N89" t="str">
            <v>0</v>
          </cell>
          <cell r="O89" t="str">
            <v>0</v>
          </cell>
          <cell r="P89" t="str">
            <v>0</v>
          </cell>
          <cell r="Q89" t="str">
            <v>0</v>
          </cell>
          <cell r="R89" t="str">
            <v>0</v>
          </cell>
          <cell r="S89" t="str">
            <v>0</v>
          </cell>
          <cell r="T89" t="str">
            <v>0</v>
          </cell>
          <cell r="U89">
            <v>3442</v>
          </cell>
          <cell r="V89">
            <v>2002</v>
          </cell>
          <cell r="W89" t="str">
            <v>0</v>
          </cell>
          <cell r="X89">
            <v>1360</v>
          </cell>
          <cell r="Y89" t="str">
            <v>0</v>
          </cell>
          <cell r="Z89" t="str">
            <v>0</v>
          </cell>
          <cell r="AA89" t="str">
            <v>0</v>
          </cell>
          <cell r="AB89" t="str">
            <v>0</v>
          </cell>
          <cell r="AC89" t="str">
            <v>0</v>
          </cell>
          <cell r="AD89" t="str">
            <v>0</v>
          </cell>
          <cell r="AE89" t="str">
            <v>0</v>
          </cell>
        </row>
        <row r="90">
          <cell r="D90" t="str">
            <v>24-Mar</v>
          </cell>
          <cell r="E90" t="str">
            <v>0</v>
          </cell>
          <cell r="F90" t="str">
            <v>0</v>
          </cell>
          <cell r="G90">
            <v>3</v>
          </cell>
          <cell r="H90" t="str">
            <v>0</v>
          </cell>
          <cell r="I90" t="str">
            <v>0</v>
          </cell>
          <cell r="J90" t="str">
            <v>0</v>
          </cell>
          <cell r="K90">
            <v>1</v>
          </cell>
          <cell r="L90" t="str">
            <v>0</v>
          </cell>
          <cell r="M90" t="str">
            <v>0</v>
          </cell>
          <cell r="N90" t="str">
            <v>0</v>
          </cell>
          <cell r="O90" t="str">
            <v>0</v>
          </cell>
          <cell r="P90" t="str">
            <v>0</v>
          </cell>
          <cell r="Q90" t="str">
            <v>0</v>
          </cell>
          <cell r="R90" t="str">
            <v>0</v>
          </cell>
          <cell r="S90" t="str">
            <v>0</v>
          </cell>
          <cell r="T90" t="str">
            <v>0</v>
          </cell>
          <cell r="U90">
            <v>4081</v>
          </cell>
          <cell r="V90" t="str">
            <v>0</v>
          </cell>
          <cell r="W90" t="str">
            <v>0</v>
          </cell>
          <cell r="X90" t="str">
            <v>0</v>
          </cell>
          <cell r="Y90">
            <v>770</v>
          </cell>
          <cell r="Z90" t="str">
            <v>0</v>
          </cell>
          <cell r="AA90" t="str">
            <v>0</v>
          </cell>
          <cell r="AB90" t="str">
            <v>0</v>
          </cell>
          <cell r="AC90" t="str">
            <v>0</v>
          </cell>
          <cell r="AD90" t="str">
            <v>0</v>
          </cell>
          <cell r="AE90" t="str">
            <v>0</v>
          </cell>
        </row>
        <row r="91">
          <cell r="D91" t="str">
            <v>25-Mar</v>
          </cell>
          <cell r="E91" t="str">
            <v>0</v>
          </cell>
          <cell r="F91" t="str">
            <v>0</v>
          </cell>
          <cell r="G91" t="str">
            <v>0</v>
          </cell>
          <cell r="H91" t="str">
            <v>0</v>
          </cell>
          <cell r="I91" t="str">
            <v>0</v>
          </cell>
          <cell r="J91">
            <v>1</v>
          </cell>
          <cell r="K91" t="str">
            <v>0</v>
          </cell>
          <cell r="L91" t="str">
            <v>0</v>
          </cell>
          <cell r="M91" t="str">
            <v>0</v>
          </cell>
          <cell r="N91" t="str">
            <v>0</v>
          </cell>
          <cell r="O91" t="str">
            <v>0</v>
          </cell>
          <cell r="P91" t="str">
            <v>0</v>
          </cell>
          <cell r="Q91" t="str">
            <v>0</v>
          </cell>
          <cell r="R91" t="str">
            <v>0</v>
          </cell>
          <cell r="S91" t="str">
            <v>0</v>
          </cell>
          <cell r="T91" t="str">
            <v>0</v>
          </cell>
          <cell r="U91" t="str">
            <v>0</v>
          </cell>
          <cell r="V91" t="str">
            <v>0</v>
          </cell>
          <cell r="W91" t="str">
            <v>0</v>
          </cell>
          <cell r="X91">
            <v>395</v>
          </cell>
          <cell r="Y91" t="str">
            <v>0</v>
          </cell>
          <cell r="Z91" t="str">
            <v>0</v>
          </cell>
          <cell r="AA91" t="str">
            <v>0</v>
          </cell>
          <cell r="AB91" t="str">
            <v>0</v>
          </cell>
          <cell r="AC91" t="str">
            <v>0</v>
          </cell>
          <cell r="AD91" t="str">
            <v>0</v>
          </cell>
          <cell r="AE91" t="str">
            <v>0</v>
          </cell>
        </row>
        <row r="92">
          <cell r="D92" t="str">
            <v>26-Mar</v>
          </cell>
          <cell r="E92" t="str">
            <v>0</v>
          </cell>
          <cell r="F92" t="str">
            <v>0</v>
          </cell>
          <cell r="G92">
            <v>1</v>
          </cell>
          <cell r="H92" t="str">
            <v>0</v>
          </cell>
          <cell r="I92">
            <v>1</v>
          </cell>
          <cell r="J92" t="str">
            <v>0</v>
          </cell>
          <cell r="K92">
            <v>3</v>
          </cell>
          <cell r="L92" t="str">
            <v>0</v>
          </cell>
          <cell r="M92" t="str">
            <v>0</v>
          </cell>
          <cell r="N92" t="str">
            <v>0</v>
          </cell>
          <cell r="O92" t="str">
            <v>0</v>
          </cell>
          <cell r="P92" t="str">
            <v>0</v>
          </cell>
          <cell r="Q92" t="str">
            <v>0</v>
          </cell>
          <cell r="R92" t="str">
            <v>0</v>
          </cell>
          <cell r="S92" t="str">
            <v>0</v>
          </cell>
          <cell r="T92" t="str">
            <v>0</v>
          </cell>
          <cell r="U92">
            <v>1078</v>
          </cell>
          <cell r="V92" t="str">
            <v>0</v>
          </cell>
          <cell r="W92">
            <v>924</v>
          </cell>
          <cell r="X92" t="str">
            <v>0</v>
          </cell>
          <cell r="Y92">
            <v>2486</v>
          </cell>
          <cell r="Z92" t="str">
            <v>0</v>
          </cell>
          <cell r="AA92" t="str">
            <v>0</v>
          </cell>
          <cell r="AB92" t="str">
            <v>0</v>
          </cell>
          <cell r="AC92" t="str">
            <v>0</v>
          </cell>
          <cell r="AD92" t="str">
            <v>0</v>
          </cell>
          <cell r="AE92" t="str">
            <v>0</v>
          </cell>
        </row>
        <row r="93">
          <cell r="D93" t="str">
            <v>27-Mar</v>
          </cell>
          <cell r="E93" t="str">
            <v>0</v>
          </cell>
          <cell r="F93" t="str">
            <v>0</v>
          </cell>
          <cell r="G93">
            <v>1</v>
          </cell>
          <cell r="H93" t="str">
            <v>0</v>
          </cell>
          <cell r="I93">
            <v>1</v>
          </cell>
          <cell r="J93" t="str">
            <v>0</v>
          </cell>
          <cell r="K93" t="str">
            <v>0</v>
          </cell>
          <cell r="L93" t="str">
            <v>0</v>
          </cell>
          <cell r="M93" t="str">
            <v>0</v>
          </cell>
          <cell r="N93" t="str">
            <v>0</v>
          </cell>
          <cell r="O93" t="str">
            <v>0</v>
          </cell>
          <cell r="P93" t="str">
            <v>0</v>
          </cell>
          <cell r="Q93" t="str">
            <v>0</v>
          </cell>
          <cell r="R93" t="str">
            <v>0</v>
          </cell>
          <cell r="S93" t="str">
            <v>0</v>
          </cell>
          <cell r="T93" t="str">
            <v>0</v>
          </cell>
          <cell r="U93">
            <v>1371</v>
          </cell>
          <cell r="V93" t="str">
            <v>0</v>
          </cell>
          <cell r="W93">
            <v>1232</v>
          </cell>
          <cell r="X93" t="str">
            <v>0</v>
          </cell>
          <cell r="Y93" t="str">
            <v>0</v>
          </cell>
          <cell r="Z93" t="str">
            <v>0</v>
          </cell>
          <cell r="AA93" t="str">
            <v>0</v>
          </cell>
          <cell r="AB93" t="str">
            <v>0</v>
          </cell>
          <cell r="AC93" t="str">
            <v>0</v>
          </cell>
          <cell r="AD93" t="str">
            <v>0</v>
          </cell>
          <cell r="AE93" t="str">
            <v>0</v>
          </cell>
        </row>
        <row r="94">
          <cell r="D94" t="str">
            <v>28-Mar</v>
          </cell>
          <cell r="E94" t="str">
            <v>0</v>
          </cell>
          <cell r="F94" t="str">
            <v>0</v>
          </cell>
          <cell r="G94" t="str">
            <v>0</v>
          </cell>
          <cell r="H94" t="str">
            <v>0</v>
          </cell>
          <cell r="I94" t="str">
            <v>0</v>
          </cell>
          <cell r="J94" t="str">
            <v>0</v>
          </cell>
          <cell r="K94" t="str">
            <v>0</v>
          </cell>
          <cell r="L94" t="str">
            <v>0</v>
          </cell>
          <cell r="M94" t="str">
            <v>0</v>
          </cell>
          <cell r="N94" t="str">
            <v>0</v>
          </cell>
          <cell r="O94" t="str">
            <v>0</v>
          </cell>
          <cell r="P94" t="str">
            <v>0</v>
          </cell>
          <cell r="Q94" t="str">
            <v>0</v>
          </cell>
          <cell r="R94" t="str">
            <v>0</v>
          </cell>
          <cell r="S94" t="str">
            <v>0</v>
          </cell>
          <cell r="T94" t="str">
            <v>0</v>
          </cell>
          <cell r="U94" t="str">
            <v>0</v>
          </cell>
          <cell r="V94" t="str">
            <v>0</v>
          </cell>
          <cell r="W94" t="str">
            <v>0</v>
          </cell>
          <cell r="X94" t="str">
            <v>0</v>
          </cell>
          <cell r="Y94" t="str">
            <v>0</v>
          </cell>
          <cell r="Z94" t="str">
            <v>0</v>
          </cell>
          <cell r="AA94" t="str">
            <v>0</v>
          </cell>
          <cell r="AB94" t="str">
            <v>0</v>
          </cell>
          <cell r="AC94" t="str">
            <v>0</v>
          </cell>
          <cell r="AD94" t="str">
            <v>0</v>
          </cell>
          <cell r="AE94" t="str">
            <v>0</v>
          </cell>
        </row>
        <row r="95">
          <cell r="D95" t="str">
            <v>29-Mar</v>
          </cell>
          <cell r="E95" t="str">
            <v>0</v>
          </cell>
          <cell r="F95" t="str">
            <v>0</v>
          </cell>
          <cell r="G95" t="str">
            <v>0</v>
          </cell>
          <cell r="H95" t="str">
            <v>0</v>
          </cell>
          <cell r="I95" t="str">
            <v>0</v>
          </cell>
          <cell r="J95" t="str">
            <v>0</v>
          </cell>
          <cell r="K95" t="str">
            <v>0</v>
          </cell>
          <cell r="L95" t="str">
            <v>0</v>
          </cell>
          <cell r="M95" t="str">
            <v>0</v>
          </cell>
          <cell r="N95" t="str">
            <v>0</v>
          </cell>
          <cell r="O95" t="str">
            <v>0</v>
          </cell>
          <cell r="P95" t="str">
            <v>0</v>
          </cell>
          <cell r="Q95" t="str">
            <v>0</v>
          </cell>
          <cell r="R95" t="str">
            <v>0</v>
          </cell>
          <cell r="S95" t="str">
            <v>0</v>
          </cell>
          <cell r="T95" t="str">
            <v>0</v>
          </cell>
          <cell r="U95" t="str">
            <v>0</v>
          </cell>
          <cell r="V95" t="str">
            <v>0</v>
          </cell>
          <cell r="W95" t="str">
            <v>0</v>
          </cell>
          <cell r="X95" t="str">
            <v>0</v>
          </cell>
          <cell r="Y95" t="str">
            <v>0</v>
          </cell>
          <cell r="Z95" t="str">
            <v>0</v>
          </cell>
          <cell r="AA95" t="str">
            <v>0</v>
          </cell>
          <cell r="AB95" t="str">
            <v>0</v>
          </cell>
          <cell r="AC95" t="str">
            <v>0</v>
          </cell>
          <cell r="AD95" t="str">
            <v>0</v>
          </cell>
          <cell r="AE95" t="str">
            <v>0</v>
          </cell>
        </row>
        <row r="96">
          <cell r="D96" t="str">
            <v>30-Mar</v>
          </cell>
          <cell r="E96" t="str">
            <v>0</v>
          </cell>
          <cell r="F96" t="str">
            <v>0</v>
          </cell>
          <cell r="G96" t="str">
            <v>0</v>
          </cell>
          <cell r="H96" t="str">
            <v>0</v>
          </cell>
          <cell r="I96" t="str">
            <v>0</v>
          </cell>
          <cell r="J96">
            <v>1</v>
          </cell>
          <cell r="K96" t="str">
            <v>0</v>
          </cell>
          <cell r="L96" t="str">
            <v>0</v>
          </cell>
          <cell r="M96" t="str">
            <v>0</v>
          </cell>
          <cell r="N96" t="str">
            <v>0</v>
          </cell>
          <cell r="O96" t="str">
            <v>0</v>
          </cell>
          <cell r="P96" t="str">
            <v>0</v>
          </cell>
          <cell r="Q96" t="str">
            <v>0</v>
          </cell>
          <cell r="R96" t="str">
            <v>0</v>
          </cell>
          <cell r="S96" t="str">
            <v>0</v>
          </cell>
          <cell r="T96" t="str">
            <v>0</v>
          </cell>
          <cell r="U96" t="str">
            <v>0</v>
          </cell>
          <cell r="V96" t="str">
            <v>0</v>
          </cell>
          <cell r="W96" t="str">
            <v>0</v>
          </cell>
          <cell r="X96">
            <v>677</v>
          </cell>
          <cell r="Y96" t="str">
            <v>0</v>
          </cell>
          <cell r="Z96" t="str">
            <v>0</v>
          </cell>
          <cell r="AA96" t="str">
            <v>0</v>
          </cell>
          <cell r="AB96" t="str">
            <v>0</v>
          </cell>
          <cell r="AC96" t="str">
            <v>0</v>
          </cell>
          <cell r="AD96" t="str">
            <v>0</v>
          </cell>
          <cell r="AE96" t="str">
            <v>0</v>
          </cell>
        </row>
        <row r="97">
          <cell r="D97" t="str">
            <v>31-Mar</v>
          </cell>
          <cell r="E97" t="str">
            <v>0</v>
          </cell>
          <cell r="F97" t="str">
            <v>0</v>
          </cell>
          <cell r="G97">
            <v>2</v>
          </cell>
          <cell r="H97" t="str">
            <v>0</v>
          </cell>
          <cell r="I97">
            <v>1</v>
          </cell>
          <cell r="J97" t="str">
            <v>0</v>
          </cell>
          <cell r="K97" t="str">
            <v>0</v>
          </cell>
          <cell r="L97" t="str">
            <v>0</v>
          </cell>
          <cell r="M97" t="str">
            <v>0</v>
          </cell>
          <cell r="N97" t="str">
            <v>0</v>
          </cell>
          <cell r="O97" t="str">
            <v>0</v>
          </cell>
          <cell r="P97" t="str">
            <v>0</v>
          </cell>
          <cell r="Q97" t="str">
            <v>0</v>
          </cell>
          <cell r="R97" t="str">
            <v>0</v>
          </cell>
          <cell r="S97" t="str">
            <v>0</v>
          </cell>
          <cell r="T97" t="str">
            <v>0</v>
          </cell>
          <cell r="U97">
            <v>1114</v>
          </cell>
          <cell r="V97" t="str">
            <v>0</v>
          </cell>
          <cell r="W97">
            <v>1540</v>
          </cell>
          <cell r="X97" t="str">
            <v>0</v>
          </cell>
          <cell r="Y97" t="str">
            <v>0</v>
          </cell>
          <cell r="Z97" t="str">
            <v>0</v>
          </cell>
          <cell r="AA97" t="str">
            <v>0</v>
          </cell>
          <cell r="AB97" t="str">
            <v>0</v>
          </cell>
          <cell r="AC97" t="str">
            <v>0</v>
          </cell>
          <cell r="AD97" t="str">
            <v>0</v>
          </cell>
          <cell r="AE97" t="str">
            <v>0</v>
          </cell>
        </row>
        <row r="98">
          <cell r="D98" t="str">
            <v>01-Apr</v>
          </cell>
          <cell r="E98" t="str">
            <v>0</v>
          </cell>
          <cell r="F98" t="str">
            <v>0</v>
          </cell>
          <cell r="G98">
            <v>1</v>
          </cell>
          <cell r="H98" t="str">
            <v>0</v>
          </cell>
          <cell r="I98">
            <v>1</v>
          </cell>
          <cell r="J98" t="str">
            <v>0</v>
          </cell>
          <cell r="K98" t="str">
            <v>0</v>
          </cell>
          <cell r="L98" t="str">
            <v>0</v>
          </cell>
          <cell r="M98" t="str">
            <v>0</v>
          </cell>
          <cell r="N98" t="str">
            <v>0</v>
          </cell>
          <cell r="O98" t="str">
            <v>0</v>
          </cell>
          <cell r="P98" t="str">
            <v>0</v>
          </cell>
          <cell r="Q98" t="str">
            <v>0</v>
          </cell>
          <cell r="R98" t="str">
            <v>0</v>
          </cell>
          <cell r="S98" t="str">
            <v>0</v>
          </cell>
          <cell r="T98" t="str">
            <v>0</v>
          </cell>
          <cell r="U98">
            <v>1078</v>
          </cell>
          <cell r="V98" t="str">
            <v>0</v>
          </cell>
          <cell r="W98">
            <v>395</v>
          </cell>
          <cell r="X98" t="str">
            <v>0</v>
          </cell>
          <cell r="Y98" t="str">
            <v>0</v>
          </cell>
          <cell r="Z98" t="str">
            <v>0</v>
          </cell>
          <cell r="AA98" t="str">
            <v>0</v>
          </cell>
          <cell r="AB98" t="str">
            <v>0</v>
          </cell>
          <cell r="AC98" t="str">
            <v>0</v>
          </cell>
          <cell r="AD98" t="str">
            <v>0</v>
          </cell>
          <cell r="AE98" t="str">
            <v>0</v>
          </cell>
        </row>
        <row r="99">
          <cell r="D99" t="str">
            <v>02-Apr</v>
          </cell>
          <cell r="E99">
            <v>1</v>
          </cell>
          <cell r="F99" t="str">
            <v>0</v>
          </cell>
          <cell r="G99">
            <v>1</v>
          </cell>
          <cell r="H99" t="str">
            <v>0</v>
          </cell>
          <cell r="I99" t="str">
            <v>0</v>
          </cell>
          <cell r="J99" t="str">
            <v>0</v>
          </cell>
          <cell r="K99">
            <v>2</v>
          </cell>
          <cell r="L99" t="str">
            <v>0</v>
          </cell>
          <cell r="M99" t="str">
            <v>0</v>
          </cell>
          <cell r="N99" t="str">
            <v>0</v>
          </cell>
          <cell r="O99" t="str">
            <v>0</v>
          </cell>
          <cell r="P99" t="str">
            <v>0</v>
          </cell>
          <cell r="Q99" t="str">
            <v>0</v>
          </cell>
          <cell r="R99" t="str">
            <v>0</v>
          </cell>
          <cell r="S99">
            <v>368</v>
          </cell>
          <cell r="T99" t="str">
            <v>0</v>
          </cell>
          <cell r="U99">
            <v>1360</v>
          </cell>
          <cell r="V99" t="str">
            <v>0</v>
          </cell>
          <cell r="W99" t="str">
            <v>0</v>
          </cell>
          <cell r="X99" t="str">
            <v>0</v>
          </cell>
          <cell r="Y99">
            <v>1969</v>
          </cell>
          <cell r="Z99" t="str">
            <v>0</v>
          </cell>
          <cell r="AA99" t="str">
            <v>0</v>
          </cell>
          <cell r="AB99" t="str">
            <v>0</v>
          </cell>
          <cell r="AC99" t="str">
            <v>0</v>
          </cell>
          <cell r="AD99" t="str">
            <v>0</v>
          </cell>
          <cell r="AE99" t="str">
            <v>0</v>
          </cell>
        </row>
        <row r="100">
          <cell r="D100" t="str">
            <v>03-Apr</v>
          </cell>
          <cell r="E100" t="str">
            <v>0</v>
          </cell>
          <cell r="F100" t="str">
            <v>0</v>
          </cell>
          <cell r="G100">
            <v>3</v>
          </cell>
          <cell r="H100" t="str">
            <v>0</v>
          </cell>
          <cell r="I100" t="str">
            <v>0</v>
          </cell>
          <cell r="J100" t="str">
            <v>0</v>
          </cell>
          <cell r="K100">
            <v>1</v>
          </cell>
          <cell r="L100" t="str">
            <v>0</v>
          </cell>
          <cell r="M100" t="str">
            <v>0</v>
          </cell>
          <cell r="N100" t="str">
            <v>0</v>
          </cell>
          <cell r="O100" t="str">
            <v>0</v>
          </cell>
          <cell r="P100" t="str">
            <v>0</v>
          </cell>
          <cell r="Q100" t="str">
            <v>0</v>
          </cell>
          <cell r="R100" t="str">
            <v>0</v>
          </cell>
          <cell r="S100" t="str">
            <v>0</v>
          </cell>
          <cell r="T100" t="str">
            <v>0</v>
          </cell>
          <cell r="U100">
            <v>3728</v>
          </cell>
          <cell r="V100" t="str">
            <v>0</v>
          </cell>
          <cell r="W100" t="str">
            <v>0</v>
          </cell>
          <cell r="X100" t="str">
            <v>0</v>
          </cell>
          <cell r="Y100">
            <v>924</v>
          </cell>
          <cell r="Z100" t="str">
            <v>0</v>
          </cell>
          <cell r="AA100" t="str">
            <v>0</v>
          </cell>
          <cell r="AB100" t="str">
            <v>0</v>
          </cell>
          <cell r="AC100" t="str">
            <v>0</v>
          </cell>
          <cell r="AD100" t="str">
            <v>0</v>
          </cell>
          <cell r="AE100" t="str">
            <v>0</v>
          </cell>
        </row>
        <row r="101">
          <cell r="D101" t="str">
            <v>04-Apr</v>
          </cell>
          <cell r="E101" t="str">
            <v>0</v>
          </cell>
          <cell r="F101" t="str">
            <v>0</v>
          </cell>
          <cell r="G101">
            <v>2</v>
          </cell>
          <cell r="H101">
            <v>1</v>
          </cell>
          <cell r="I101" t="str">
            <v>0</v>
          </cell>
          <cell r="J101" t="str">
            <v>0</v>
          </cell>
          <cell r="K101" t="str">
            <v>0</v>
          </cell>
          <cell r="L101" t="str">
            <v>0</v>
          </cell>
          <cell r="M101" t="str">
            <v>0</v>
          </cell>
          <cell r="N101" t="str">
            <v>0</v>
          </cell>
          <cell r="O101" t="str">
            <v>0</v>
          </cell>
          <cell r="P101" t="str">
            <v>0</v>
          </cell>
          <cell r="Q101" t="str">
            <v>0</v>
          </cell>
          <cell r="R101" t="str">
            <v>0</v>
          </cell>
          <cell r="S101" t="str">
            <v>0</v>
          </cell>
          <cell r="T101" t="str">
            <v>0</v>
          </cell>
          <cell r="U101">
            <v>850</v>
          </cell>
          <cell r="V101">
            <v>1540</v>
          </cell>
          <cell r="W101" t="str">
            <v>0</v>
          </cell>
          <cell r="X101" t="str">
            <v>0</v>
          </cell>
          <cell r="Y101" t="str">
            <v>0</v>
          </cell>
          <cell r="Z101" t="str">
            <v>0</v>
          </cell>
          <cell r="AA101" t="str">
            <v>0</v>
          </cell>
          <cell r="AB101" t="str">
            <v>0</v>
          </cell>
          <cell r="AC101" t="str">
            <v>0</v>
          </cell>
          <cell r="AD101" t="str">
            <v>0</v>
          </cell>
          <cell r="AE101" t="str">
            <v>0</v>
          </cell>
        </row>
        <row r="102">
          <cell r="D102" t="str">
            <v>05-Apr</v>
          </cell>
          <cell r="E102" t="str">
            <v>0</v>
          </cell>
          <cell r="F102" t="str">
            <v>0</v>
          </cell>
          <cell r="G102">
            <v>1</v>
          </cell>
          <cell r="H102">
            <v>2</v>
          </cell>
          <cell r="I102" t="str">
            <v>0</v>
          </cell>
          <cell r="J102" t="str">
            <v>0</v>
          </cell>
          <cell r="K102" t="str">
            <v>0</v>
          </cell>
          <cell r="L102" t="str">
            <v>0</v>
          </cell>
          <cell r="M102" t="str">
            <v>0</v>
          </cell>
          <cell r="N102" t="str">
            <v>0</v>
          </cell>
          <cell r="O102" t="str">
            <v>0</v>
          </cell>
          <cell r="P102" t="str">
            <v>0</v>
          </cell>
          <cell r="Q102" t="str">
            <v>0</v>
          </cell>
          <cell r="R102" t="str">
            <v>0</v>
          </cell>
          <cell r="S102" t="str">
            <v>0</v>
          </cell>
          <cell r="T102" t="str">
            <v>0</v>
          </cell>
          <cell r="U102">
            <v>1925</v>
          </cell>
          <cell r="V102">
            <v>7469</v>
          </cell>
          <cell r="W102" t="str">
            <v>0</v>
          </cell>
          <cell r="X102" t="str">
            <v>0</v>
          </cell>
          <cell r="Y102" t="str">
            <v>0</v>
          </cell>
          <cell r="Z102" t="str">
            <v>0</v>
          </cell>
          <cell r="AA102" t="str">
            <v>0</v>
          </cell>
          <cell r="AB102" t="str">
            <v>0</v>
          </cell>
          <cell r="AC102" t="str">
            <v>0</v>
          </cell>
          <cell r="AD102" t="str">
            <v>0</v>
          </cell>
          <cell r="AE102" t="str">
            <v>0</v>
          </cell>
        </row>
        <row r="103">
          <cell r="D103" t="str">
            <v>06-Apr</v>
          </cell>
          <cell r="E103" t="str">
            <v>0</v>
          </cell>
          <cell r="F103" t="str">
            <v>0</v>
          </cell>
          <cell r="G103">
            <v>1</v>
          </cell>
          <cell r="H103" t="str">
            <v>0</v>
          </cell>
          <cell r="I103" t="str">
            <v>0</v>
          </cell>
          <cell r="J103" t="str">
            <v>0</v>
          </cell>
          <cell r="K103" t="str">
            <v>0</v>
          </cell>
          <cell r="L103" t="str">
            <v>0</v>
          </cell>
          <cell r="M103" t="str">
            <v>0</v>
          </cell>
          <cell r="N103" t="str">
            <v>0</v>
          </cell>
          <cell r="O103" t="str">
            <v>0</v>
          </cell>
          <cell r="P103" t="str">
            <v>0</v>
          </cell>
          <cell r="Q103" t="str">
            <v>0</v>
          </cell>
          <cell r="R103" t="str">
            <v>0</v>
          </cell>
          <cell r="S103" t="str">
            <v>0</v>
          </cell>
          <cell r="T103" t="str">
            <v>0</v>
          </cell>
          <cell r="U103">
            <v>4466</v>
          </cell>
          <cell r="V103" t="str">
            <v>0</v>
          </cell>
          <cell r="W103" t="str">
            <v>0</v>
          </cell>
          <cell r="X103" t="str">
            <v>0</v>
          </cell>
          <cell r="Y103" t="str">
            <v>0</v>
          </cell>
          <cell r="Z103" t="str">
            <v>0</v>
          </cell>
          <cell r="AA103" t="str">
            <v>0</v>
          </cell>
          <cell r="AB103" t="str">
            <v>0</v>
          </cell>
          <cell r="AC103" t="str">
            <v>0</v>
          </cell>
          <cell r="AD103" t="str">
            <v>0</v>
          </cell>
          <cell r="AE103" t="str">
            <v>0</v>
          </cell>
        </row>
        <row r="104">
          <cell r="D104" t="str">
            <v>07-Apr</v>
          </cell>
          <cell r="E104" t="str">
            <v>0</v>
          </cell>
          <cell r="F104" t="str">
            <v>0</v>
          </cell>
          <cell r="G104">
            <v>2</v>
          </cell>
          <cell r="H104" t="str">
            <v>0</v>
          </cell>
          <cell r="I104" t="str">
            <v>0</v>
          </cell>
          <cell r="J104" t="str">
            <v>0</v>
          </cell>
          <cell r="K104" t="str">
            <v>0</v>
          </cell>
          <cell r="L104" t="str">
            <v>0</v>
          </cell>
          <cell r="M104" t="str">
            <v>0</v>
          </cell>
          <cell r="N104" t="str">
            <v>0</v>
          </cell>
          <cell r="O104" t="str">
            <v>0</v>
          </cell>
          <cell r="P104" t="str">
            <v>0</v>
          </cell>
          <cell r="Q104" t="str">
            <v>0</v>
          </cell>
          <cell r="R104" t="str">
            <v>0</v>
          </cell>
          <cell r="S104" t="str">
            <v>0</v>
          </cell>
          <cell r="T104" t="str">
            <v>0</v>
          </cell>
          <cell r="U104">
            <v>3576</v>
          </cell>
          <cell r="V104" t="str">
            <v>0</v>
          </cell>
          <cell r="W104" t="str">
            <v>0</v>
          </cell>
          <cell r="X104" t="str">
            <v>0</v>
          </cell>
          <cell r="Y104" t="str">
            <v>0</v>
          </cell>
          <cell r="Z104" t="str">
            <v>0</v>
          </cell>
          <cell r="AA104" t="str">
            <v>0</v>
          </cell>
          <cell r="AB104" t="str">
            <v>0</v>
          </cell>
          <cell r="AC104" t="str">
            <v>0</v>
          </cell>
          <cell r="AD104" t="str">
            <v>0</v>
          </cell>
          <cell r="AE104" t="str">
            <v>0</v>
          </cell>
        </row>
        <row r="105">
          <cell r="D105" t="str">
            <v>08-Apr</v>
          </cell>
          <cell r="E105">
            <v>1</v>
          </cell>
          <cell r="F105" t="str">
            <v>0</v>
          </cell>
          <cell r="G105" t="str">
            <v>0</v>
          </cell>
          <cell r="H105">
            <v>1</v>
          </cell>
          <cell r="I105" t="str">
            <v>0</v>
          </cell>
          <cell r="J105" t="str">
            <v>0</v>
          </cell>
          <cell r="K105" t="str">
            <v>0</v>
          </cell>
          <cell r="L105" t="str">
            <v>0</v>
          </cell>
          <cell r="M105" t="str">
            <v>0</v>
          </cell>
          <cell r="N105" t="str">
            <v>0</v>
          </cell>
          <cell r="O105" t="str">
            <v>0</v>
          </cell>
          <cell r="P105" t="str">
            <v>0</v>
          </cell>
          <cell r="Q105" t="str">
            <v>0</v>
          </cell>
          <cell r="R105" t="str">
            <v>0</v>
          </cell>
          <cell r="S105">
            <v>1216</v>
          </cell>
          <cell r="T105" t="str">
            <v>0</v>
          </cell>
          <cell r="U105" t="str">
            <v>0</v>
          </cell>
          <cell r="V105">
            <v>2464</v>
          </cell>
          <cell r="W105" t="str">
            <v>0</v>
          </cell>
          <cell r="X105" t="str">
            <v>0</v>
          </cell>
          <cell r="Y105" t="str">
            <v>0</v>
          </cell>
          <cell r="Z105" t="str">
            <v>0</v>
          </cell>
          <cell r="AA105" t="str">
            <v>0</v>
          </cell>
          <cell r="AB105" t="str">
            <v>0</v>
          </cell>
          <cell r="AC105" t="str">
            <v>0</v>
          </cell>
          <cell r="AD105" t="str">
            <v>0</v>
          </cell>
          <cell r="AE105" t="str">
            <v>0</v>
          </cell>
        </row>
        <row r="106">
          <cell r="D106" t="str">
            <v>09-Apr</v>
          </cell>
          <cell r="E106" t="str">
            <v>0</v>
          </cell>
          <cell r="F106" t="str">
            <v>0</v>
          </cell>
          <cell r="G106" t="str">
            <v>0</v>
          </cell>
          <cell r="H106" t="str">
            <v>0</v>
          </cell>
          <cell r="I106" t="str">
            <v>0</v>
          </cell>
          <cell r="J106" t="str">
            <v>0</v>
          </cell>
          <cell r="K106" t="str">
            <v>0</v>
          </cell>
          <cell r="L106" t="str">
            <v>0</v>
          </cell>
          <cell r="M106" t="str">
            <v>0</v>
          </cell>
          <cell r="N106" t="str">
            <v>0</v>
          </cell>
          <cell r="O106" t="str">
            <v>0</v>
          </cell>
          <cell r="P106" t="str">
            <v>0</v>
          </cell>
          <cell r="Q106" t="str">
            <v>0</v>
          </cell>
          <cell r="R106" t="str">
            <v>0</v>
          </cell>
          <cell r="S106" t="str">
            <v>0</v>
          </cell>
          <cell r="T106" t="str">
            <v>0</v>
          </cell>
          <cell r="U106" t="str">
            <v>0</v>
          </cell>
          <cell r="V106" t="str">
            <v>0</v>
          </cell>
          <cell r="W106" t="str">
            <v>0</v>
          </cell>
          <cell r="X106" t="str">
            <v>0</v>
          </cell>
          <cell r="Y106" t="str">
            <v>0</v>
          </cell>
          <cell r="Z106" t="str">
            <v>0</v>
          </cell>
          <cell r="AA106" t="str">
            <v>0</v>
          </cell>
          <cell r="AB106" t="str">
            <v>0</v>
          </cell>
          <cell r="AC106" t="str">
            <v>0</v>
          </cell>
          <cell r="AD106" t="str">
            <v>0</v>
          </cell>
          <cell r="AE106" t="str">
            <v>0</v>
          </cell>
        </row>
        <row r="107">
          <cell r="D107" t="str">
            <v>10-Apr</v>
          </cell>
          <cell r="E107">
            <v>1</v>
          </cell>
          <cell r="F107" t="str">
            <v>0</v>
          </cell>
          <cell r="G107">
            <v>4</v>
          </cell>
          <cell r="H107" t="str">
            <v>0</v>
          </cell>
          <cell r="I107">
            <v>2</v>
          </cell>
          <cell r="J107">
            <v>2</v>
          </cell>
          <cell r="K107" t="str">
            <v>0</v>
          </cell>
          <cell r="L107" t="str">
            <v>0</v>
          </cell>
          <cell r="M107" t="str">
            <v>0</v>
          </cell>
          <cell r="N107" t="str">
            <v>0</v>
          </cell>
          <cell r="O107" t="str">
            <v>0</v>
          </cell>
          <cell r="P107" t="str">
            <v>0</v>
          </cell>
          <cell r="Q107" t="str">
            <v>0</v>
          </cell>
          <cell r="R107" t="str">
            <v>0</v>
          </cell>
          <cell r="S107">
            <v>1078</v>
          </cell>
          <cell r="T107" t="str">
            <v>0</v>
          </cell>
          <cell r="U107">
            <v>9576</v>
          </cell>
          <cell r="V107" t="str">
            <v>0</v>
          </cell>
          <cell r="W107">
            <v>1925</v>
          </cell>
          <cell r="X107">
            <v>1591</v>
          </cell>
          <cell r="Y107" t="str">
            <v>0</v>
          </cell>
          <cell r="Z107" t="str">
            <v>0</v>
          </cell>
          <cell r="AA107" t="str">
            <v>0</v>
          </cell>
          <cell r="AB107" t="str">
            <v>0</v>
          </cell>
          <cell r="AC107" t="str">
            <v>0</v>
          </cell>
          <cell r="AD107" t="str">
            <v>0</v>
          </cell>
          <cell r="AE107" t="str">
            <v>0</v>
          </cell>
        </row>
        <row r="108">
          <cell r="D108" t="str">
            <v>11-Apr</v>
          </cell>
          <cell r="E108" t="str">
            <v>0</v>
          </cell>
          <cell r="F108" t="str">
            <v>0</v>
          </cell>
          <cell r="G108">
            <v>1</v>
          </cell>
          <cell r="H108">
            <v>3</v>
          </cell>
          <cell r="I108" t="str">
            <v>0</v>
          </cell>
          <cell r="J108">
            <v>1</v>
          </cell>
          <cell r="K108">
            <v>1</v>
          </cell>
          <cell r="L108" t="str">
            <v>0</v>
          </cell>
          <cell r="M108" t="str">
            <v>0</v>
          </cell>
          <cell r="N108" t="str">
            <v>0</v>
          </cell>
          <cell r="O108" t="str">
            <v>0</v>
          </cell>
          <cell r="P108" t="str">
            <v>0</v>
          </cell>
          <cell r="Q108" t="str">
            <v>0</v>
          </cell>
          <cell r="R108" t="str">
            <v>0</v>
          </cell>
          <cell r="S108" t="str">
            <v>0</v>
          </cell>
          <cell r="T108" t="str">
            <v>0</v>
          </cell>
          <cell r="U108">
            <v>2310</v>
          </cell>
          <cell r="V108">
            <v>4363</v>
          </cell>
          <cell r="W108" t="str">
            <v>0</v>
          </cell>
          <cell r="X108">
            <v>1232</v>
          </cell>
          <cell r="Y108">
            <v>410</v>
          </cell>
          <cell r="Z108" t="str">
            <v>0</v>
          </cell>
          <cell r="AA108" t="str">
            <v>0</v>
          </cell>
          <cell r="AB108" t="str">
            <v>0</v>
          </cell>
          <cell r="AC108" t="str">
            <v>0</v>
          </cell>
          <cell r="AD108" t="str">
            <v>0</v>
          </cell>
          <cell r="AE108" t="str">
            <v>0</v>
          </cell>
        </row>
        <row r="109">
          <cell r="D109" t="str">
            <v>12-Apr</v>
          </cell>
          <cell r="E109" t="str">
            <v>0</v>
          </cell>
          <cell r="F109" t="str">
            <v>0</v>
          </cell>
          <cell r="G109">
            <v>1</v>
          </cell>
          <cell r="H109">
            <v>1</v>
          </cell>
          <cell r="I109" t="str">
            <v>0</v>
          </cell>
          <cell r="J109">
            <v>1</v>
          </cell>
          <cell r="K109" t="str">
            <v>0</v>
          </cell>
          <cell r="L109" t="str">
            <v>0</v>
          </cell>
          <cell r="M109" t="str">
            <v>0</v>
          </cell>
          <cell r="N109" t="str">
            <v>0</v>
          </cell>
          <cell r="O109" t="str">
            <v>0</v>
          </cell>
          <cell r="P109" t="str">
            <v>0</v>
          </cell>
          <cell r="Q109" t="str">
            <v>0</v>
          </cell>
          <cell r="R109" t="str">
            <v>0</v>
          </cell>
          <cell r="S109" t="str">
            <v>0</v>
          </cell>
          <cell r="T109" t="str">
            <v>0</v>
          </cell>
          <cell r="U109">
            <v>645</v>
          </cell>
          <cell r="V109">
            <v>1319</v>
          </cell>
          <cell r="W109" t="str">
            <v>0</v>
          </cell>
          <cell r="X109">
            <v>454</v>
          </cell>
          <cell r="Y109" t="str">
            <v>0</v>
          </cell>
          <cell r="Z109" t="str">
            <v>0</v>
          </cell>
          <cell r="AA109" t="str">
            <v>0</v>
          </cell>
          <cell r="AB109" t="str">
            <v>0</v>
          </cell>
          <cell r="AC109" t="str">
            <v>0</v>
          </cell>
          <cell r="AD109" t="str">
            <v>0</v>
          </cell>
          <cell r="AE109" t="str">
            <v>0</v>
          </cell>
        </row>
        <row r="110">
          <cell r="D110" t="str">
            <v>13-Apr</v>
          </cell>
          <cell r="E110" t="str">
            <v>0</v>
          </cell>
          <cell r="F110" t="str">
            <v>0</v>
          </cell>
          <cell r="G110">
            <v>1</v>
          </cell>
          <cell r="H110" t="str">
            <v>0</v>
          </cell>
          <cell r="I110" t="str">
            <v>0</v>
          </cell>
          <cell r="J110" t="str">
            <v>0</v>
          </cell>
          <cell r="K110" t="str">
            <v>0</v>
          </cell>
          <cell r="L110" t="str">
            <v>0</v>
          </cell>
          <cell r="M110" t="str">
            <v>0</v>
          </cell>
          <cell r="N110" t="str">
            <v>0</v>
          </cell>
          <cell r="O110" t="str">
            <v>0</v>
          </cell>
          <cell r="P110" t="str">
            <v>0</v>
          </cell>
          <cell r="Q110" t="str">
            <v>0</v>
          </cell>
          <cell r="R110" t="str">
            <v>0</v>
          </cell>
          <cell r="S110" t="str">
            <v>0</v>
          </cell>
          <cell r="T110" t="str">
            <v>0</v>
          </cell>
          <cell r="U110">
            <v>1232</v>
          </cell>
          <cell r="V110" t="str">
            <v>0</v>
          </cell>
          <cell r="W110" t="str">
            <v>0</v>
          </cell>
          <cell r="X110" t="str">
            <v>0</v>
          </cell>
          <cell r="Y110" t="str">
            <v>0</v>
          </cell>
          <cell r="Z110" t="str">
            <v>0</v>
          </cell>
          <cell r="AA110" t="str">
            <v>0</v>
          </cell>
          <cell r="AB110" t="str">
            <v>0</v>
          </cell>
          <cell r="AC110" t="str">
            <v>0</v>
          </cell>
          <cell r="AD110" t="str">
            <v>0</v>
          </cell>
          <cell r="AE110" t="str">
            <v>0</v>
          </cell>
        </row>
        <row r="111">
          <cell r="D111" t="str">
            <v>14-Apr</v>
          </cell>
          <cell r="E111">
            <v>1</v>
          </cell>
          <cell r="F111" t="str">
            <v>0</v>
          </cell>
          <cell r="G111" t="str">
            <v>0</v>
          </cell>
          <cell r="H111" t="str">
            <v>0</v>
          </cell>
          <cell r="I111" t="str">
            <v>0</v>
          </cell>
          <cell r="J111" t="str">
            <v>0</v>
          </cell>
          <cell r="K111" t="str">
            <v>0</v>
          </cell>
          <cell r="L111" t="str">
            <v>0</v>
          </cell>
          <cell r="M111" t="str">
            <v>0</v>
          </cell>
          <cell r="N111" t="str">
            <v>0</v>
          </cell>
          <cell r="O111" t="str">
            <v>0</v>
          </cell>
          <cell r="P111" t="str">
            <v>0</v>
          </cell>
          <cell r="Q111" t="str">
            <v>0</v>
          </cell>
          <cell r="R111" t="str">
            <v>0</v>
          </cell>
          <cell r="S111">
            <v>3609</v>
          </cell>
          <cell r="T111" t="str">
            <v>0</v>
          </cell>
          <cell r="U111" t="str">
            <v>0</v>
          </cell>
          <cell r="V111" t="str">
            <v>0</v>
          </cell>
          <cell r="W111" t="str">
            <v>0</v>
          </cell>
          <cell r="X111" t="str">
            <v>0</v>
          </cell>
          <cell r="Y111" t="str">
            <v>0</v>
          </cell>
          <cell r="Z111" t="str">
            <v>0</v>
          </cell>
          <cell r="AA111" t="str">
            <v>0</v>
          </cell>
          <cell r="AB111" t="str">
            <v>0</v>
          </cell>
          <cell r="AC111" t="str">
            <v>0</v>
          </cell>
          <cell r="AD111" t="str">
            <v>0</v>
          </cell>
          <cell r="AE111" t="str">
            <v>0</v>
          </cell>
        </row>
        <row r="112">
          <cell r="D112" t="str">
            <v>15-Apr</v>
          </cell>
          <cell r="E112" t="str">
            <v>0</v>
          </cell>
          <cell r="F112" t="str">
            <v>0</v>
          </cell>
          <cell r="G112">
            <v>3</v>
          </cell>
          <cell r="H112" t="str">
            <v>0</v>
          </cell>
          <cell r="I112" t="str">
            <v>0</v>
          </cell>
          <cell r="J112">
            <v>1</v>
          </cell>
          <cell r="K112">
            <v>8</v>
          </cell>
          <cell r="L112" t="str">
            <v>0</v>
          </cell>
          <cell r="M112" t="str">
            <v>0</v>
          </cell>
          <cell r="N112" t="str">
            <v>0</v>
          </cell>
          <cell r="O112" t="str">
            <v>0</v>
          </cell>
          <cell r="P112" t="str">
            <v>0</v>
          </cell>
          <cell r="Q112" t="str">
            <v>0</v>
          </cell>
          <cell r="R112" t="str">
            <v>0</v>
          </cell>
          <cell r="S112" t="str">
            <v>0</v>
          </cell>
          <cell r="T112" t="str">
            <v>0</v>
          </cell>
          <cell r="U112">
            <v>5343</v>
          </cell>
          <cell r="V112" t="str">
            <v>0</v>
          </cell>
          <cell r="W112" t="str">
            <v>0</v>
          </cell>
          <cell r="X112">
            <v>1039</v>
          </cell>
          <cell r="Y112">
            <v>7765</v>
          </cell>
          <cell r="Z112" t="str">
            <v>0</v>
          </cell>
          <cell r="AA112" t="str">
            <v>0</v>
          </cell>
          <cell r="AB112" t="str">
            <v>0</v>
          </cell>
          <cell r="AC112" t="str">
            <v>0</v>
          </cell>
          <cell r="AD112" t="str">
            <v>0</v>
          </cell>
          <cell r="AE112" t="str">
            <v>0</v>
          </cell>
        </row>
        <row r="113">
          <cell r="D113" t="str">
            <v>16-Apr</v>
          </cell>
          <cell r="E113">
            <v>1</v>
          </cell>
          <cell r="F113" t="str">
            <v>0</v>
          </cell>
          <cell r="G113">
            <v>1</v>
          </cell>
          <cell r="H113" t="str">
            <v>0</v>
          </cell>
          <cell r="I113" t="str">
            <v>0</v>
          </cell>
          <cell r="J113" t="str">
            <v>0</v>
          </cell>
          <cell r="K113" t="str">
            <v>0</v>
          </cell>
          <cell r="L113" t="str">
            <v>0</v>
          </cell>
          <cell r="M113" t="str">
            <v>0</v>
          </cell>
          <cell r="N113" t="str">
            <v>0</v>
          </cell>
          <cell r="O113" t="str">
            <v>0</v>
          </cell>
          <cell r="P113" t="str">
            <v>0</v>
          </cell>
          <cell r="Q113" t="str">
            <v>0</v>
          </cell>
          <cell r="R113" t="str">
            <v>0</v>
          </cell>
          <cell r="S113">
            <v>1760</v>
          </cell>
          <cell r="T113" t="str">
            <v>0</v>
          </cell>
          <cell r="U113">
            <v>934</v>
          </cell>
          <cell r="V113" t="str">
            <v>0</v>
          </cell>
          <cell r="W113" t="str">
            <v>0</v>
          </cell>
          <cell r="X113" t="str">
            <v>0</v>
          </cell>
          <cell r="Y113" t="str">
            <v>0</v>
          </cell>
          <cell r="Z113" t="str">
            <v>0</v>
          </cell>
          <cell r="AA113" t="str">
            <v>0</v>
          </cell>
          <cell r="AB113" t="str">
            <v>0</v>
          </cell>
          <cell r="AC113" t="str">
            <v>0</v>
          </cell>
          <cell r="AD113" t="str">
            <v>0</v>
          </cell>
          <cell r="AE113" t="str">
            <v>0</v>
          </cell>
        </row>
        <row r="114">
          <cell r="D114" t="str">
            <v>17-Apr</v>
          </cell>
          <cell r="E114" t="str">
            <v>0</v>
          </cell>
          <cell r="F114" t="str">
            <v>0</v>
          </cell>
          <cell r="G114">
            <v>1</v>
          </cell>
          <cell r="H114" t="str">
            <v>0</v>
          </cell>
          <cell r="I114" t="str">
            <v>0</v>
          </cell>
          <cell r="J114" t="str">
            <v>0</v>
          </cell>
          <cell r="K114">
            <v>1</v>
          </cell>
          <cell r="L114" t="str">
            <v>0</v>
          </cell>
          <cell r="M114" t="str">
            <v>0</v>
          </cell>
          <cell r="N114" t="str">
            <v>0</v>
          </cell>
          <cell r="O114" t="str">
            <v>0</v>
          </cell>
          <cell r="P114" t="str">
            <v>0</v>
          </cell>
          <cell r="Q114" t="str">
            <v>0</v>
          </cell>
          <cell r="R114" t="str">
            <v>0</v>
          </cell>
          <cell r="S114" t="str">
            <v>0</v>
          </cell>
          <cell r="T114" t="str">
            <v>0</v>
          </cell>
          <cell r="U114">
            <v>462</v>
          </cell>
          <cell r="V114" t="str">
            <v>0</v>
          </cell>
          <cell r="W114" t="str">
            <v>0</v>
          </cell>
          <cell r="X114" t="str">
            <v>0</v>
          </cell>
          <cell r="Y114">
            <v>431</v>
          </cell>
          <cell r="Z114" t="str">
            <v>0</v>
          </cell>
          <cell r="AA114" t="str">
            <v>0</v>
          </cell>
          <cell r="AB114" t="str">
            <v>0</v>
          </cell>
          <cell r="AC114" t="str">
            <v>0</v>
          </cell>
          <cell r="AD114" t="str">
            <v>0</v>
          </cell>
          <cell r="AE114" t="str">
            <v>0</v>
          </cell>
        </row>
        <row r="115">
          <cell r="D115" t="str">
            <v>18-Apr</v>
          </cell>
          <cell r="E115" t="str">
            <v>0</v>
          </cell>
          <cell r="F115" t="str">
            <v>0</v>
          </cell>
          <cell r="G115" t="str">
            <v>0</v>
          </cell>
          <cell r="H115">
            <v>1</v>
          </cell>
          <cell r="I115" t="str">
            <v>0</v>
          </cell>
          <cell r="J115" t="str">
            <v>0</v>
          </cell>
          <cell r="K115">
            <v>1</v>
          </cell>
          <cell r="L115" t="str">
            <v>0</v>
          </cell>
          <cell r="M115" t="str">
            <v>0</v>
          </cell>
          <cell r="N115" t="str">
            <v>0</v>
          </cell>
          <cell r="O115" t="str">
            <v>0</v>
          </cell>
          <cell r="P115" t="str">
            <v>0</v>
          </cell>
          <cell r="Q115" t="str">
            <v>0</v>
          </cell>
          <cell r="R115" t="str">
            <v>0</v>
          </cell>
          <cell r="S115" t="str">
            <v>0</v>
          </cell>
          <cell r="T115" t="str">
            <v>0</v>
          </cell>
          <cell r="U115" t="str">
            <v>0</v>
          </cell>
          <cell r="V115">
            <v>1925</v>
          </cell>
          <cell r="W115" t="str">
            <v>0</v>
          </cell>
          <cell r="X115" t="str">
            <v>0</v>
          </cell>
          <cell r="Y115">
            <v>1039</v>
          </cell>
          <cell r="Z115" t="str">
            <v>0</v>
          </cell>
          <cell r="AA115" t="str">
            <v>0</v>
          </cell>
          <cell r="AB115" t="str">
            <v>0</v>
          </cell>
          <cell r="AC115" t="str">
            <v>0</v>
          </cell>
          <cell r="AD115" t="str">
            <v>0</v>
          </cell>
          <cell r="AE115" t="str">
            <v>0</v>
          </cell>
        </row>
        <row r="116">
          <cell r="D116" t="str">
            <v>19-Apr</v>
          </cell>
          <cell r="E116" t="str">
            <v>0</v>
          </cell>
          <cell r="F116" t="str">
            <v>0</v>
          </cell>
          <cell r="G116">
            <v>2</v>
          </cell>
          <cell r="H116" t="str">
            <v>0</v>
          </cell>
          <cell r="I116" t="str">
            <v>0</v>
          </cell>
          <cell r="J116" t="str">
            <v>0</v>
          </cell>
          <cell r="K116">
            <v>1</v>
          </cell>
          <cell r="L116" t="str">
            <v>0</v>
          </cell>
          <cell r="M116" t="str">
            <v>0</v>
          </cell>
          <cell r="N116" t="str">
            <v>0</v>
          </cell>
          <cell r="O116" t="str">
            <v>0</v>
          </cell>
          <cell r="P116" t="str">
            <v>0</v>
          </cell>
          <cell r="Q116" t="str">
            <v>0</v>
          </cell>
          <cell r="R116" t="str">
            <v>0</v>
          </cell>
          <cell r="S116" t="str">
            <v>0</v>
          </cell>
          <cell r="T116" t="str">
            <v>0</v>
          </cell>
          <cell r="U116">
            <v>2320</v>
          </cell>
          <cell r="V116" t="str">
            <v>0</v>
          </cell>
          <cell r="W116" t="str">
            <v>0</v>
          </cell>
          <cell r="X116" t="str">
            <v>0</v>
          </cell>
          <cell r="Y116">
            <v>1062</v>
          </cell>
          <cell r="Z116" t="str">
            <v>0</v>
          </cell>
          <cell r="AA116" t="str">
            <v>0</v>
          </cell>
          <cell r="AB116" t="str">
            <v>0</v>
          </cell>
          <cell r="AC116" t="str">
            <v>0</v>
          </cell>
          <cell r="AD116" t="str">
            <v>0</v>
          </cell>
          <cell r="AE116" t="str">
            <v>0</v>
          </cell>
        </row>
        <row r="117">
          <cell r="D117" t="str">
            <v>20-Apr</v>
          </cell>
          <cell r="E117" t="str">
            <v>0</v>
          </cell>
          <cell r="F117" t="str">
            <v>0</v>
          </cell>
          <cell r="G117">
            <v>2</v>
          </cell>
          <cell r="H117">
            <v>1</v>
          </cell>
          <cell r="I117" t="str">
            <v>0</v>
          </cell>
          <cell r="J117" t="str">
            <v>0</v>
          </cell>
          <cell r="K117" t="str">
            <v>0</v>
          </cell>
          <cell r="L117" t="str">
            <v>0</v>
          </cell>
          <cell r="M117" t="str">
            <v>0</v>
          </cell>
          <cell r="N117" t="str">
            <v>0</v>
          </cell>
          <cell r="O117" t="str">
            <v>0</v>
          </cell>
          <cell r="P117" t="str">
            <v>0</v>
          </cell>
          <cell r="Q117" t="str">
            <v>0</v>
          </cell>
          <cell r="R117" t="str">
            <v>0</v>
          </cell>
          <cell r="S117" t="str">
            <v>0</v>
          </cell>
          <cell r="T117" t="str">
            <v>0</v>
          </cell>
          <cell r="U117">
            <v>2959</v>
          </cell>
          <cell r="V117">
            <v>1925</v>
          </cell>
          <cell r="W117" t="str">
            <v>0</v>
          </cell>
          <cell r="X117" t="str">
            <v>0</v>
          </cell>
          <cell r="Y117" t="str">
            <v>0</v>
          </cell>
          <cell r="Z117" t="str">
            <v>0</v>
          </cell>
          <cell r="AA117" t="str">
            <v>0</v>
          </cell>
          <cell r="AB117" t="str">
            <v>0</v>
          </cell>
          <cell r="AC117" t="str">
            <v>0</v>
          </cell>
          <cell r="AD117" t="str">
            <v>0</v>
          </cell>
          <cell r="AE117" t="str">
            <v>0</v>
          </cell>
        </row>
        <row r="118">
          <cell r="D118" t="str">
            <v>21-Apr</v>
          </cell>
          <cell r="E118" t="str">
            <v>0</v>
          </cell>
          <cell r="F118" t="str">
            <v>0</v>
          </cell>
          <cell r="G118">
            <v>2</v>
          </cell>
          <cell r="H118">
            <v>1</v>
          </cell>
          <cell r="I118" t="str">
            <v>0</v>
          </cell>
          <cell r="J118">
            <v>1</v>
          </cell>
          <cell r="K118">
            <v>1</v>
          </cell>
          <cell r="L118" t="str">
            <v>0</v>
          </cell>
          <cell r="M118" t="str">
            <v>0</v>
          </cell>
          <cell r="N118" t="str">
            <v>0</v>
          </cell>
          <cell r="O118" t="str">
            <v>0</v>
          </cell>
          <cell r="P118" t="str">
            <v>0</v>
          </cell>
          <cell r="Q118" t="str">
            <v>0</v>
          </cell>
          <cell r="R118" t="str">
            <v>0</v>
          </cell>
          <cell r="S118" t="str">
            <v>0</v>
          </cell>
          <cell r="T118" t="str">
            <v>0</v>
          </cell>
          <cell r="U118">
            <v>5390</v>
          </cell>
          <cell r="V118">
            <v>2233</v>
          </cell>
          <cell r="W118" t="str">
            <v>0</v>
          </cell>
          <cell r="X118">
            <v>1386</v>
          </cell>
          <cell r="Y118">
            <v>924</v>
          </cell>
          <cell r="Z118" t="str">
            <v>0</v>
          </cell>
          <cell r="AA118" t="str">
            <v>0</v>
          </cell>
          <cell r="AB118" t="str">
            <v>0</v>
          </cell>
          <cell r="AC118" t="str">
            <v>0</v>
          </cell>
          <cell r="AD118" t="str">
            <v>0</v>
          </cell>
          <cell r="AE118" t="str">
            <v>0</v>
          </cell>
        </row>
        <row r="119">
          <cell r="D119" t="str">
            <v>22-Apr</v>
          </cell>
          <cell r="E119" t="str">
            <v>0</v>
          </cell>
          <cell r="F119" t="str">
            <v>0</v>
          </cell>
          <cell r="G119" t="str">
            <v>0</v>
          </cell>
          <cell r="H119" t="str">
            <v>0</v>
          </cell>
          <cell r="I119">
            <v>1</v>
          </cell>
          <cell r="J119" t="str">
            <v>0</v>
          </cell>
          <cell r="K119" t="str">
            <v>0</v>
          </cell>
          <cell r="L119" t="str">
            <v>0</v>
          </cell>
          <cell r="M119">
            <v>4</v>
          </cell>
          <cell r="N119" t="str">
            <v>0</v>
          </cell>
          <cell r="O119" t="str">
            <v>0</v>
          </cell>
          <cell r="P119" t="str">
            <v>0</v>
          </cell>
          <cell r="Q119" t="str">
            <v>0</v>
          </cell>
          <cell r="R119" t="str">
            <v>0</v>
          </cell>
          <cell r="S119" t="str">
            <v>0</v>
          </cell>
          <cell r="T119" t="str">
            <v>0</v>
          </cell>
          <cell r="U119" t="str">
            <v>0</v>
          </cell>
          <cell r="V119" t="str">
            <v>0</v>
          </cell>
          <cell r="W119">
            <v>2720</v>
          </cell>
          <cell r="X119" t="str">
            <v>0</v>
          </cell>
          <cell r="Y119" t="str">
            <v>0</v>
          </cell>
          <cell r="Z119" t="str">
            <v>0</v>
          </cell>
          <cell r="AA119">
            <v>5613</v>
          </cell>
          <cell r="AB119" t="str">
            <v>0</v>
          </cell>
          <cell r="AC119" t="str">
            <v>0</v>
          </cell>
          <cell r="AD119" t="str">
            <v>0</v>
          </cell>
          <cell r="AE119" t="str">
            <v>0</v>
          </cell>
        </row>
        <row r="120">
          <cell r="D120" t="str">
            <v>23-Apr</v>
          </cell>
          <cell r="E120">
            <v>1</v>
          </cell>
          <cell r="F120" t="str">
            <v>0</v>
          </cell>
          <cell r="G120" t="str">
            <v>0</v>
          </cell>
          <cell r="H120" t="str">
            <v>0</v>
          </cell>
          <cell r="I120" t="str">
            <v>0</v>
          </cell>
          <cell r="J120" t="str">
            <v>0</v>
          </cell>
          <cell r="K120" t="str">
            <v>0</v>
          </cell>
          <cell r="L120" t="str">
            <v>0</v>
          </cell>
          <cell r="M120" t="str">
            <v>0</v>
          </cell>
          <cell r="N120" t="str">
            <v>0</v>
          </cell>
          <cell r="O120" t="str">
            <v>0</v>
          </cell>
          <cell r="P120" t="str">
            <v>0</v>
          </cell>
          <cell r="Q120" t="str">
            <v>0</v>
          </cell>
          <cell r="R120" t="str">
            <v>0</v>
          </cell>
          <cell r="S120">
            <v>1031</v>
          </cell>
          <cell r="T120" t="str">
            <v>0</v>
          </cell>
          <cell r="U120" t="str">
            <v>0</v>
          </cell>
          <cell r="V120" t="str">
            <v>0</v>
          </cell>
          <cell r="W120" t="str">
            <v>0</v>
          </cell>
          <cell r="X120" t="str">
            <v>0</v>
          </cell>
          <cell r="Y120" t="str">
            <v>0</v>
          </cell>
          <cell r="Z120" t="str">
            <v>0</v>
          </cell>
          <cell r="AA120" t="str">
            <v>0</v>
          </cell>
          <cell r="AB120" t="str">
            <v>0</v>
          </cell>
          <cell r="AC120" t="str">
            <v>0</v>
          </cell>
          <cell r="AD120" t="str">
            <v>0</v>
          </cell>
          <cell r="AE120" t="str">
            <v>0</v>
          </cell>
        </row>
        <row r="121">
          <cell r="D121" t="str">
            <v>24-Apr</v>
          </cell>
          <cell r="E121" t="str">
            <v>0</v>
          </cell>
          <cell r="F121" t="str">
            <v>0</v>
          </cell>
          <cell r="G121" t="str">
            <v>0</v>
          </cell>
          <cell r="H121" t="str">
            <v>0</v>
          </cell>
          <cell r="I121" t="str">
            <v>0</v>
          </cell>
          <cell r="J121" t="str">
            <v>0</v>
          </cell>
          <cell r="K121">
            <v>3</v>
          </cell>
          <cell r="L121" t="str">
            <v>0</v>
          </cell>
          <cell r="M121" t="str">
            <v>0</v>
          </cell>
          <cell r="N121" t="str">
            <v>0</v>
          </cell>
          <cell r="O121" t="str">
            <v>0</v>
          </cell>
          <cell r="P121" t="str">
            <v>0</v>
          </cell>
          <cell r="Q121" t="str">
            <v>0</v>
          </cell>
          <cell r="R121" t="str">
            <v>0</v>
          </cell>
          <cell r="S121" t="str">
            <v>0</v>
          </cell>
          <cell r="T121" t="str">
            <v>0</v>
          </cell>
          <cell r="U121" t="str">
            <v>0</v>
          </cell>
          <cell r="V121" t="str">
            <v>0</v>
          </cell>
          <cell r="W121" t="str">
            <v>0</v>
          </cell>
          <cell r="X121" t="str">
            <v>0</v>
          </cell>
          <cell r="Y121">
            <v>3116</v>
          </cell>
          <cell r="Z121" t="str">
            <v>0</v>
          </cell>
          <cell r="AA121" t="str">
            <v>0</v>
          </cell>
          <cell r="AB121" t="str">
            <v>0</v>
          </cell>
          <cell r="AC121" t="str">
            <v>0</v>
          </cell>
          <cell r="AD121" t="str">
            <v>0</v>
          </cell>
          <cell r="AE121" t="str">
            <v>0</v>
          </cell>
        </row>
        <row r="122">
          <cell r="D122" t="str">
            <v>25-Apr</v>
          </cell>
          <cell r="E122" t="str">
            <v>0</v>
          </cell>
          <cell r="F122" t="str">
            <v>0</v>
          </cell>
          <cell r="G122" t="str">
            <v>0</v>
          </cell>
          <cell r="H122">
            <v>1</v>
          </cell>
          <cell r="I122" t="str">
            <v>0</v>
          </cell>
          <cell r="J122" t="str">
            <v>0</v>
          </cell>
          <cell r="K122" t="str">
            <v>0</v>
          </cell>
          <cell r="L122" t="str">
            <v>0</v>
          </cell>
          <cell r="M122" t="str">
            <v>0</v>
          </cell>
          <cell r="N122" t="str">
            <v>0</v>
          </cell>
          <cell r="O122" t="str">
            <v>0</v>
          </cell>
          <cell r="P122" t="str">
            <v>0</v>
          </cell>
          <cell r="Q122" t="str">
            <v>0</v>
          </cell>
          <cell r="R122" t="str">
            <v>0</v>
          </cell>
          <cell r="S122" t="str">
            <v>0</v>
          </cell>
          <cell r="T122" t="str">
            <v>0</v>
          </cell>
          <cell r="U122" t="str">
            <v>0</v>
          </cell>
          <cell r="V122">
            <v>3040</v>
          </cell>
          <cell r="W122" t="str">
            <v>0</v>
          </cell>
          <cell r="X122" t="str">
            <v>0</v>
          </cell>
          <cell r="Y122" t="str">
            <v>0</v>
          </cell>
          <cell r="Z122" t="str">
            <v>0</v>
          </cell>
          <cell r="AA122" t="str">
            <v>0</v>
          </cell>
          <cell r="AB122" t="str">
            <v>0</v>
          </cell>
          <cell r="AC122" t="str">
            <v>0</v>
          </cell>
          <cell r="AD122" t="str">
            <v>0</v>
          </cell>
          <cell r="AE122" t="str">
            <v>0</v>
          </cell>
        </row>
        <row r="123">
          <cell r="D123" t="str">
            <v>26-Apr</v>
          </cell>
          <cell r="E123" t="str">
            <v>0</v>
          </cell>
          <cell r="F123" t="str">
            <v>0</v>
          </cell>
          <cell r="G123">
            <v>2</v>
          </cell>
          <cell r="H123" t="str">
            <v>0</v>
          </cell>
          <cell r="I123" t="str">
            <v>0</v>
          </cell>
          <cell r="J123" t="str">
            <v>0</v>
          </cell>
          <cell r="K123">
            <v>5</v>
          </cell>
          <cell r="L123" t="str">
            <v>0</v>
          </cell>
          <cell r="M123" t="str">
            <v>0</v>
          </cell>
          <cell r="N123" t="str">
            <v>0</v>
          </cell>
          <cell r="O123" t="str">
            <v>0</v>
          </cell>
          <cell r="P123" t="str">
            <v>0</v>
          </cell>
          <cell r="Q123" t="str">
            <v>0</v>
          </cell>
          <cell r="R123" t="str">
            <v>0</v>
          </cell>
          <cell r="S123" t="str">
            <v>0</v>
          </cell>
          <cell r="T123" t="str">
            <v>0</v>
          </cell>
          <cell r="U123">
            <v>5991</v>
          </cell>
          <cell r="V123" t="str">
            <v>0</v>
          </cell>
          <cell r="W123" t="str">
            <v>0</v>
          </cell>
          <cell r="X123" t="str">
            <v>0</v>
          </cell>
          <cell r="Y123">
            <v>4054</v>
          </cell>
          <cell r="Z123" t="str">
            <v>0</v>
          </cell>
          <cell r="AA123" t="str">
            <v>0</v>
          </cell>
          <cell r="AB123" t="str">
            <v>0</v>
          </cell>
          <cell r="AC123" t="str">
            <v>0</v>
          </cell>
          <cell r="AD123" t="str">
            <v>0</v>
          </cell>
          <cell r="AE123" t="str">
            <v>0</v>
          </cell>
        </row>
        <row r="124">
          <cell r="D124" t="str">
            <v>27-Apr</v>
          </cell>
          <cell r="E124" t="str">
            <v>0</v>
          </cell>
          <cell r="F124" t="str">
            <v>0</v>
          </cell>
          <cell r="G124" t="str">
            <v>0</v>
          </cell>
          <cell r="H124">
            <v>1</v>
          </cell>
          <cell r="I124">
            <v>2</v>
          </cell>
          <cell r="J124" t="str">
            <v>0</v>
          </cell>
          <cell r="K124" t="str">
            <v>0</v>
          </cell>
          <cell r="L124" t="str">
            <v>0</v>
          </cell>
          <cell r="M124">
            <v>3</v>
          </cell>
          <cell r="N124" t="str">
            <v>0</v>
          </cell>
          <cell r="O124" t="str">
            <v>0</v>
          </cell>
          <cell r="P124" t="str">
            <v>0</v>
          </cell>
          <cell r="Q124" t="str">
            <v>0</v>
          </cell>
          <cell r="R124" t="str">
            <v>0</v>
          </cell>
          <cell r="S124" t="str">
            <v>0</v>
          </cell>
          <cell r="T124" t="str">
            <v>0</v>
          </cell>
          <cell r="U124" t="str">
            <v>0</v>
          </cell>
          <cell r="V124">
            <v>3619</v>
          </cell>
          <cell r="W124">
            <v>4755</v>
          </cell>
          <cell r="X124" t="str">
            <v>0</v>
          </cell>
          <cell r="Y124" t="str">
            <v>0</v>
          </cell>
          <cell r="Z124" t="str">
            <v>0</v>
          </cell>
          <cell r="AA124">
            <v>4399</v>
          </cell>
          <cell r="AB124" t="str">
            <v>0</v>
          </cell>
          <cell r="AC124" t="str">
            <v>0</v>
          </cell>
          <cell r="AD124" t="str">
            <v>0</v>
          </cell>
          <cell r="AE124" t="str">
            <v>0</v>
          </cell>
        </row>
        <row r="125">
          <cell r="D125" t="str">
            <v>28-Apr</v>
          </cell>
          <cell r="E125" t="str">
            <v>0</v>
          </cell>
          <cell r="F125" t="str">
            <v>0</v>
          </cell>
          <cell r="G125">
            <v>3</v>
          </cell>
          <cell r="H125">
            <v>2</v>
          </cell>
          <cell r="I125" t="str">
            <v>0</v>
          </cell>
          <cell r="J125" t="str">
            <v>0</v>
          </cell>
          <cell r="K125">
            <v>13</v>
          </cell>
          <cell r="L125" t="str">
            <v>0</v>
          </cell>
          <cell r="M125" t="str">
            <v>0</v>
          </cell>
          <cell r="N125" t="str">
            <v>0</v>
          </cell>
          <cell r="O125" t="str">
            <v>0</v>
          </cell>
          <cell r="P125" t="str">
            <v>0</v>
          </cell>
          <cell r="Q125" t="str">
            <v>0</v>
          </cell>
          <cell r="R125" t="str">
            <v>0</v>
          </cell>
          <cell r="S125" t="str">
            <v>0</v>
          </cell>
          <cell r="T125" t="str">
            <v>0</v>
          </cell>
          <cell r="U125">
            <v>4439</v>
          </cell>
          <cell r="V125">
            <v>1118</v>
          </cell>
          <cell r="W125" t="str">
            <v>0</v>
          </cell>
          <cell r="X125" t="str">
            <v>0</v>
          </cell>
          <cell r="Y125">
            <v>5872</v>
          </cell>
          <cell r="Z125" t="str">
            <v>0</v>
          </cell>
          <cell r="AA125" t="str">
            <v>0</v>
          </cell>
          <cell r="AB125" t="str">
            <v>0</v>
          </cell>
          <cell r="AC125" t="str">
            <v>0</v>
          </cell>
          <cell r="AD125" t="str">
            <v>0</v>
          </cell>
          <cell r="AE125" t="str">
            <v>0</v>
          </cell>
        </row>
        <row r="126">
          <cell r="D126" t="str">
            <v>29-Apr</v>
          </cell>
          <cell r="E126" t="str">
            <v>0</v>
          </cell>
          <cell r="F126" t="str">
            <v>0</v>
          </cell>
          <cell r="G126">
            <v>2</v>
          </cell>
          <cell r="H126" t="str">
            <v>0</v>
          </cell>
          <cell r="I126">
            <v>20</v>
          </cell>
          <cell r="J126" t="str">
            <v>0</v>
          </cell>
          <cell r="K126">
            <v>6</v>
          </cell>
          <cell r="L126" t="str">
            <v>0</v>
          </cell>
          <cell r="M126" t="str">
            <v>0</v>
          </cell>
          <cell r="N126" t="str">
            <v>0</v>
          </cell>
          <cell r="O126" t="str">
            <v>0</v>
          </cell>
          <cell r="P126" t="str">
            <v>0</v>
          </cell>
          <cell r="Q126" t="str">
            <v>0</v>
          </cell>
          <cell r="R126" t="str">
            <v>0</v>
          </cell>
          <cell r="S126" t="str">
            <v>0</v>
          </cell>
          <cell r="T126" t="str">
            <v>0</v>
          </cell>
          <cell r="U126">
            <v>5232</v>
          </cell>
          <cell r="V126" t="str">
            <v>0</v>
          </cell>
          <cell r="W126">
            <v>7475</v>
          </cell>
          <cell r="X126" t="str">
            <v>0</v>
          </cell>
          <cell r="Y126">
            <v>7598</v>
          </cell>
          <cell r="Z126" t="str">
            <v>0</v>
          </cell>
          <cell r="AA126" t="str">
            <v>0</v>
          </cell>
          <cell r="AB126" t="str">
            <v>0</v>
          </cell>
          <cell r="AC126" t="str">
            <v>0</v>
          </cell>
          <cell r="AD126" t="str">
            <v>0</v>
          </cell>
          <cell r="AE126" t="str">
            <v>0</v>
          </cell>
        </row>
        <row r="127">
          <cell r="D127" t="str">
            <v>30-Apr</v>
          </cell>
          <cell r="E127" t="str">
            <v>0</v>
          </cell>
          <cell r="F127" t="str">
            <v>0</v>
          </cell>
          <cell r="G127">
            <v>2</v>
          </cell>
          <cell r="H127">
            <v>3</v>
          </cell>
          <cell r="I127" t="str">
            <v>0</v>
          </cell>
          <cell r="J127">
            <v>1</v>
          </cell>
          <cell r="K127">
            <v>2</v>
          </cell>
          <cell r="L127" t="str">
            <v>0</v>
          </cell>
          <cell r="M127" t="str">
            <v>0</v>
          </cell>
          <cell r="N127" t="str">
            <v>0</v>
          </cell>
          <cell r="O127" t="str">
            <v>0</v>
          </cell>
          <cell r="P127" t="str">
            <v>0</v>
          </cell>
          <cell r="Q127" t="str">
            <v>0</v>
          </cell>
          <cell r="R127" t="str">
            <v>0</v>
          </cell>
          <cell r="S127" t="str">
            <v>0</v>
          </cell>
          <cell r="T127" t="str">
            <v>0</v>
          </cell>
          <cell r="U127">
            <v>3688</v>
          </cell>
          <cell r="V127">
            <v>1660</v>
          </cell>
          <cell r="W127" t="str">
            <v>0</v>
          </cell>
          <cell r="X127">
            <v>1386</v>
          </cell>
          <cell r="Y127">
            <v>901</v>
          </cell>
          <cell r="Z127" t="str">
            <v>0</v>
          </cell>
          <cell r="AA127" t="str">
            <v>0</v>
          </cell>
          <cell r="AB127" t="str">
            <v>0</v>
          </cell>
          <cell r="AC127" t="str">
            <v>0</v>
          </cell>
          <cell r="AD127" t="str">
            <v>0</v>
          </cell>
          <cell r="AE127" t="str">
            <v>0</v>
          </cell>
        </row>
        <row r="128">
          <cell r="D128" t="str">
            <v>01-May</v>
          </cell>
          <cell r="E128" t="str">
            <v>0</v>
          </cell>
          <cell r="F128" t="str">
            <v>0</v>
          </cell>
          <cell r="G128" t="str">
            <v>0</v>
          </cell>
          <cell r="H128" t="str">
            <v>0</v>
          </cell>
          <cell r="I128" t="str">
            <v>0</v>
          </cell>
          <cell r="J128" t="str">
            <v>0</v>
          </cell>
          <cell r="K128" t="str">
            <v>0</v>
          </cell>
          <cell r="L128" t="str">
            <v>0</v>
          </cell>
          <cell r="M128" t="str">
            <v>0</v>
          </cell>
          <cell r="N128" t="str">
            <v>0</v>
          </cell>
          <cell r="O128" t="str">
            <v>0</v>
          </cell>
          <cell r="P128" t="str">
            <v>0</v>
          </cell>
          <cell r="Q128" t="str">
            <v>0</v>
          </cell>
          <cell r="R128" t="str">
            <v>0</v>
          </cell>
          <cell r="S128" t="str">
            <v>0</v>
          </cell>
          <cell r="T128" t="str">
            <v>0</v>
          </cell>
          <cell r="U128" t="str">
            <v>0</v>
          </cell>
          <cell r="V128" t="str">
            <v>0</v>
          </cell>
          <cell r="W128" t="str">
            <v>0</v>
          </cell>
          <cell r="X128" t="str">
            <v>0</v>
          </cell>
          <cell r="Y128" t="str">
            <v>0</v>
          </cell>
          <cell r="Z128" t="str">
            <v>0</v>
          </cell>
          <cell r="AA128" t="str">
            <v>0</v>
          </cell>
          <cell r="AB128" t="str">
            <v>0</v>
          </cell>
          <cell r="AC128" t="str">
            <v>0</v>
          </cell>
          <cell r="AD128" t="str">
            <v>0</v>
          </cell>
          <cell r="AE128" t="str">
            <v>0</v>
          </cell>
        </row>
        <row r="129">
          <cell r="D129" t="str">
            <v>02-May</v>
          </cell>
          <cell r="E129" t="str">
            <v>0</v>
          </cell>
          <cell r="F129" t="str">
            <v>0</v>
          </cell>
          <cell r="G129">
            <v>1</v>
          </cell>
          <cell r="H129">
            <v>4</v>
          </cell>
          <cell r="I129">
            <v>4</v>
          </cell>
          <cell r="J129" t="str">
            <v>0</v>
          </cell>
          <cell r="K129" t="str">
            <v>0</v>
          </cell>
          <cell r="L129" t="str">
            <v>0</v>
          </cell>
          <cell r="M129" t="str">
            <v>0</v>
          </cell>
          <cell r="N129" t="str">
            <v>0</v>
          </cell>
          <cell r="O129" t="str">
            <v>0</v>
          </cell>
          <cell r="P129" t="str">
            <v>0</v>
          </cell>
          <cell r="Q129" t="str">
            <v>0</v>
          </cell>
          <cell r="R129" t="str">
            <v>0</v>
          </cell>
          <cell r="S129" t="str">
            <v>0</v>
          </cell>
          <cell r="T129" t="str">
            <v>0</v>
          </cell>
          <cell r="U129">
            <v>17247</v>
          </cell>
          <cell r="V129">
            <v>4489</v>
          </cell>
          <cell r="W129">
            <v>2772</v>
          </cell>
          <cell r="X129" t="str">
            <v>0</v>
          </cell>
          <cell r="Y129" t="str">
            <v>0</v>
          </cell>
          <cell r="Z129" t="str">
            <v>0</v>
          </cell>
          <cell r="AA129" t="str">
            <v>0</v>
          </cell>
          <cell r="AB129" t="str">
            <v>0</v>
          </cell>
          <cell r="AC129" t="str">
            <v>0</v>
          </cell>
          <cell r="AD129" t="str">
            <v>0</v>
          </cell>
          <cell r="AE129" t="str">
            <v>0</v>
          </cell>
        </row>
        <row r="130">
          <cell r="D130" t="str">
            <v>03-May</v>
          </cell>
          <cell r="E130" t="str">
            <v>0</v>
          </cell>
          <cell r="F130" t="str">
            <v>0</v>
          </cell>
          <cell r="G130">
            <v>1</v>
          </cell>
          <cell r="H130" t="str">
            <v>0</v>
          </cell>
          <cell r="I130" t="str">
            <v>0</v>
          </cell>
          <cell r="J130" t="str">
            <v>0</v>
          </cell>
          <cell r="K130" t="str">
            <v>0</v>
          </cell>
          <cell r="L130" t="str">
            <v>0</v>
          </cell>
          <cell r="M130" t="str">
            <v>0</v>
          </cell>
          <cell r="N130" t="str">
            <v>0</v>
          </cell>
          <cell r="O130" t="str">
            <v>0</v>
          </cell>
          <cell r="P130" t="str">
            <v>0</v>
          </cell>
          <cell r="Q130" t="str">
            <v>0</v>
          </cell>
          <cell r="R130" t="str">
            <v>0</v>
          </cell>
          <cell r="S130" t="str">
            <v>0</v>
          </cell>
          <cell r="T130" t="str">
            <v>0</v>
          </cell>
          <cell r="U130">
            <v>388</v>
          </cell>
          <cell r="V130" t="str">
            <v>0</v>
          </cell>
          <cell r="W130" t="str">
            <v>0</v>
          </cell>
          <cell r="X130" t="str">
            <v>0</v>
          </cell>
          <cell r="Y130" t="str">
            <v>0</v>
          </cell>
          <cell r="Z130" t="str">
            <v>0</v>
          </cell>
          <cell r="AA130" t="str">
            <v>0</v>
          </cell>
          <cell r="AB130" t="str">
            <v>0</v>
          </cell>
          <cell r="AC130" t="str">
            <v>0</v>
          </cell>
          <cell r="AD130" t="str">
            <v>0</v>
          </cell>
          <cell r="AE130" t="str">
            <v>0</v>
          </cell>
        </row>
        <row r="131">
          <cell r="D131" t="str">
            <v>04-May</v>
          </cell>
          <cell r="E131" t="str">
            <v>0</v>
          </cell>
          <cell r="F131" t="str">
            <v>0</v>
          </cell>
          <cell r="G131" t="str">
            <v>0</v>
          </cell>
          <cell r="H131" t="str">
            <v>0</v>
          </cell>
          <cell r="I131">
            <v>1</v>
          </cell>
          <cell r="J131" t="str">
            <v>0</v>
          </cell>
          <cell r="K131">
            <v>2</v>
          </cell>
          <cell r="L131" t="str">
            <v>0</v>
          </cell>
          <cell r="M131" t="str">
            <v>0</v>
          </cell>
          <cell r="N131" t="str">
            <v>0</v>
          </cell>
          <cell r="O131" t="str">
            <v>0</v>
          </cell>
          <cell r="P131" t="str">
            <v>0</v>
          </cell>
          <cell r="Q131" t="str">
            <v>0</v>
          </cell>
          <cell r="R131" t="str">
            <v>0</v>
          </cell>
          <cell r="S131" t="str">
            <v>0</v>
          </cell>
          <cell r="T131" t="str">
            <v>0</v>
          </cell>
          <cell r="U131" t="str">
            <v>0</v>
          </cell>
          <cell r="V131" t="str">
            <v>0</v>
          </cell>
          <cell r="W131">
            <v>1868</v>
          </cell>
          <cell r="X131" t="str">
            <v>0</v>
          </cell>
          <cell r="Y131">
            <v>2233</v>
          </cell>
          <cell r="Z131" t="str">
            <v>0</v>
          </cell>
          <cell r="AA131" t="str">
            <v>0</v>
          </cell>
          <cell r="AB131" t="str">
            <v>0</v>
          </cell>
          <cell r="AC131" t="str">
            <v>0</v>
          </cell>
          <cell r="AD131" t="str">
            <v>0</v>
          </cell>
          <cell r="AE131" t="str">
            <v>0</v>
          </cell>
        </row>
        <row r="132">
          <cell r="D132" t="str">
            <v>05-May</v>
          </cell>
          <cell r="E132" t="str">
            <v>0</v>
          </cell>
          <cell r="F132" t="str">
            <v>0</v>
          </cell>
          <cell r="G132" t="str">
            <v>0</v>
          </cell>
          <cell r="H132" t="str">
            <v>0</v>
          </cell>
          <cell r="I132" t="str">
            <v>0</v>
          </cell>
          <cell r="J132" t="str">
            <v>0</v>
          </cell>
          <cell r="K132" t="str">
            <v>0</v>
          </cell>
          <cell r="L132" t="str">
            <v>0</v>
          </cell>
          <cell r="M132" t="str">
            <v>0</v>
          </cell>
          <cell r="N132" t="str">
            <v>0</v>
          </cell>
          <cell r="O132" t="str">
            <v>0</v>
          </cell>
          <cell r="P132" t="str">
            <v>0</v>
          </cell>
          <cell r="Q132" t="str">
            <v>0</v>
          </cell>
          <cell r="R132" t="str">
            <v>0</v>
          </cell>
          <cell r="S132" t="str">
            <v>0</v>
          </cell>
          <cell r="T132" t="str">
            <v>0</v>
          </cell>
          <cell r="U132" t="str">
            <v>0</v>
          </cell>
          <cell r="V132" t="str">
            <v>0</v>
          </cell>
          <cell r="W132" t="str">
            <v>0</v>
          </cell>
          <cell r="X132" t="str">
            <v>0</v>
          </cell>
          <cell r="Y132" t="str">
            <v>0</v>
          </cell>
          <cell r="Z132" t="str">
            <v>0</v>
          </cell>
          <cell r="AA132" t="str">
            <v>0</v>
          </cell>
          <cell r="AB132" t="str">
            <v>0</v>
          </cell>
          <cell r="AC132" t="str">
            <v>0</v>
          </cell>
          <cell r="AD132" t="str">
            <v>0</v>
          </cell>
          <cell r="AE132" t="str">
            <v>0</v>
          </cell>
        </row>
        <row r="133">
          <cell r="D133" t="str">
            <v>06-May</v>
          </cell>
          <cell r="E133" t="str">
            <v>0</v>
          </cell>
          <cell r="F133" t="str">
            <v>0</v>
          </cell>
          <cell r="G133" t="str">
            <v>0</v>
          </cell>
          <cell r="H133" t="str">
            <v>0</v>
          </cell>
          <cell r="I133" t="str">
            <v>0</v>
          </cell>
          <cell r="J133" t="str">
            <v>0</v>
          </cell>
          <cell r="K133" t="str">
            <v>0</v>
          </cell>
          <cell r="L133" t="str">
            <v>0</v>
          </cell>
          <cell r="M133" t="str">
            <v>0</v>
          </cell>
          <cell r="N133" t="str">
            <v>0</v>
          </cell>
          <cell r="O133" t="str">
            <v>0</v>
          </cell>
          <cell r="P133" t="str">
            <v>0</v>
          </cell>
          <cell r="Q133" t="str">
            <v>0</v>
          </cell>
          <cell r="R133" t="str">
            <v>0</v>
          </cell>
          <cell r="S133" t="str">
            <v>0</v>
          </cell>
          <cell r="T133" t="str">
            <v>0</v>
          </cell>
          <cell r="U133" t="str">
            <v>0</v>
          </cell>
          <cell r="V133" t="str">
            <v>0</v>
          </cell>
          <cell r="W133" t="str">
            <v>0</v>
          </cell>
          <cell r="X133" t="str">
            <v>0</v>
          </cell>
          <cell r="Y133" t="str">
            <v>0</v>
          </cell>
          <cell r="Z133" t="str">
            <v>0</v>
          </cell>
          <cell r="AA133" t="str">
            <v>0</v>
          </cell>
          <cell r="AB133" t="str">
            <v>0</v>
          </cell>
          <cell r="AC133" t="str">
            <v>0</v>
          </cell>
          <cell r="AD133" t="str">
            <v>0</v>
          </cell>
          <cell r="AE133" t="str">
            <v>0</v>
          </cell>
        </row>
        <row r="134">
          <cell r="D134" t="str">
            <v>07-May</v>
          </cell>
          <cell r="E134">
            <v>1</v>
          </cell>
          <cell r="F134" t="str">
            <v>0</v>
          </cell>
          <cell r="G134" t="str">
            <v>0</v>
          </cell>
          <cell r="H134" t="str">
            <v>0</v>
          </cell>
          <cell r="I134" t="str">
            <v>0</v>
          </cell>
          <cell r="J134" t="str">
            <v>0</v>
          </cell>
          <cell r="K134" t="str">
            <v>0</v>
          </cell>
          <cell r="L134" t="str">
            <v>0</v>
          </cell>
          <cell r="M134" t="str">
            <v>0</v>
          </cell>
          <cell r="N134" t="str">
            <v>0</v>
          </cell>
          <cell r="O134" t="str">
            <v>0</v>
          </cell>
          <cell r="P134" t="str">
            <v>0</v>
          </cell>
          <cell r="Q134" t="str">
            <v>0</v>
          </cell>
          <cell r="R134" t="str">
            <v>0</v>
          </cell>
          <cell r="S134">
            <v>1540</v>
          </cell>
          <cell r="T134" t="str">
            <v>0</v>
          </cell>
          <cell r="U134" t="str">
            <v>0</v>
          </cell>
          <cell r="V134" t="str">
            <v>0</v>
          </cell>
          <cell r="W134" t="str">
            <v>0</v>
          </cell>
          <cell r="X134" t="str">
            <v>0</v>
          </cell>
          <cell r="Y134" t="str">
            <v>0</v>
          </cell>
          <cell r="Z134" t="str">
            <v>0</v>
          </cell>
          <cell r="AA134" t="str">
            <v>0</v>
          </cell>
          <cell r="AB134" t="str">
            <v>0</v>
          </cell>
          <cell r="AC134" t="str">
            <v>0</v>
          </cell>
          <cell r="AD134" t="str">
            <v>0</v>
          </cell>
          <cell r="AE134" t="str">
            <v>0</v>
          </cell>
        </row>
        <row r="135">
          <cell r="D135" t="str">
            <v>08-May</v>
          </cell>
          <cell r="E135" t="str">
            <v>0</v>
          </cell>
          <cell r="F135" t="str">
            <v>0</v>
          </cell>
          <cell r="G135">
            <v>2</v>
          </cell>
          <cell r="H135" t="str">
            <v>0</v>
          </cell>
          <cell r="I135" t="str">
            <v>0</v>
          </cell>
          <cell r="J135">
            <v>2</v>
          </cell>
          <cell r="K135" t="str">
            <v>0</v>
          </cell>
          <cell r="L135">
            <v>1</v>
          </cell>
          <cell r="M135" t="str">
            <v>0</v>
          </cell>
          <cell r="N135" t="str">
            <v>0</v>
          </cell>
          <cell r="O135" t="str">
            <v>0</v>
          </cell>
          <cell r="P135" t="str">
            <v>0</v>
          </cell>
          <cell r="Q135" t="str">
            <v>0</v>
          </cell>
          <cell r="R135" t="str">
            <v>0</v>
          </cell>
          <cell r="S135" t="str">
            <v>0</v>
          </cell>
          <cell r="T135" t="str">
            <v>0</v>
          </cell>
          <cell r="U135">
            <v>3927</v>
          </cell>
          <cell r="V135" t="str">
            <v>0</v>
          </cell>
          <cell r="W135" t="str">
            <v>0</v>
          </cell>
          <cell r="X135">
            <v>1531</v>
          </cell>
          <cell r="Y135" t="str">
            <v>0</v>
          </cell>
          <cell r="Z135">
            <v>659</v>
          </cell>
          <cell r="AA135" t="str">
            <v>0</v>
          </cell>
          <cell r="AB135" t="str">
            <v>0</v>
          </cell>
          <cell r="AC135" t="str">
            <v>0</v>
          </cell>
          <cell r="AD135" t="str">
            <v>0</v>
          </cell>
          <cell r="AE135" t="str">
            <v>0</v>
          </cell>
        </row>
        <row r="136">
          <cell r="D136" t="str">
            <v>09-May</v>
          </cell>
          <cell r="E136" t="str">
            <v>0</v>
          </cell>
          <cell r="F136" t="str">
            <v>0</v>
          </cell>
          <cell r="G136" t="str">
            <v>0</v>
          </cell>
          <cell r="H136" t="str">
            <v>0</v>
          </cell>
          <cell r="I136" t="str">
            <v>0</v>
          </cell>
          <cell r="J136" t="str">
            <v>0</v>
          </cell>
          <cell r="K136">
            <v>1</v>
          </cell>
          <cell r="L136" t="str">
            <v>0</v>
          </cell>
          <cell r="M136" t="str">
            <v>0</v>
          </cell>
          <cell r="N136" t="str">
            <v>0</v>
          </cell>
          <cell r="O136" t="str">
            <v>0</v>
          </cell>
          <cell r="P136" t="str">
            <v>0</v>
          </cell>
          <cell r="Q136" t="str">
            <v>0</v>
          </cell>
          <cell r="R136" t="str">
            <v>0</v>
          </cell>
          <cell r="S136" t="str">
            <v>0</v>
          </cell>
          <cell r="T136" t="str">
            <v>0</v>
          </cell>
          <cell r="U136" t="str">
            <v>0</v>
          </cell>
          <cell r="V136" t="str">
            <v>0</v>
          </cell>
          <cell r="W136" t="str">
            <v>0</v>
          </cell>
          <cell r="X136" t="str">
            <v>0</v>
          </cell>
          <cell r="Y136">
            <v>395</v>
          </cell>
          <cell r="Z136" t="str">
            <v>0</v>
          </cell>
          <cell r="AA136" t="str">
            <v>0</v>
          </cell>
          <cell r="AB136" t="str">
            <v>0</v>
          </cell>
          <cell r="AC136" t="str">
            <v>0</v>
          </cell>
          <cell r="AD136" t="str">
            <v>0</v>
          </cell>
          <cell r="AE136" t="str">
            <v>0</v>
          </cell>
        </row>
        <row r="137">
          <cell r="D137" t="str">
            <v>10-May</v>
          </cell>
          <cell r="E137">
            <v>1</v>
          </cell>
          <cell r="F137" t="str">
            <v>0</v>
          </cell>
          <cell r="G137">
            <v>3</v>
          </cell>
          <cell r="H137" t="str">
            <v>0</v>
          </cell>
          <cell r="I137">
            <v>1</v>
          </cell>
          <cell r="J137" t="str">
            <v>0</v>
          </cell>
          <cell r="K137">
            <v>2</v>
          </cell>
          <cell r="L137" t="str">
            <v>0</v>
          </cell>
          <cell r="M137" t="str">
            <v>0</v>
          </cell>
          <cell r="N137" t="str">
            <v>0</v>
          </cell>
          <cell r="O137" t="str">
            <v>0</v>
          </cell>
          <cell r="P137" t="str">
            <v>0</v>
          </cell>
          <cell r="Q137" t="str">
            <v>0</v>
          </cell>
          <cell r="R137" t="str">
            <v>0</v>
          </cell>
          <cell r="S137">
            <v>1386</v>
          </cell>
          <cell r="T137" t="str">
            <v>0</v>
          </cell>
          <cell r="U137">
            <v>3195</v>
          </cell>
          <cell r="V137" t="str">
            <v>0</v>
          </cell>
          <cell r="W137">
            <v>388</v>
          </cell>
          <cell r="X137" t="str">
            <v>0</v>
          </cell>
          <cell r="Y137">
            <v>2108</v>
          </cell>
          <cell r="Z137" t="str">
            <v>0</v>
          </cell>
          <cell r="AA137" t="str">
            <v>0</v>
          </cell>
          <cell r="AB137" t="str">
            <v>0</v>
          </cell>
          <cell r="AC137" t="str">
            <v>0</v>
          </cell>
          <cell r="AD137" t="str">
            <v>0</v>
          </cell>
          <cell r="AE137" t="str">
            <v>0</v>
          </cell>
        </row>
        <row r="138">
          <cell r="D138" t="str">
            <v>11-May</v>
          </cell>
          <cell r="E138" t="str">
            <v>0</v>
          </cell>
          <cell r="F138" t="str">
            <v>0</v>
          </cell>
          <cell r="G138" t="str">
            <v>0</v>
          </cell>
          <cell r="H138">
            <v>1</v>
          </cell>
          <cell r="I138">
            <v>1</v>
          </cell>
          <cell r="J138">
            <v>2</v>
          </cell>
          <cell r="K138">
            <v>2</v>
          </cell>
          <cell r="L138" t="str">
            <v>0</v>
          </cell>
          <cell r="M138" t="str">
            <v>0</v>
          </cell>
          <cell r="N138" t="str">
            <v>0</v>
          </cell>
          <cell r="O138" t="str">
            <v>0</v>
          </cell>
          <cell r="P138" t="str">
            <v>0</v>
          </cell>
          <cell r="Q138" t="str">
            <v>0</v>
          </cell>
          <cell r="R138" t="str">
            <v>0</v>
          </cell>
          <cell r="S138" t="str">
            <v>0</v>
          </cell>
          <cell r="T138" t="str">
            <v>0</v>
          </cell>
          <cell r="U138" t="str">
            <v>0</v>
          </cell>
          <cell r="V138">
            <v>1039</v>
          </cell>
          <cell r="W138">
            <v>528</v>
          </cell>
          <cell r="X138">
            <v>3035</v>
          </cell>
          <cell r="Y138">
            <v>2618</v>
          </cell>
          <cell r="Z138" t="str">
            <v>0</v>
          </cell>
          <cell r="AA138" t="str">
            <v>0</v>
          </cell>
          <cell r="AB138" t="str">
            <v>0</v>
          </cell>
          <cell r="AC138" t="str">
            <v>0</v>
          </cell>
          <cell r="AD138" t="str">
            <v>0</v>
          </cell>
          <cell r="AE138" t="str">
            <v>0</v>
          </cell>
        </row>
        <row r="139">
          <cell r="D139" t="str">
            <v>12-May</v>
          </cell>
          <cell r="E139" t="str">
            <v>0</v>
          </cell>
          <cell r="F139" t="str">
            <v>0</v>
          </cell>
          <cell r="G139">
            <v>1</v>
          </cell>
          <cell r="H139" t="str">
            <v>0</v>
          </cell>
          <cell r="I139">
            <v>1</v>
          </cell>
          <cell r="J139" t="str">
            <v>0</v>
          </cell>
          <cell r="K139">
            <v>1</v>
          </cell>
          <cell r="L139" t="str">
            <v>0</v>
          </cell>
          <cell r="M139" t="str">
            <v>0</v>
          </cell>
          <cell r="N139" t="str">
            <v>0</v>
          </cell>
          <cell r="O139" t="str">
            <v>0</v>
          </cell>
          <cell r="P139" t="str">
            <v>0</v>
          </cell>
          <cell r="Q139" t="str">
            <v>0</v>
          </cell>
          <cell r="R139" t="str">
            <v>0</v>
          </cell>
          <cell r="S139" t="str">
            <v>0</v>
          </cell>
          <cell r="T139" t="str">
            <v>0</v>
          </cell>
          <cell r="U139">
            <v>2233</v>
          </cell>
          <cell r="V139" t="str">
            <v>0</v>
          </cell>
          <cell r="W139">
            <v>1495</v>
          </cell>
          <cell r="X139" t="str">
            <v>0</v>
          </cell>
          <cell r="Y139">
            <v>2800</v>
          </cell>
          <cell r="Z139" t="str">
            <v>0</v>
          </cell>
          <cell r="AA139" t="str">
            <v>0</v>
          </cell>
          <cell r="AB139" t="str">
            <v>0</v>
          </cell>
          <cell r="AC139" t="str">
            <v>0</v>
          </cell>
          <cell r="AD139" t="str">
            <v>0</v>
          </cell>
          <cell r="AE139" t="str">
            <v>0</v>
          </cell>
        </row>
        <row r="140">
          <cell r="D140" t="str">
            <v>13-May</v>
          </cell>
          <cell r="E140" t="str">
            <v>0</v>
          </cell>
          <cell r="F140" t="str">
            <v>0</v>
          </cell>
          <cell r="G140">
            <v>2</v>
          </cell>
          <cell r="H140">
            <v>1</v>
          </cell>
          <cell r="I140" t="str">
            <v>0</v>
          </cell>
          <cell r="J140" t="str">
            <v>0</v>
          </cell>
          <cell r="K140" t="str">
            <v>0</v>
          </cell>
          <cell r="L140" t="str">
            <v>0</v>
          </cell>
          <cell r="M140" t="str">
            <v>0</v>
          </cell>
          <cell r="N140" t="str">
            <v>0</v>
          </cell>
          <cell r="O140" t="str">
            <v>0</v>
          </cell>
          <cell r="P140" t="str">
            <v>0</v>
          </cell>
          <cell r="Q140" t="str">
            <v>0</v>
          </cell>
          <cell r="R140" t="str">
            <v>0</v>
          </cell>
          <cell r="S140" t="str">
            <v>0</v>
          </cell>
          <cell r="T140" t="str">
            <v>0</v>
          </cell>
          <cell r="U140">
            <v>5034</v>
          </cell>
          <cell r="V140">
            <v>1800</v>
          </cell>
          <cell r="W140" t="str">
            <v>0</v>
          </cell>
          <cell r="X140" t="str">
            <v>0</v>
          </cell>
          <cell r="Y140" t="str">
            <v>0</v>
          </cell>
          <cell r="Z140" t="str">
            <v>0</v>
          </cell>
          <cell r="AA140" t="str">
            <v>0</v>
          </cell>
          <cell r="AB140" t="str">
            <v>0</v>
          </cell>
          <cell r="AC140" t="str">
            <v>0</v>
          </cell>
          <cell r="AD140" t="str">
            <v>0</v>
          </cell>
          <cell r="AE140" t="str">
            <v>0</v>
          </cell>
        </row>
        <row r="141">
          <cell r="D141" t="str">
            <v>14-May</v>
          </cell>
          <cell r="E141" t="str">
            <v>0</v>
          </cell>
          <cell r="F141" t="str">
            <v>0</v>
          </cell>
          <cell r="G141">
            <v>1</v>
          </cell>
          <cell r="H141" t="str">
            <v>0</v>
          </cell>
          <cell r="I141" t="str">
            <v>0</v>
          </cell>
          <cell r="J141" t="str">
            <v>0</v>
          </cell>
          <cell r="K141" t="str">
            <v>0</v>
          </cell>
          <cell r="L141" t="str">
            <v>0</v>
          </cell>
          <cell r="M141" t="str">
            <v>0</v>
          </cell>
          <cell r="N141" t="str">
            <v>0</v>
          </cell>
          <cell r="O141" t="str">
            <v>0</v>
          </cell>
          <cell r="P141" t="str">
            <v>0</v>
          </cell>
          <cell r="Q141" t="str">
            <v>0</v>
          </cell>
          <cell r="R141" t="str">
            <v>0</v>
          </cell>
          <cell r="S141" t="str">
            <v>0</v>
          </cell>
          <cell r="T141" t="str">
            <v>0</v>
          </cell>
          <cell r="U141">
            <v>462</v>
          </cell>
          <cell r="V141" t="str">
            <v>0</v>
          </cell>
          <cell r="W141" t="str">
            <v>0</v>
          </cell>
          <cell r="X141" t="str">
            <v>0</v>
          </cell>
          <cell r="Y141" t="str">
            <v>0</v>
          </cell>
          <cell r="Z141" t="str">
            <v>0</v>
          </cell>
          <cell r="AA141" t="str">
            <v>0</v>
          </cell>
          <cell r="AB141" t="str">
            <v>0</v>
          </cell>
          <cell r="AC141" t="str">
            <v>0</v>
          </cell>
          <cell r="AD141" t="str">
            <v>0</v>
          </cell>
          <cell r="AE141" t="str">
            <v>0</v>
          </cell>
        </row>
        <row r="142">
          <cell r="D142" t="str">
            <v>15-May</v>
          </cell>
          <cell r="E142" t="str">
            <v>0</v>
          </cell>
          <cell r="F142" t="str">
            <v>0</v>
          </cell>
          <cell r="G142">
            <v>1</v>
          </cell>
          <cell r="H142" t="str">
            <v>0</v>
          </cell>
          <cell r="I142" t="str">
            <v>0</v>
          </cell>
          <cell r="J142">
            <v>1</v>
          </cell>
          <cell r="K142">
            <v>2</v>
          </cell>
          <cell r="L142" t="str">
            <v>0</v>
          </cell>
          <cell r="M142" t="str">
            <v>0</v>
          </cell>
          <cell r="N142" t="str">
            <v>0</v>
          </cell>
          <cell r="O142" t="str">
            <v>0</v>
          </cell>
          <cell r="P142" t="str">
            <v>0</v>
          </cell>
          <cell r="Q142" t="str">
            <v>0</v>
          </cell>
          <cell r="R142" t="str">
            <v>0</v>
          </cell>
          <cell r="S142" t="str">
            <v>0</v>
          </cell>
          <cell r="T142" t="str">
            <v>0</v>
          </cell>
          <cell r="U142">
            <v>924</v>
          </cell>
          <cell r="V142" t="str">
            <v>0</v>
          </cell>
          <cell r="W142" t="str">
            <v>0</v>
          </cell>
          <cell r="X142">
            <v>2156</v>
          </cell>
          <cell r="Y142">
            <v>4692</v>
          </cell>
          <cell r="Z142" t="str">
            <v>0</v>
          </cell>
          <cell r="AA142" t="str">
            <v>0</v>
          </cell>
          <cell r="AB142" t="str">
            <v>0</v>
          </cell>
          <cell r="AC142" t="str">
            <v>0</v>
          </cell>
          <cell r="AD142" t="str">
            <v>0</v>
          </cell>
          <cell r="AE142" t="str">
            <v>0</v>
          </cell>
        </row>
        <row r="143">
          <cell r="D143" t="str">
            <v>16-May</v>
          </cell>
          <cell r="E143" t="str">
            <v>0</v>
          </cell>
          <cell r="F143" t="str">
            <v>0</v>
          </cell>
          <cell r="G143">
            <v>3</v>
          </cell>
          <cell r="H143">
            <v>1</v>
          </cell>
          <cell r="I143" t="str">
            <v>0</v>
          </cell>
          <cell r="J143" t="str">
            <v>0</v>
          </cell>
          <cell r="K143">
            <v>3</v>
          </cell>
          <cell r="L143" t="str">
            <v>0</v>
          </cell>
          <cell r="M143" t="str">
            <v>0</v>
          </cell>
          <cell r="N143" t="str">
            <v>0</v>
          </cell>
          <cell r="O143" t="str">
            <v>0</v>
          </cell>
          <cell r="P143" t="str">
            <v>0</v>
          </cell>
          <cell r="Q143" t="str">
            <v>0</v>
          </cell>
          <cell r="R143" t="str">
            <v>0</v>
          </cell>
          <cell r="S143" t="str">
            <v>0</v>
          </cell>
          <cell r="T143" t="str">
            <v>0</v>
          </cell>
          <cell r="U143">
            <v>4202</v>
          </cell>
          <cell r="V143">
            <v>2800</v>
          </cell>
          <cell r="W143" t="str">
            <v>0</v>
          </cell>
          <cell r="X143" t="str">
            <v>0</v>
          </cell>
          <cell r="Y143">
            <v>2907</v>
          </cell>
          <cell r="Z143" t="str">
            <v>0</v>
          </cell>
          <cell r="AA143" t="str">
            <v>0</v>
          </cell>
          <cell r="AB143" t="str">
            <v>0</v>
          </cell>
          <cell r="AC143" t="str">
            <v>0</v>
          </cell>
          <cell r="AD143" t="str">
            <v>0</v>
          </cell>
          <cell r="AE143" t="str">
            <v>0</v>
          </cell>
        </row>
        <row r="144">
          <cell r="D144" t="str">
            <v>17-May</v>
          </cell>
          <cell r="E144" t="str">
            <v>0</v>
          </cell>
          <cell r="F144" t="str">
            <v>0</v>
          </cell>
          <cell r="G144">
            <v>1</v>
          </cell>
          <cell r="H144" t="str">
            <v>0</v>
          </cell>
          <cell r="I144">
            <v>1</v>
          </cell>
          <cell r="J144" t="str">
            <v>0</v>
          </cell>
          <cell r="K144" t="str">
            <v>0</v>
          </cell>
          <cell r="L144" t="str">
            <v>0</v>
          </cell>
          <cell r="M144" t="str">
            <v>0</v>
          </cell>
          <cell r="N144" t="str">
            <v>0</v>
          </cell>
          <cell r="O144" t="str">
            <v>0</v>
          </cell>
          <cell r="P144" t="str">
            <v>0</v>
          </cell>
          <cell r="Q144" t="str">
            <v>0</v>
          </cell>
          <cell r="R144" t="str">
            <v>0</v>
          </cell>
          <cell r="S144" t="str">
            <v>0</v>
          </cell>
          <cell r="T144" t="str">
            <v>0</v>
          </cell>
          <cell r="U144">
            <v>431</v>
          </cell>
          <cell r="V144" t="str">
            <v>0</v>
          </cell>
          <cell r="W144">
            <v>3696</v>
          </cell>
          <cell r="X144" t="str">
            <v>0</v>
          </cell>
          <cell r="Y144" t="str">
            <v>0</v>
          </cell>
          <cell r="Z144" t="str">
            <v>0</v>
          </cell>
          <cell r="AA144" t="str">
            <v>0</v>
          </cell>
          <cell r="AB144" t="str">
            <v>0</v>
          </cell>
          <cell r="AC144" t="str">
            <v>0</v>
          </cell>
          <cell r="AD144" t="str">
            <v>0</v>
          </cell>
          <cell r="AE144" t="str">
            <v>0</v>
          </cell>
        </row>
        <row r="145">
          <cell r="D145" t="str">
            <v>18-May</v>
          </cell>
          <cell r="E145" t="str">
            <v>0</v>
          </cell>
          <cell r="F145" t="str">
            <v>0</v>
          </cell>
          <cell r="G145">
            <v>3</v>
          </cell>
          <cell r="H145" t="str">
            <v>0</v>
          </cell>
          <cell r="I145" t="str">
            <v>0</v>
          </cell>
          <cell r="J145" t="str">
            <v>0</v>
          </cell>
          <cell r="K145">
            <v>6</v>
          </cell>
          <cell r="L145" t="str">
            <v>0</v>
          </cell>
          <cell r="M145" t="str">
            <v>0</v>
          </cell>
          <cell r="N145" t="str">
            <v>0</v>
          </cell>
          <cell r="O145" t="str">
            <v>0</v>
          </cell>
          <cell r="P145" t="str">
            <v>0</v>
          </cell>
          <cell r="Q145" t="str">
            <v>0</v>
          </cell>
          <cell r="R145" t="str">
            <v>0</v>
          </cell>
          <cell r="S145" t="str">
            <v>0</v>
          </cell>
          <cell r="T145" t="str">
            <v>0</v>
          </cell>
          <cell r="U145">
            <v>7381</v>
          </cell>
          <cell r="V145" t="str">
            <v>0</v>
          </cell>
          <cell r="W145" t="str">
            <v>0</v>
          </cell>
          <cell r="X145" t="str">
            <v>0</v>
          </cell>
          <cell r="Y145">
            <v>3116</v>
          </cell>
          <cell r="Z145" t="str">
            <v>0</v>
          </cell>
          <cell r="AA145" t="str">
            <v>0</v>
          </cell>
          <cell r="AB145" t="str">
            <v>0</v>
          </cell>
          <cell r="AC145" t="str">
            <v>0</v>
          </cell>
          <cell r="AD145" t="str">
            <v>0</v>
          </cell>
          <cell r="AE145" t="str">
            <v>0</v>
          </cell>
        </row>
        <row r="146">
          <cell r="D146" t="str">
            <v>19-May</v>
          </cell>
          <cell r="E146" t="str">
            <v>0</v>
          </cell>
          <cell r="F146" t="str">
            <v>0</v>
          </cell>
          <cell r="G146" t="str">
            <v>0</v>
          </cell>
          <cell r="H146" t="str">
            <v>0</v>
          </cell>
          <cell r="I146">
            <v>1</v>
          </cell>
          <cell r="J146" t="str">
            <v>0</v>
          </cell>
          <cell r="K146" t="str">
            <v>0</v>
          </cell>
          <cell r="L146" t="str">
            <v>0</v>
          </cell>
          <cell r="M146" t="str">
            <v>0</v>
          </cell>
          <cell r="N146" t="str">
            <v>0</v>
          </cell>
          <cell r="O146" t="str">
            <v>0</v>
          </cell>
          <cell r="P146" t="str">
            <v>0</v>
          </cell>
          <cell r="Q146" t="str">
            <v>0</v>
          </cell>
          <cell r="R146" t="str">
            <v>0</v>
          </cell>
          <cell r="S146" t="str">
            <v>0</v>
          </cell>
          <cell r="T146" t="str">
            <v>0</v>
          </cell>
          <cell r="U146" t="str">
            <v>0</v>
          </cell>
          <cell r="V146" t="str">
            <v>0</v>
          </cell>
          <cell r="W146">
            <v>1600</v>
          </cell>
          <cell r="X146" t="str">
            <v>0</v>
          </cell>
          <cell r="Y146" t="str">
            <v>0</v>
          </cell>
          <cell r="Z146" t="str">
            <v>0</v>
          </cell>
          <cell r="AA146" t="str">
            <v>0</v>
          </cell>
          <cell r="AB146" t="str">
            <v>0</v>
          </cell>
          <cell r="AC146" t="str">
            <v>0</v>
          </cell>
          <cell r="AD146" t="str">
            <v>0</v>
          </cell>
          <cell r="AE146" t="str">
            <v>0</v>
          </cell>
        </row>
        <row r="147">
          <cell r="D147" t="str">
            <v>20-May</v>
          </cell>
          <cell r="E147" t="str">
            <v>0</v>
          </cell>
          <cell r="F147" t="str">
            <v>0</v>
          </cell>
          <cell r="G147">
            <v>1</v>
          </cell>
          <cell r="H147">
            <v>2</v>
          </cell>
          <cell r="I147" t="str">
            <v>0</v>
          </cell>
          <cell r="J147" t="str">
            <v>0</v>
          </cell>
          <cell r="K147">
            <v>7</v>
          </cell>
          <cell r="L147" t="str">
            <v>0</v>
          </cell>
          <cell r="M147" t="str">
            <v>0</v>
          </cell>
          <cell r="N147" t="str">
            <v>0</v>
          </cell>
          <cell r="O147" t="str">
            <v>0</v>
          </cell>
          <cell r="P147" t="str">
            <v>0</v>
          </cell>
          <cell r="Q147" t="str">
            <v>0</v>
          </cell>
          <cell r="R147" t="str">
            <v>0</v>
          </cell>
          <cell r="S147" t="str">
            <v>0</v>
          </cell>
          <cell r="T147" t="str">
            <v>0</v>
          </cell>
          <cell r="U147">
            <v>1200</v>
          </cell>
          <cell r="V147">
            <v>4520</v>
          </cell>
          <cell r="W147" t="str">
            <v>0</v>
          </cell>
          <cell r="X147" t="str">
            <v>0</v>
          </cell>
          <cell r="Y147">
            <v>6976</v>
          </cell>
          <cell r="Z147" t="str">
            <v>0</v>
          </cell>
          <cell r="AA147" t="str">
            <v>0</v>
          </cell>
          <cell r="AB147" t="str">
            <v>0</v>
          </cell>
          <cell r="AC147" t="str">
            <v>0</v>
          </cell>
          <cell r="AD147" t="str">
            <v>0</v>
          </cell>
          <cell r="AE147" t="str">
            <v>0</v>
          </cell>
        </row>
        <row r="148">
          <cell r="D148" t="str">
            <v>21-May</v>
          </cell>
          <cell r="E148">
            <v>1</v>
          </cell>
          <cell r="F148" t="str">
            <v>0</v>
          </cell>
          <cell r="G148">
            <v>1</v>
          </cell>
          <cell r="H148" t="str">
            <v>0</v>
          </cell>
          <cell r="I148">
            <v>1</v>
          </cell>
          <cell r="J148" t="str">
            <v>0</v>
          </cell>
          <cell r="K148">
            <v>1</v>
          </cell>
          <cell r="L148" t="str">
            <v>0</v>
          </cell>
          <cell r="M148" t="str">
            <v>0</v>
          </cell>
          <cell r="N148" t="str">
            <v>0</v>
          </cell>
          <cell r="O148" t="str">
            <v>0</v>
          </cell>
          <cell r="P148" t="str">
            <v>0</v>
          </cell>
          <cell r="Q148" t="str">
            <v>0</v>
          </cell>
          <cell r="R148" t="str">
            <v>0</v>
          </cell>
          <cell r="S148">
            <v>3800</v>
          </cell>
          <cell r="T148" t="str">
            <v>0</v>
          </cell>
          <cell r="U148">
            <v>1600</v>
          </cell>
          <cell r="V148" t="str">
            <v>0</v>
          </cell>
          <cell r="W148">
            <v>1500</v>
          </cell>
          <cell r="X148" t="str">
            <v>0</v>
          </cell>
          <cell r="Y148">
            <v>1694</v>
          </cell>
          <cell r="Z148" t="str">
            <v>0</v>
          </cell>
          <cell r="AA148" t="str">
            <v>0</v>
          </cell>
          <cell r="AB148" t="str">
            <v>0</v>
          </cell>
          <cell r="AC148" t="str">
            <v>0</v>
          </cell>
          <cell r="AD148" t="str">
            <v>0</v>
          </cell>
          <cell r="AE148" t="str">
            <v>0</v>
          </cell>
        </row>
        <row r="149">
          <cell r="D149" t="str">
            <v>22-May</v>
          </cell>
          <cell r="E149" t="str">
            <v>0</v>
          </cell>
          <cell r="F149" t="str">
            <v>0</v>
          </cell>
          <cell r="G149">
            <v>2</v>
          </cell>
          <cell r="H149" t="str">
            <v>0</v>
          </cell>
          <cell r="I149">
            <v>2</v>
          </cell>
          <cell r="J149" t="str">
            <v>0</v>
          </cell>
          <cell r="K149" t="str">
            <v>0</v>
          </cell>
          <cell r="L149" t="str">
            <v>0</v>
          </cell>
          <cell r="M149" t="str">
            <v>0</v>
          </cell>
          <cell r="N149" t="str">
            <v>0</v>
          </cell>
          <cell r="O149" t="str">
            <v>0</v>
          </cell>
          <cell r="P149" t="str">
            <v>0</v>
          </cell>
          <cell r="Q149" t="str">
            <v>0</v>
          </cell>
          <cell r="R149" t="str">
            <v>0</v>
          </cell>
          <cell r="S149" t="str">
            <v>0</v>
          </cell>
          <cell r="T149" t="str">
            <v>0</v>
          </cell>
          <cell r="U149">
            <v>3969</v>
          </cell>
          <cell r="V149" t="str">
            <v>0</v>
          </cell>
          <cell r="W149">
            <v>2013</v>
          </cell>
          <cell r="X149" t="str">
            <v>0</v>
          </cell>
          <cell r="Y149" t="str">
            <v>0</v>
          </cell>
          <cell r="Z149" t="str">
            <v>0</v>
          </cell>
          <cell r="AA149" t="str">
            <v>0</v>
          </cell>
          <cell r="AB149" t="str">
            <v>0</v>
          </cell>
          <cell r="AC149" t="str">
            <v>0</v>
          </cell>
          <cell r="AD149" t="str">
            <v>0</v>
          </cell>
          <cell r="AE149" t="str">
            <v>0</v>
          </cell>
        </row>
        <row r="150">
          <cell r="D150" t="str">
            <v>23-May</v>
          </cell>
          <cell r="E150" t="str">
            <v>0</v>
          </cell>
          <cell r="F150" t="str">
            <v>0</v>
          </cell>
          <cell r="G150">
            <v>1</v>
          </cell>
          <cell r="H150">
            <v>2</v>
          </cell>
          <cell r="I150">
            <v>1</v>
          </cell>
          <cell r="J150" t="str">
            <v>0</v>
          </cell>
          <cell r="K150">
            <v>2</v>
          </cell>
          <cell r="L150" t="str">
            <v>0</v>
          </cell>
          <cell r="M150" t="str">
            <v>0</v>
          </cell>
          <cell r="N150" t="str">
            <v>0</v>
          </cell>
          <cell r="O150" t="str">
            <v>0</v>
          </cell>
          <cell r="P150" t="str">
            <v>0</v>
          </cell>
          <cell r="Q150" t="str">
            <v>0</v>
          </cell>
          <cell r="R150" t="str">
            <v>0</v>
          </cell>
          <cell r="S150" t="str">
            <v>0</v>
          </cell>
          <cell r="T150" t="str">
            <v>0</v>
          </cell>
          <cell r="U150">
            <v>2800</v>
          </cell>
          <cell r="V150">
            <v>1953</v>
          </cell>
          <cell r="W150">
            <v>1748</v>
          </cell>
          <cell r="X150" t="str">
            <v>0</v>
          </cell>
          <cell r="Y150">
            <v>4816</v>
          </cell>
          <cell r="Z150" t="str">
            <v>0</v>
          </cell>
          <cell r="AA150" t="str">
            <v>0</v>
          </cell>
          <cell r="AB150" t="str">
            <v>0</v>
          </cell>
          <cell r="AC150" t="str">
            <v>0</v>
          </cell>
          <cell r="AD150" t="str">
            <v>0</v>
          </cell>
          <cell r="AE150" t="str">
            <v>0</v>
          </cell>
        </row>
        <row r="151">
          <cell r="D151" t="str">
            <v>24-May</v>
          </cell>
          <cell r="E151" t="str">
            <v>0</v>
          </cell>
          <cell r="F151" t="str">
            <v>0</v>
          </cell>
          <cell r="G151" t="str">
            <v>0</v>
          </cell>
          <cell r="H151">
            <v>1</v>
          </cell>
          <cell r="I151">
            <v>1</v>
          </cell>
          <cell r="J151">
            <v>1</v>
          </cell>
          <cell r="K151">
            <v>1</v>
          </cell>
          <cell r="L151" t="str">
            <v>0</v>
          </cell>
          <cell r="M151">
            <v>1</v>
          </cell>
          <cell r="N151" t="str">
            <v>0</v>
          </cell>
          <cell r="O151" t="str">
            <v>0</v>
          </cell>
          <cell r="P151" t="str">
            <v>0</v>
          </cell>
          <cell r="Q151" t="str">
            <v>0</v>
          </cell>
          <cell r="R151" t="str">
            <v>0</v>
          </cell>
          <cell r="S151" t="str">
            <v>0</v>
          </cell>
          <cell r="T151" t="str">
            <v>0</v>
          </cell>
          <cell r="U151" t="str">
            <v>0</v>
          </cell>
          <cell r="V151">
            <v>1300</v>
          </cell>
          <cell r="W151">
            <v>2541</v>
          </cell>
          <cell r="X151">
            <v>645</v>
          </cell>
          <cell r="Y151">
            <v>1600</v>
          </cell>
          <cell r="Z151" t="str">
            <v>0</v>
          </cell>
          <cell r="AA151">
            <v>628</v>
          </cell>
          <cell r="AB151" t="str">
            <v>0</v>
          </cell>
          <cell r="AC151" t="str">
            <v>0</v>
          </cell>
          <cell r="AD151" t="str">
            <v>0</v>
          </cell>
          <cell r="AE151" t="str">
            <v>0</v>
          </cell>
        </row>
        <row r="152">
          <cell r="D152" t="str">
            <v>25-May</v>
          </cell>
          <cell r="E152" t="str">
            <v>0</v>
          </cell>
          <cell r="F152" t="str">
            <v>0</v>
          </cell>
          <cell r="G152" t="str">
            <v>0</v>
          </cell>
          <cell r="H152">
            <v>1</v>
          </cell>
          <cell r="I152" t="str">
            <v>0</v>
          </cell>
          <cell r="J152" t="str">
            <v>0</v>
          </cell>
          <cell r="K152" t="str">
            <v>0</v>
          </cell>
          <cell r="L152" t="str">
            <v>0</v>
          </cell>
          <cell r="M152" t="str">
            <v>0</v>
          </cell>
          <cell r="N152" t="str">
            <v>0</v>
          </cell>
          <cell r="O152" t="str">
            <v>0</v>
          </cell>
          <cell r="P152" t="str">
            <v>0</v>
          </cell>
          <cell r="Q152" t="str">
            <v>0</v>
          </cell>
          <cell r="R152" t="str">
            <v>0</v>
          </cell>
          <cell r="S152" t="str">
            <v>0</v>
          </cell>
          <cell r="T152" t="str">
            <v>0</v>
          </cell>
          <cell r="U152" t="str">
            <v>0</v>
          </cell>
          <cell r="V152">
            <v>1600</v>
          </cell>
          <cell r="W152" t="str">
            <v>0</v>
          </cell>
          <cell r="X152" t="str">
            <v>0</v>
          </cell>
          <cell r="Y152" t="str">
            <v>0</v>
          </cell>
          <cell r="Z152" t="str">
            <v>0</v>
          </cell>
          <cell r="AA152" t="str">
            <v>0</v>
          </cell>
          <cell r="AB152" t="str">
            <v>0</v>
          </cell>
          <cell r="AC152" t="str">
            <v>0</v>
          </cell>
          <cell r="AD152" t="str">
            <v>0</v>
          </cell>
          <cell r="AE152" t="str">
            <v>0</v>
          </cell>
        </row>
        <row r="153">
          <cell r="D153" t="str">
            <v>26-May</v>
          </cell>
          <cell r="E153" t="str">
            <v>0</v>
          </cell>
          <cell r="F153" t="str">
            <v>0</v>
          </cell>
          <cell r="G153" t="str">
            <v>0</v>
          </cell>
          <cell r="H153">
            <v>1</v>
          </cell>
          <cell r="I153" t="str">
            <v>0</v>
          </cell>
          <cell r="J153" t="str">
            <v>0</v>
          </cell>
          <cell r="K153" t="str">
            <v>0</v>
          </cell>
          <cell r="L153" t="str">
            <v>0</v>
          </cell>
          <cell r="M153" t="str">
            <v>0</v>
          </cell>
          <cell r="N153" t="str">
            <v>0</v>
          </cell>
          <cell r="O153" t="str">
            <v>0</v>
          </cell>
          <cell r="P153" t="str">
            <v>0</v>
          </cell>
          <cell r="Q153" t="str">
            <v>0</v>
          </cell>
          <cell r="R153" t="str">
            <v>0</v>
          </cell>
          <cell r="S153" t="str">
            <v>0</v>
          </cell>
          <cell r="T153" t="str">
            <v>0</v>
          </cell>
          <cell r="U153" t="str">
            <v>0</v>
          </cell>
          <cell r="V153">
            <v>952</v>
          </cell>
          <cell r="W153" t="str">
            <v>0</v>
          </cell>
          <cell r="X153" t="str">
            <v>0</v>
          </cell>
          <cell r="Y153" t="str">
            <v>0</v>
          </cell>
          <cell r="Z153" t="str">
            <v>0</v>
          </cell>
          <cell r="AA153" t="str">
            <v>0</v>
          </cell>
          <cell r="AB153" t="str">
            <v>0</v>
          </cell>
          <cell r="AC153" t="str">
            <v>0</v>
          </cell>
          <cell r="AD153" t="str">
            <v>0</v>
          </cell>
          <cell r="AE153" t="str">
            <v>0</v>
          </cell>
        </row>
        <row r="154">
          <cell r="D154" t="str">
            <v>27-May</v>
          </cell>
          <cell r="E154" t="str">
            <v>0</v>
          </cell>
          <cell r="F154" t="str">
            <v>0</v>
          </cell>
          <cell r="G154">
            <v>4</v>
          </cell>
          <cell r="H154" t="str">
            <v>0</v>
          </cell>
          <cell r="I154" t="str">
            <v>0</v>
          </cell>
          <cell r="J154" t="str">
            <v>0</v>
          </cell>
          <cell r="K154" t="str">
            <v>0</v>
          </cell>
          <cell r="L154" t="str">
            <v>0</v>
          </cell>
          <cell r="M154" t="str">
            <v>0</v>
          </cell>
          <cell r="N154" t="str">
            <v>0</v>
          </cell>
          <cell r="O154" t="str">
            <v>0</v>
          </cell>
          <cell r="P154" t="str">
            <v>0</v>
          </cell>
          <cell r="Q154" t="str">
            <v>0</v>
          </cell>
          <cell r="R154" t="str">
            <v>0</v>
          </cell>
          <cell r="S154" t="str">
            <v>0</v>
          </cell>
          <cell r="T154" t="str">
            <v>0</v>
          </cell>
          <cell r="U154">
            <v>2248</v>
          </cell>
          <cell r="V154" t="str">
            <v>0</v>
          </cell>
          <cell r="W154" t="str">
            <v>0</v>
          </cell>
          <cell r="X154" t="str">
            <v>0</v>
          </cell>
          <cell r="Y154" t="str">
            <v>0</v>
          </cell>
          <cell r="Z154" t="str">
            <v>0</v>
          </cell>
          <cell r="AA154" t="str">
            <v>0</v>
          </cell>
          <cell r="AB154" t="str">
            <v>0</v>
          </cell>
          <cell r="AC154" t="str">
            <v>0</v>
          </cell>
          <cell r="AD154" t="str">
            <v>0</v>
          </cell>
          <cell r="AE154" t="str">
            <v>0</v>
          </cell>
        </row>
        <row r="155">
          <cell r="D155" t="str">
            <v>28-May</v>
          </cell>
          <cell r="E155" t="str">
            <v>0</v>
          </cell>
          <cell r="F155" t="str">
            <v>0</v>
          </cell>
          <cell r="G155" t="str">
            <v>0</v>
          </cell>
          <cell r="H155" t="str">
            <v>0</v>
          </cell>
          <cell r="I155">
            <v>1</v>
          </cell>
          <cell r="J155" t="str">
            <v>0</v>
          </cell>
          <cell r="K155">
            <v>1</v>
          </cell>
          <cell r="L155" t="str">
            <v>0</v>
          </cell>
          <cell r="M155" t="str">
            <v>0</v>
          </cell>
          <cell r="N155" t="str">
            <v>0</v>
          </cell>
          <cell r="O155" t="str">
            <v>0</v>
          </cell>
          <cell r="P155" t="str">
            <v>0</v>
          </cell>
          <cell r="Q155" t="str">
            <v>0</v>
          </cell>
          <cell r="R155" t="str">
            <v>0</v>
          </cell>
          <cell r="S155" t="str">
            <v>0</v>
          </cell>
          <cell r="T155" t="str">
            <v>0</v>
          </cell>
          <cell r="U155" t="str">
            <v>0</v>
          </cell>
          <cell r="V155" t="str">
            <v>0</v>
          </cell>
          <cell r="W155">
            <v>332</v>
          </cell>
          <cell r="X155" t="str">
            <v>0</v>
          </cell>
          <cell r="Y155">
            <v>433</v>
          </cell>
          <cell r="Z155" t="str">
            <v>0</v>
          </cell>
          <cell r="AA155" t="str">
            <v>0</v>
          </cell>
          <cell r="AB155" t="str">
            <v>0</v>
          </cell>
          <cell r="AC155" t="str">
            <v>0</v>
          </cell>
          <cell r="AD155" t="str">
            <v>0</v>
          </cell>
          <cell r="AE155" t="str">
            <v>0</v>
          </cell>
        </row>
        <row r="156">
          <cell r="D156" t="str">
            <v>29-May</v>
          </cell>
          <cell r="E156" t="str">
            <v>0</v>
          </cell>
          <cell r="F156" t="str">
            <v>0</v>
          </cell>
          <cell r="G156">
            <v>1</v>
          </cell>
          <cell r="H156" t="str">
            <v>0</v>
          </cell>
          <cell r="I156" t="str">
            <v>0</v>
          </cell>
          <cell r="J156" t="str">
            <v>0</v>
          </cell>
          <cell r="K156">
            <v>3</v>
          </cell>
          <cell r="L156" t="str">
            <v>0</v>
          </cell>
          <cell r="M156" t="str">
            <v>0</v>
          </cell>
          <cell r="N156" t="str">
            <v>0</v>
          </cell>
          <cell r="O156" t="str">
            <v>0</v>
          </cell>
          <cell r="P156" t="str">
            <v>0</v>
          </cell>
          <cell r="Q156" t="str">
            <v>0</v>
          </cell>
          <cell r="R156" t="str">
            <v>0</v>
          </cell>
          <cell r="S156" t="str">
            <v>0</v>
          </cell>
          <cell r="T156" t="str">
            <v>0</v>
          </cell>
          <cell r="U156">
            <v>836</v>
          </cell>
          <cell r="V156" t="str">
            <v>0</v>
          </cell>
          <cell r="W156" t="str">
            <v>0</v>
          </cell>
          <cell r="X156" t="str">
            <v>0</v>
          </cell>
          <cell r="Y156">
            <v>5050</v>
          </cell>
          <cell r="Z156" t="str">
            <v>0</v>
          </cell>
          <cell r="AA156" t="str">
            <v>0</v>
          </cell>
          <cell r="AB156" t="str">
            <v>0</v>
          </cell>
          <cell r="AC156" t="str">
            <v>0</v>
          </cell>
          <cell r="AD156" t="str">
            <v>0</v>
          </cell>
          <cell r="AE156" t="str">
            <v>0</v>
          </cell>
        </row>
        <row r="157">
          <cell r="D157" t="str">
            <v>30-May</v>
          </cell>
          <cell r="E157" t="str">
            <v>0</v>
          </cell>
          <cell r="F157" t="str">
            <v>0</v>
          </cell>
          <cell r="G157">
            <v>7</v>
          </cell>
          <cell r="H157" t="str">
            <v>0</v>
          </cell>
          <cell r="I157">
            <v>1</v>
          </cell>
          <cell r="J157" t="str">
            <v>0</v>
          </cell>
          <cell r="K157" t="str">
            <v>0</v>
          </cell>
          <cell r="L157" t="str">
            <v>0</v>
          </cell>
          <cell r="M157" t="str">
            <v>0</v>
          </cell>
          <cell r="N157" t="str">
            <v>0</v>
          </cell>
          <cell r="O157" t="str">
            <v>0</v>
          </cell>
          <cell r="P157" t="str">
            <v>0</v>
          </cell>
          <cell r="Q157" t="str">
            <v>0</v>
          </cell>
          <cell r="R157" t="str">
            <v>0</v>
          </cell>
          <cell r="S157" t="str">
            <v>0</v>
          </cell>
          <cell r="T157" t="str">
            <v>0</v>
          </cell>
          <cell r="U157">
            <v>12478</v>
          </cell>
          <cell r="V157" t="str">
            <v>0</v>
          </cell>
          <cell r="W157">
            <v>569</v>
          </cell>
          <cell r="X157" t="str">
            <v>0</v>
          </cell>
          <cell r="Y157" t="str">
            <v>0</v>
          </cell>
          <cell r="Z157" t="str">
            <v>0</v>
          </cell>
          <cell r="AA157" t="str">
            <v>0</v>
          </cell>
          <cell r="AB157" t="str">
            <v>0</v>
          </cell>
          <cell r="AC157" t="str">
            <v>0</v>
          </cell>
          <cell r="AD157" t="str">
            <v>0</v>
          </cell>
          <cell r="AE157" t="str">
            <v>0</v>
          </cell>
        </row>
        <row r="158">
          <cell r="D158" t="str">
            <v>31-May</v>
          </cell>
          <cell r="E158">
            <v>1</v>
          </cell>
          <cell r="F158" t="str">
            <v>0</v>
          </cell>
          <cell r="G158">
            <v>2</v>
          </cell>
          <cell r="H158">
            <v>2</v>
          </cell>
          <cell r="I158" t="str">
            <v>0</v>
          </cell>
          <cell r="J158" t="str">
            <v>0</v>
          </cell>
          <cell r="K158" t="str">
            <v>0</v>
          </cell>
          <cell r="L158" t="str">
            <v>0</v>
          </cell>
          <cell r="M158">
            <v>1</v>
          </cell>
          <cell r="N158" t="str">
            <v>0</v>
          </cell>
          <cell r="O158" t="str">
            <v>0</v>
          </cell>
          <cell r="P158" t="str">
            <v>0</v>
          </cell>
          <cell r="Q158" t="str">
            <v>0</v>
          </cell>
          <cell r="R158" t="str">
            <v>0</v>
          </cell>
          <cell r="S158">
            <v>562</v>
          </cell>
          <cell r="T158" t="str">
            <v>0</v>
          </cell>
          <cell r="U158">
            <v>7460</v>
          </cell>
          <cell r="V158">
            <v>2424</v>
          </cell>
          <cell r="W158" t="str">
            <v>0</v>
          </cell>
          <cell r="X158" t="str">
            <v>0</v>
          </cell>
          <cell r="Y158" t="str">
            <v>0</v>
          </cell>
          <cell r="Z158" t="str">
            <v>0</v>
          </cell>
          <cell r="AA158">
            <v>693</v>
          </cell>
          <cell r="AB158" t="str">
            <v>0</v>
          </cell>
          <cell r="AC158" t="str">
            <v>0</v>
          </cell>
          <cell r="AD158" t="str">
            <v>0</v>
          </cell>
          <cell r="AE158" t="str">
            <v>0</v>
          </cell>
        </row>
        <row r="159">
          <cell r="D159" t="str">
            <v>01-Jun</v>
          </cell>
          <cell r="E159">
            <v>1</v>
          </cell>
          <cell r="F159" t="str">
            <v>0</v>
          </cell>
          <cell r="G159">
            <v>1</v>
          </cell>
          <cell r="H159" t="str">
            <v>0</v>
          </cell>
          <cell r="I159">
            <v>1</v>
          </cell>
          <cell r="J159" t="str">
            <v>0</v>
          </cell>
          <cell r="K159" t="str">
            <v>0</v>
          </cell>
          <cell r="L159" t="str">
            <v>0</v>
          </cell>
          <cell r="M159" t="str">
            <v>0</v>
          </cell>
          <cell r="N159" t="str">
            <v>0</v>
          </cell>
          <cell r="O159" t="str">
            <v>0</v>
          </cell>
          <cell r="P159" t="str">
            <v>0</v>
          </cell>
          <cell r="Q159" t="str">
            <v>0</v>
          </cell>
          <cell r="R159" t="str">
            <v>0</v>
          </cell>
          <cell r="S159">
            <v>1672</v>
          </cell>
          <cell r="T159" t="str">
            <v>0</v>
          </cell>
          <cell r="U159">
            <v>480</v>
          </cell>
          <cell r="V159" t="str">
            <v>0</v>
          </cell>
          <cell r="W159">
            <v>3519</v>
          </cell>
          <cell r="X159" t="str">
            <v>0</v>
          </cell>
          <cell r="Y159" t="str">
            <v>0</v>
          </cell>
          <cell r="Z159" t="str">
            <v>0</v>
          </cell>
          <cell r="AA159" t="str">
            <v>0</v>
          </cell>
          <cell r="AB159" t="str">
            <v>0</v>
          </cell>
          <cell r="AC159" t="str">
            <v>0</v>
          </cell>
          <cell r="AD159" t="str">
            <v>0</v>
          </cell>
          <cell r="AE159" t="str">
            <v>0</v>
          </cell>
        </row>
        <row r="160">
          <cell r="D160" t="str">
            <v>02-Jun</v>
          </cell>
          <cell r="E160" t="str">
            <v>0</v>
          </cell>
          <cell r="F160" t="str">
            <v>0</v>
          </cell>
          <cell r="G160">
            <v>2</v>
          </cell>
          <cell r="H160" t="str">
            <v>0</v>
          </cell>
          <cell r="I160">
            <v>1</v>
          </cell>
          <cell r="J160" t="str">
            <v>0</v>
          </cell>
          <cell r="K160">
            <v>1</v>
          </cell>
          <cell r="L160" t="str">
            <v>0</v>
          </cell>
          <cell r="M160" t="str">
            <v>0</v>
          </cell>
          <cell r="N160" t="str">
            <v>0</v>
          </cell>
          <cell r="O160" t="str">
            <v>0</v>
          </cell>
          <cell r="P160" t="str">
            <v>0</v>
          </cell>
          <cell r="Q160" t="str">
            <v>0</v>
          </cell>
          <cell r="R160" t="str">
            <v>0</v>
          </cell>
          <cell r="S160" t="str">
            <v>0</v>
          </cell>
          <cell r="T160" t="str">
            <v>0</v>
          </cell>
          <cell r="U160">
            <v>2812</v>
          </cell>
          <cell r="V160" t="str">
            <v>0</v>
          </cell>
          <cell r="W160">
            <v>2172</v>
          </cell>
          <cell r="X160" t="str">
            <v>0</v>
          </cell>
          <cell r="Y160">
            <v>362</v>
          </cell>
          <cell r="Z160" t="str">
            <v>0</v>
          </cell>
          <cell r="AA160" t="str">
            <v>0</v>
          </cell>
          <cell r="AB160" t="str">
            <v>0</v>
          </cell>
          <cell r="AC160" t="str">
            <v>0</v>
          </cell>
          <cell r="AD160" t="str">
            <v>0</v>
          </cell>
          <cell r="AE160" t="str">
            <v>0</v>
          </cell>
        </row>
        <row r="161">
          <cell r="D161" t="str">
            <v>03-Jun</v>
          </cell>
          <cell r="E161" t="str">
            <v>0</v>
          </cell>
          <cell r="F161" t="str">
            <v>0</v>
          </cell>
          <cell r="G161" t="str">
            <v>0</v>
          </cell>
          <cell r="H161" t="str">
            <v>0</v>
          </cell>
          <cell r="I161" t="str">
            <v>0</v>
          </cell>
          <cell r="J161" t="str">
            <v>0</v>
          </cell>
          <cell r="K161" t="str">
            <v>0</v>
          </cell>
          <cell r="L161" t="str">
            <v>0</v>
          </cell>
          <cell r="M161" t="str">
            <v>0</v>
          </cell>
          <cell r="N161" t="str">
            <v>0</v>
          </cell>
          <cell r="O161" t="str">
            <v>0</v>
          </cell>
          <cell r="P161" t="str">
            <v>0</v>
          </cell>
          <cell r="Q161" t="str">
            <v>0</v>
          </cell>
          <cell r="R161" t="str">
            <v>0</v>
          </cell>
          <cell r="S161" t="str">
            <v>0</v>
          </cell>
          <cell r="T161" t="str">
            <v>0</v>
          </cell>
          <cell r="U161" t="str">
            <v>0</v>
          </cell>
          <cell r="V161" t="str">
            <v>0</v>
          </cell>
          <cell r="W161" t="str">
            <v>0</v>
          </cell>
          <cell r="X161" t="str">
            <v>0</v>
          </cell>
          <cell r="Y161" t="str">
            <v>0</v>
          </cell>
          <cell r="Z161" t="str">
            <v>0</v>
          </cell>
          <cell r="AA161" t="str">
            <v>0</v>
          </cell>
          <cell r="AB161" t="str">
            <v>0</v>
          </cell>
          <cell r="AC161" t="str">
            <v>0</v>
          </cell>
          <cell r="AD161" t="str">
            <v>0</v>
          </cell>
          <cell r="AE161" t="str">
            <v>0</v>
          </cell>
        </row>
        <row r="162">
          <cell r="D162" t="str">
            <v>04-Jun</v>
          </cell>
          <cell r="E162" t="str">
            <v>0</v>
          </cell>
          <cell r="F162" t="str">
            <v>0</v>
          </cell>
          <cell r="G162">
            <v>1</v>
          </cell>
          <cell r="H162" t="str">
            <v>0</v>
          </cell>
          <cell r="I162" t="str">
            <v>0</v>
          </cell>
          <cell r="J162" t="str">
            <v>0</v>
          </cell>
          <cell r="K162" t="str">
            <v>0</v>
          </cell>
          <cell r="L162" t="str">
            <v>0</v>
          </cell>
          <cell r="M162" t="str">
            <v>0</v>
          </cell>
          <cell r="N162" t="str">
            <v>0</v>
          </cell>
          <cell r="O162" t="str">
            <v>0</v>
          </cell>
          <cell r="P162" t="str">
            <v>0</v>
          </cell>
          <cell r="Q162" t="str">
            <v>0</v>
          </cell>
          <cell r="R162" t="str">
            <v>0</v>
          </cell>
          <cell r="S162" t="str">
            <v>0</v>
          </cell>
          <cell r="T162" t="str">
            <v>0</v>
          </cell>
          <cell r="U162">
            <v>1280</v>
          </cell>
          <cell r="V162" t="str">
            <v>0</v>
          </cell>
          <cell r="W162" t="str">
            <v>0</v>
          </cell>
          <cell r="X162" t="str">
            <v>0</v>
          </cell>
          <cell r="Y162" t="str">
            <v>0</v>
          </cell>
          <cell r="Z162" t="str">
            <v>0</v>
          </cell>
          <cell r="AA162" t="str">
            <v>0</v>
          </cell>
          <cell r="AB162" t="str">
            <v>0</v>
          </cell>
          <cell r="AC162" t="str">
            <v>0</v>
          </cell>
          <cell r="AD162" t="str">
            <v>0</v>
          </cell>
          <cell r="AE162" t="str">
            <v>0</v>
          </cell>
        </row>
        <row r="163">
          <cell r="D163" t="str">
            <v>05-Jun</v>
          </cell>
          <cell r="E163" t="str">
            <v>0</v>
          </cell>
          <cell r="F163" t="str">
            <v>0</v>
          </cell>
          <cell r="G163">
            <v>3</v>
          </cell>
          <cell r="H163">
            <v>1</v>
          </cell>
          <cell r="I163" t="str">
            <v>0</v>
          </cell>
          <cell r="J163" t="str">
            <v>0</v>
          </cell>
          <cell r="K163" t="str">
            <v>0</v>
          </cell>
          <cell r="L163">
            <v>1</v>
          </cell>
          <cell r="M163" t="str">
            <v>0</v>
          </cell>
          <cell r="N163" t="str">
            <v>0</v>
          </cell>
          <cell r="O163" t="str">
            <v>0</v>
          </cell>
          <cell r="P163" t="str">
            <v>0</v>
          </cell>
          <cell r="Q163" t="str">
            <v>0</v>
          </cell>
          <cell r="R163" t="str">
            <v>0</v>
          </cell>
          <cell r="S163" t="str">
            <v>0</v>
          </cell>
          <cell r="T163" t="str">
            <v>0</v>
          </cell>
          <cell r="U163">
            <v>3644</v>
          </cell>
          <cell r="V163">
            <v>1520</v>
          </cell>
          <cell r="W163" t="str">
            <v>0</v>
          </cell>
          <cell r="X163" t="str">
            <v>0</v>
          </cell>
          <cell r="Y163" t="str">
            <v>0</v>
          </cell>
          <cell r="Z163">
            <v>1600</v>
          </cell>
          <cell r="AA163" t="str">
            <v>0</v>
          </cell>
          <cell r="AB163" t="str">
            <v>0</v>
          </cell>
          <cell r="AC163" t="str">
            <v>0</v>
          </cell>
          <cell r="AD163" t="str">
            <v>0</v>
          </cell>
          <cell r="AE163" t="str">
            <v>0</v>
          </cell>
        </row>
        <row r="164">
          <cell r="D164" t="str">
            <v>06-Jun</v>
          </cell>
          <cell r="E164" t="str">
            <v>0</v>
          </cell>
          <cell r="F164" t="str">
            <v>0</v>
          </cell>
          <cell r="G164">
            <v>2</v>
          </cell>
          <cell r="H164" t="str">
            <v>0</v>
          </cell>
          <cell r="I164" t="str">
            <v>0</v>
          </cell>
          <cell r="J164">
            <v>1</v>
          </cell>
          <cell r="K164">
            <v>1</v>
          </cell>
          <cell r="L164" t="str">
            <v>0</v>
          </cell>
          <cell r="M164" t="str">
            <v>0</v>
          </cell>
          <cell r="N164" t="str">
            <v>0</v>
          </cell>
          <cell r="O164" t="str">
            <v>0</v>
          </cell>
          <cell r="P164" t="str">
            <v>0</v>
          </cell>
          <cell r="Q164" t="str">
            <v>0</v>
          </cell>
          <cell r="R164" t="str">
            <v>0</v>
          </cell>
          <cell r="S164" t="str">
            <v>0</v>
          </cell>
          <cell r="T164" t="str">
            <v>0</v>
          </cell>
          <cell r="U164">
            <v>2173</v>
          </cell>
          <cell r="V164" t="str">
            <v>0</v>
          </cell>
          <cell r="W164" t="str">
            <v>0</v>
          </cell>
          <cell r="X164">
            <v>1140</v>
          </cell>
          <cell r="Y164">
            <v>1216</v>
          </cell>
          <cell r="Z164" t="str">
            <v>0</v>
          </cell>
          <cell r="AA164" t="str">
            <v>0</v>
          </cell>
          <cell r="AB164" t="str">
            <v>0</v>
          </cell>
          <cell r="AC164" t="str">
            <v>0</v>
          </cell>
          <cell r="AD164" t="str">
            <v>0</v>
          </cell>
          <cell r="AE164" t="str">
            <v>0</v>
          </cell>
        </row>
        <row r="165">
          <cell r="D165" t="str">
            <v>07-Jun</v>
          </cell>
          <cell r="E165" t="str">
            <v>0</v>
          </cell>
          <cell r="F165" t="str">
            <v>0</v>
          </cell>
          <cell r="G165" t="str">
            <v>0</v>
          </cell>
          <cell r="H165">
            <v>2</v>
          </cell>
          <cell r="I165">
            <v>1</v>
          </cell>
          <cell r="J165" t="str">
            <v>0</v>
          </cell>
          <cell r="K165" t="str">
            <v>0</v>
          </cell>
          <cell r="L165" t="str">
            <v>0</v>
          </cell>
          <cell r="M165" t="str">
            <v>0</v>
          </cell>
          <cell r="N165" t="str">
            <v>0</v>
          </cell>
          <cell r="O165" t="str">
            <v>0</v>
          </cell>
          <cell r="P165" t="str">
            <v>0</v>
          </cell>
          <cell r="Q165" t="str">
            <v>0</v>
          </cell>
          <cell r="R165" t="str">
            <v>0</v>
          </cell>
          <cell r="S165" t="str">
            <v>0</v>
          </cell>
          <cell r="T165" t="str">
            <v>0</v>
          </cell>
          <cell r="U165" t="str">
            <v>0</v>
          </cell>
          <cell r="V165">
            <v>2622</v>
          </cell>
          <cell r="W165">
            <v>988</v>
          </cell>
          <cell r="X165" t="str">
            <v>0</v>
          </cell>
          <cell r="Y165" t="str">
            <v>0</v>
          </cell>
          <cell r="Z165" t="str">
            <v>0</v>
          </cell>
          <cell r="AA165" t="str">
            <v>0</v>
          </cell>
          <cell r="AB165" t="str">
            <v>0</v>
          </cell>
          <cell r="AC165" t="str">
            <v>0</v>
          </cell>
          <cell r="AD165" t="str">
            <v>0</v>
          </cell>
          <cell r="AE165" t="str">
            <v>0</v>
          </cell>
        </row>
        <row r="166">
          <cell r="D166" t="str">
            <v>08-Jun</v>
          </cell>
          <cell r="E166" t="str">
            <v>0</v>
          </cell>
          <cell r="F166" t="str">
            <v>0</v>
          </cell>
          <cell r="G166">
            <v>2</v>
          </cell>
          <cell r="H166" t="str">
            <v>0</v>
          </cell>
          <cell r="I166">
            <v>1</v>
          </cell>
          <cell r="J166" t="str">
            <v>0</v>
          </cell>
          <cell r="K166" t="str">
            <v>0</v>
          </cell>
          <cell r="L166" t="str">
            <v>0</v>
          </cell>
          <cell r="M166" t="str">
            <v>0</v>
          </cell>
          <cell r="N166" t="str">
            <v>0</v>
          </cell>
          <cell r="O166" t="str">
            <v>0</v>
          </cell>
          <cell r="P166" t="str">
            <v>0</v>
          </cell>
          <cell r="Q166" t="str">
            <v>0</v>
          </cell>
          <cell r="R166" t="str">
            <v>0</v>
          </cell>
          <cell r="S166" t="str">
            <v>0</v>
          </cell>
          <cell r="T166" t="str">
            <v>0</v>
          </cell>
          <cell r="U166">
            <v>2508</v>
          </cell>
          <cell r="V166" t="str">
            <v>0</v>
          </cell>
          <cell r="W166">
            <v>398</v>
          </cell>
          <cell r="X166" t="str">
            <v>0</v>
          </cell>
          <cell r="Y166" t="str">
            <v>0</v>
          </cell>
          <cell r="Z166" t="str">
            <v>0</v>
          </cell>
          <cell r="AA166" t="str">
            <v>0</v>
          </cell>
          <cell r="AB166" t="str">
            <v>0</v>
          </cell>
          <cell r="AC166" t="str">
            <v>0</v>
          </cell>
          <cell r="AD166" t="str">
            <v>0</v>
          </cell>
          <cell r="AE166" t="str">
            <v>0</v>
          </cell>
        </row>
        <row r="167">
          <cell r="D167" t="str">
            <v>09-Jun</v>
          </cell>
          <cell r="E167" t="str">
            <v>0</v>
          </cell>
          <cell r="F167" t="str">
            <v>0</v>
          </cell>
          <cell r="G167">
            <v>1</v>
          </cell>
          <cell r="H167">
            <v>1</v>
          </cell>
          <cell r="I167">
            <v>2</v>
          </cell>
          <cell r="J167" t="str">
            <v>0</v>
          </cell>
          <cell r="K167">
            <v>2</v>
          </cell>
          <cell r="L167" t="str">
            <v>0</v>
          </cell>
          <cell r="M167" t="str">
            <v>0</v>
          </cell>
          <cell r="N167" t="str">
            <v>0</v>
          </cell>
          <cell r="O167" t="str">
            <v>0</v>
          </cell>
          <cell r="P167" t="str">
            <v>0</v>
          </cell>
          <cell r="Q167" t="str">
            <v>0</v>
          </cell>
          <cell r="R167" t="str">
            <v>0</v>
          </cell>
          <cell r="S167" t="str">
            <v>0</v>
          </cell>
          <cell r="T167" t="str">
            <v>0</v>
          </cell>
          <cell r="U167">
            <v>1185</v>
          </cell>
          <cell r="V167">
            <v>1140</v>
          </cell>
          <cell r="W167">
            <v>2407</v>
          </cell>
          <cell r="X167" t="str">
            <v>0</v>
          </cell>
          <cell r="Y167">
            <v>2660</v>
          </cell>
          <cell r="Z167" t="str">
            <v>0</v>
          </cell>
          <cell r="AA167" t="str">
            <v>0</v>
          </cell>
          <cell r="AB167" t="str">
            <v>0</v>
          </cell>
          <cell r="AC167" t="str">
            <v>0</v>
          </cell>
          <cell r="AD167" t="str">
            <v>0</v>
          </cell>
          <cell r="AE167" t="str">
            <v>0</v>
          </cell>
        </row>
        <row r="168">
          <cell r="D168" t="str">
            <v>10-Jun</v>
          </cell>
          <cell r="E168" t="str">
            <v>0</v>
          </cell>
          <cell r="F168" t="str">
            <v>0</v>
          </cell>
          <cell r="G168">
            <v>1</v>
          </cell>
          <cell r="H168" t="str">
            <v>0</v>
          </cell>
          <cell r="I168" t="str">
            <v>0</v>
          </cell>
          <cell r="J168" t="str">
            <v>0</v>
          </cell>
          <cell r="K168" t="str">
            <v>0</v>
          </cell>
          <cell r="L168" t="str">
            <v>0</v>
          </cell>
          <cell r="M168" t="str">
            <v>0</v>
          </cell>
          <cell r="N168" t="str">
            <v>0</v>
          </cell>
          <cell r="O168" t="str">
            <v>0</v>
          </cell>
          <cell r="P168" t="str">
            <v>0</v>
          </cell>
          <cell r="Q168" t="str">
            <v>0</v>
          </cell>
          <cell r="R168" t="str">
            <v>0</v>
          </cell>
          <cell r="S168" t="str">
            <v>0</v>
          </cell>
          <cell r="T168" t="str">
            <v>0</v>
          </cell>
          <cell r="U168">
            <v>3748</v>
          </cell>
          <cell r="V168" t="str">
            <v>0</v>
          </cell>
          <cell r="W168" t="str">
            <v>0</v>
          </cell>
          <cell r="X168" t="str">
            <v>0</v>
          </cell>
          <cell r="Y168" t="str">
            <v>0</v>
          </cell>
          <cell r="Z168" t="str">
            <v>0</v>
          </cell>
          <cell r="AA168" t="str">
            <v>0</v>
          </cell>
          <cell r="AB168" t="str">
            <v>0</v>
          </cell>
          <cell r="AC168" t="str">
            <v>0</v>
          </cell>
          <cell r="AD168" t="str">
            <v>0</v>
          </cell>
          <cell r="AE168" t="str">
            <v>0</v>
          </cell>
        </row>
        <row r="169">
          <cell r="D169" t="str">
            <v>11-Jun</v>
          </cell>
          <cell r="E169" t="str">
            <v>0</v>
          </cell>
          <cell r="F169" t="str">
            <v>0</v>
          </cell>
          <cell r="G169">
            <v>2</v>
          </cell>
          <cell r="H169" t="str">
            <v>0</v>
          </cell>
          <cell r="I169" t="str">
            <v>0</v>
          </cell>
          <cell r="J169" t="str">
            <v>0</v>
          </cell>
          <cell r="K169" t="str">
            <v>0</v>
          </cell>
          <cell r="L169" t="str">
            <v>0</v>
          </cell>
          <cell r="M169" t="str">
            <v>0</v>
          </cell>
          <cell r="N169" t="str">
            <v>0</v>
          </cell>
          <cell r="O169" t="str">
            <v>0</v>
          </cell>
          <cell r="P169" t="str">
            <v>0</v>
          </cell>
          <cell r="Q169" t="str">
            <v>0</v>
          </cell>
          <cell r="R169" t="str">
            <v>0</v>
          </cell>
          <cell r="S169" t="str">
            <v>0</v>
          </cell>
          <cell r="T169" t="str">
            <v>0</v>
          </cell>
          <cell r="U169">
            <v>1824</v>
          </cell>
          <cell r="V169" t="str">
            <v>0</v>
          </cell>
          <cell r="W169" t="str">
            <v>0</v>
          </cell>
          <cell r="X169" t="str">
            <v>0</v>
          </cell>
          <cell r="Y169" t="str">
            <v>0</v>
          </cell>
          <cell r="Z169" t="str">
            <v>0</v>
          </cell>
          <cell r="AA169" t="str">
            <v>0</v>
          </cell>
          <cell r="AB169" t="str">
            <v>0</v>
          </cell>
          <cell r="AC169" t="str">
            <v>0</v>
          </cell>
          <cell r="AD169" t="str">
            <v>0</v>
          </cell>
          <cell r="AE169" t="str">
            <v>0</v>
          </cell>
        </row>
        <row r="170">
          <cell r="D170" t="str">
            <v>12-Jun</v>
          </cell>
          <cell r="E170" t="str">
            <v>0</v>
          </cell>
          <cell r="F170" t="str">
            <v>0</v>
          </cell>
          <cell r="G170" t="str">
            <v>0</v>
          </cell>
          <cell r="H170" t="str">
            <v>0</v>
          </cell>
          <cell r="I170" t="str">
            <v>0</v>
          </cell>
          <cell r="J170" t="str">
            <v>0</v>
          </cell>
          <cell r="K170" t="str">
            <v>0</v>
          </cell>
          <cell r="L170" t="str">
            <v>0</v>
          </cell>
          <cell r="M170" t="str">
            <v>0</v>
          </cell>
          <cell r="N170" t="str">
            <v>0</v>
          </cell>
          <cell r="O170" t="str">
            <v>0</v>
          </cell>
          <cell r="P170" t="str">
            <v>0</v>
          </cell>
          <cell r="Q170" t="str">
            <v>0</v>
          </cell>
          <cell r="R170" t="str">
            <v>0</v>
          </cell>
          <cell r="S170" t="str">
            <v>0</v>
          </cell>
          <cell r="T170" t="str">
            <v>0</v>
          </cell>
          <cell r="U170" t="str">
            <v>0</v>
          </cell>
          <cell r="V170" t="str">
            <v>0</v>
          </cell>
          <cell r="W170" t="str">
            <v>0</v>
          </cell>
          <cell r="X170" t="str">
            <v>0</v>
          </cell>
          <cell r="Y170" t="str">
            <v>0</v>
          </cell>
          <cell r="Z170" t="str">
            <v>0</v>
          </cell>
          <cell r="AA170" t="str">
            <v>0</v>
          </cell>
          <cell r="AB170" t="str">
            <v>0</v>
          </cell>
          <cell r="AC170" t="str">
            <v>0</v>
          </cell>
          <cell r="AD170" t="str">
            <v>0</v>
          </cell>
          <cell r="AE170" t="str">
            <v>0</v>
          </cell>
        </row>
        <row r="171">
          <cell r="D171" t="str">
            <v>13-Jun</v>
          </cell>
          <cell r="E171" t="str">
            <v>0</v>
          </cell>
          <cell r="F171" t="str">
            <v>0</v>
          </cell>
          <cell r="G171">
            <v>2</v>
          </cell>
          <cell r="H171" t="str">
            <v>0</v>
          </cell>
          <cell r="I171" t="str">
            <v>0</v>
          </cell>
          <cell r="J171" t="str">
            <v>0</v>
          </cell>
          <cell r="K171" t="str">
            <v>0</v>
          </cell>
          <cell r="L171" t="str">
            <v>0</v>
          </cell>
          <cell r="M171" t="str">
            <v>0</v>
          </cell>
          <cell r="N171" t="str">
            <v>0</v>
          </cell>
          <cell r="O171" t="str">
            <v>0</v>
          </cell>
          <cell r="P171" t="str">
            <v>0</v>
          </cell>
          <cell r="Q171" t="str">
            <v>0</v>
          </cell>
          <cell r="R171" t="str">
            <v>0</v>
          </cell>
          <cell r="S171" t="str">
            <v>0</v>
          </cell>
          <cell r="T171" t="str">
            <v>0</v>
          </cell>
          <cell r="U171">
            <v>2234</v>
          </cell>
          <cell r="V171" t="str">
            <v>0</v>
          </cell>
          <cell r="W171" t="str">
            <v>0</v>
          </cell>
          <cell r="X171" t="str">
            <v>0</v>
          </cell>
          <cell r="Y171" t="str">
            <v>0</v>
          </cell>
          <cell r="Z171" t="str">
            <v>0</v>
          </cell>
          <cell r="AA171" t="str">
            <v>0</v>
          </cell>
          <cell r="AB171" t="str">
            <v>0</v>
          </cell>
          <cell r="AC171" t="str">
            <v>0</v>
          </cell>
          <cell r="AD171" t="str">
            <v>0</v>
          </cell>
          <cell r="AE171" t="str">
            <v>0</v>
          </cell>
        </row>
        <row r="172">
          <cell r="D172" t="str">
            <v>14-Jun</v>
          </cell>
          <cell r="E172" t="str">
            <v>0</v>
          </cell>
          <cell r="F172" t="str">
            <v>0</v>
          </cell>
          <cell r="G172">
            <v>3</v>
          </cell>
          <cell r="H172">
            <v>1</v>
          </cell>
          <cell r="I172" t="str">
            <v>0</v>
          </cell>
          <cell r="J172" t="str">
            <v>0</v>
          </cell>
          <cell r="K172">
            <v>2</v>
          </cell>
          <cell r="L172" t="str">
            <v>0</v>
          </cell>
          <cell r="M172" t="str">
            <v>0</v>
          </cell>
          <cell r="N172" t="str">
            <v>0</v>
          </cell>
          <cell r="O172" t="str">
            <v>0</v>
          </cell>
          <cell r="P172" t="str">
            <v>0</v>
          </cell>
          <cell r="Q172" t="str">
            <v>0</v>
          </cell>
          <cell r="R172" t="str">
            <v>0</v>
          </cell>
          <cell r="S172" t="str">
            <v>0</v>
          </cell>
          <cell r="T172" t="str">
            <v>0</v>
          </cell>
          <cell r="U172">
            <v>2894</v>
          </cell>
          <cell r="V172">
            <v>918</v>
          </cell>
          <cell r="W172" t="str">
            <v>0</v>
          </cell>
          <cell r="X172" t="str">
            <v>0</v>
          </cell>
          <cell r="Y172">
            <v>3355</v>
          </cell>
          <cell r="Z172" t="str">
            <v>0</v>
          </cell>
          <cell r="AA172" t="str">
            <v>0</v>
          </cell>
          <cell r="AB172" t="str">
            <v>0</v>
          </cell>
          <cell r="AC172" t="str">
            <v>0</v>
          </cell>
          <cell r="AD172" t="str">
            <v>0</v>
          </cell>
          <cell r="AE172" t="str">
            <v>0</v>
          </cell>
        </row>
        <row r="173">
          <cell r="D173" t="str">
            <v>15-Jun</v>
          </cell>
          <cell r="E173" t="str">
            <v>0</v>
          </cell>
          <cell r="F173" t="str">
            <v>0</v>
          </cell>
          <cell r="G173">
            <v>4</v>
          </cell>
          <cell r="H173">
            <v>1</v>
          </cell>
          <cell r="I173" t="str">
            <v>0</v>
          </cell>
          <cell r="J173" t="str">
            <v>0</v>
          </cell>
          <cell r="K173" t="str">
            <v>0</v>
          </cell>
          <cell r="L173" t="str">
            <v>0</v>
          </cell>
          <cell r="M173" t="str">
            <v>0</v>
          </cell>
          <cell r="N173" t="str">
            <v>0</v>
          </cell>
          <cell r="O173" t="str">
            <v>0</v>
          </cell>
          <cell r="P173" t="str">
            <v>0</v>
          </cell>
          <cell r="Q173" t="str">
            <v>0</v>
          </cell>
          <cell r="R173" t="str">
            <v>0</v>
          </cell>
          <cell r="S173" t="str">
            <v>0</v>
          </cell>
          <cell r="T173" t="str">
            <v>0</v>
          </cell>
          <cell r="U173">
            <v>5402</v>
          </cell>
          <cell r="V173">
            <v>2888</v>
          </cell>
          <cell r="W173" t="str">
            <v>0</v>
          </cell>
          <cell r="X173" t="str">
            <v>0</v>
          </cell>
          <cell r="Y173" t="str">
            <v>0</v>
          </cell>
          <cell r="Z173" t="str">
            <v>0</v>
          </cell>
          <cell r="AA173" t="str">
            <v>0</v>
          </cell>
          <cell r="AB173" t="str">
            <v>0</v>
          </cell>
          <cell r="AC173" t="str">
            <v>0</v>
          </cell>
          <cell r="AD173" t="str">
            <v>0</v>
          </cell>
          <cell r="AE173" t="str">
            <v>0</v>
          </cell>
        </row>
        <row r="174">
          <cell r="D174" t="str">
            <v>16-Jun</v>
          </cell>
          <cell r="E174" t="str">
            <v>0</v>
          </cell>
          <cell r="F174" t="str">
            <v>0</v>
          </cell>
          <cell r="G174">
            <v>1</v>
          </cell>
          <cell r="H174">
            <v>2</v>
          </cell>
          <cell r="I174" t="str">
            <v>0</v>
          </cell>
          <cell r="J174" t="str">
            <v>0</v>
          </cell>
          <cell r="K174">
            <v>1</v>
          </cell>
          <cell r="L174" t="str">
            <v>0</v>
          </cell>
          <cell r="M174" t="str">
            <v>0</v>
          </cell>
          <cell r="N174" t="str">
            <v>0</v>
          </cell>
          <cell r="O174" t="str">
            <v>0</v>
          </cell>
          <cell r="P174" t="str">
            <v>0</v>
          </cell>
          <cell r="Q174" t="str">
            <v>0</v>
          </cell>
          <cell r="R174" t="str">
            <v>0</v>
          </cell>
          <cell r="S174" t="str">
            <v>0</v>
          </cell>
          <cell r="T174" t="str">
            <v>0</v>
          </cell>
          <cell r="U174">
            <v>7452</v>
          </cell>
          <cell r="V174">
            <v>764</v>
          </cell>
          <cell r="W174" t="str">
            <v>0</v>
          </cell>
          <cell r="X174" t="str">
            <v>0</v>
          </cell>
          <cell r="Y174">
            <v>636</v>
          </cell>
          <cell r="Z174" t="str">
            <v>0</v>
          </cell>
          <cell r="AA174" t="str">
            <v>0</v>
          </cell>
          <cell r="AB174" t="str">
            <v>0</v>
          </cell>
          <cell r="AC174" t="str">
            <v>0</v>
          </cell>
          <cell r="AD174" t="str">
            <v>0</v>
          </cell>
          <cell r="AE174" t="str">
            <v>0</v>
          </cell>
        </row>
        <row r="175">
          <cell r="D175" t="str">
            <v>17-Jun</v>
          </cell>
          <cell r="E175" t="str">
            <v>0</v>
          </cell>
          <cell r="F175" t="str">
            <v>0</v>
          </cell>
          <cell r="G175">
            <v>2</v>
          </cell>
          <cell r="H175" t="str">
            <v>0</v>
          </cell>
          <cell r="I175">
            <v>1</v>
          </cell>
          <cell r="J175" t="str">
            <v>0</v>
          </cell>
          <cell r="K175" t="str">
            <v>0</v>
          </cell>
          <cell r="L175" t="str">
            <v>0</v>
          </cell>
          <cell r="M175" t="str">
            <v>0</v>
          </cell>
          <cell r="N175" t="str">
            <v>0</v>
          </cell>
          <cell r="O175" t="str">
            <v>0</v>
          </cell>
          <cell r="P175" t="str">
            <v>0</v>
          </cell>
          <cell r="Q175" t="str">
            <v>0</v>
          </cell>
          <cell r="R175" t="str">
            <v>0</v>
          </cell>
          <cell r="S175" t="str">
            <v>0</v>
          </cell>
          <cell r="T175" t="str">
            <v>0</v>
          </cell>
          <cell r="U175">
            <v>1700</v>
          </cell>
          <cell r="V175" t="str">
            <v>0</v>
          </cell>
          <cell r="W175">
            <v>1064</v>
          </cell>
          <cell r="X175" t="str">
            <v>0</v>
          </cell>
          <cell r="Y175" t="str">
            <v>0</v>
          </cell>
          <cell r="Z175" t="str">
            <v>0</v>
          </cell>
          <cell r="AA175" t="str">
            <v>0</v>
          </cell>
          <cell r="AB175" t="str">
            <v>0</v>
          </cell>
          <cell r="AC175" t="str">
            <v>0</v>
          </cell>
          <cell r="AD175" t="str">
            <v>0</v>
          </cell>
          <cell r="AE175" t="str">
            <v>0</v>
          </cell>
        </row>
        <row r="176">
          <cell r="D176" t="str">
            <v>18-Jun</v>
          </cell>
          <cell r="E176" t="str">
            <v>0</v>
          </cell>
          <cell r="F176" t="str">
            <v>0</v>
          </cell>
          <cell r="G176" t="str">
            <v>0</v>
          </cell>
          <cell r="H176">
            <v>24</v>
          </cell>
          <cell r="I176" t="str">
            <v>0</v>
          </cell>
          <cell r="J176" t="str">
            <v>0</v>
          </cell>
          <cell r="K176" t="str">
            <v>0</v>
          </cell>
          <cell r="L176" t="str">
            <v>0</v>
          </cell>
          <cell r="M176" t="str">
            <v>0</v>
          </cell>
          <cell r="N176" t="str">
            <v>0</v>
          </cell>
          <cell r="O176" t="str">
            <v>0</v>
          </cell>
          <cell r="P176" t="str">
            <v>0</v>
          </cell>
          <cell r="Q176" t="str">
            <v>0</v>
          </cell>
          <cell r="R176" t="str">
            <v>0</v>
          </cell>
          <cell r="S176" t="str">
            <v>0</v>
          </cell>
          <cell r="T176" t="str">
            <v>0</v>
          </cell>
          <cell r="U176" t="str">
            <v>0</v>
          </cell>
          <cell r="V176">
            <v>11390</v>
          </cell>
          <cell r="W176" t="str">
            <v>0</v>
          </cell>
          <cell r="X176" t="str">
            <v>0</v>
          </cell>
          <cell r="Y176" t="str">
            <v>0</v>
          </cell>
          <cell r="Z176" t="str">
            <v>0</v>
          </cell>
          <cell r="AA176" t="str">
            <v>0</v>
          </cell>
          <cell r="AB176" t="str">
            <v>0</v>
          </cell>
          <cell r="AC176" t="str">
            <v>0</v>
          </cell>
          <cell r="AD176" t="str">
            <v>0</v>
          </cell>
          <cell r="AE176" t="str">
            <v>0</v>
          </cell>
        </row>
        <row r="177">
          <cell r="D177" t="str">
            <v>19-Jun</v>
          </cell>
          <cell r="E177">
            <v>1</v>
          </cell>
          <cell r="F177" t="str">
            <v>0</v>
          </cell>
          <cell r="G177">
            <v>1</v>
          </cell>
          <cell r="H177">
            <v>6</v>
          </cell>
          <cell r="I177" t="str">
            <v>0</v>
          </cell>
          <cell r="J177">
            <v>2</v>
          </cell>
          <cell r="K177" t="str">
            <v>0</v>
          </cell>
          <cell r="L177" t="str">
            <v>0</v>
          </cell>
          <cell r="M177" t="str">
            <v>0</v>
          </cell>
          <cell r="N177" t="str">
            <v>0</v>
          </cell>
          <cell r="O177" t="str">
            <v>0</v>
          </cell>
          <cell r="P177" t="str">
            <v>0</v>
          </cell>
          <cell r="Q177" t="str">
            <v>0</v>
          </cell>
          <cell r="R177" t="str">
            <v>0</v>
          </cell>
          <cell r="S177">
            <v>319</v>
          </cell>
          <cell r="T177" t="str">
            <v>0</v>
          </cell>
          <cell r="U177">
            <v>1444</v>
          </cell>
          <cell r="V177">
            <v>7084</v>
          </cell>
          <cell r="W177" t="str">
            <v>0</v>
          </cell>
          <cell r="X177">
            <v>4654</v>
          </cell>
          <cell r="Y177" t="str">
            <v>0</v>
          </cell>
          <cell r="Z177" t="str">
            <v>0</v>
          </cell>
          <cell r="AA177" t="str">
            <v>0</v>
          </cell>
          <cell r="AB177" t="str">
            <v>0</v>
          </cell>
          <cell r="AC177" t="str">
            <v>0</v>
          </cell>
          <cell r="AD177" t="str">
            <v>0</v>
          </cell>
          <cell r="AE177" t="str">
            <v>0</v>
          </cell>
        </row>
        <row r="178">
          <cell r="D178" t="str">
            <v>20-Jun</v>
          </cell>
          <cell r="E178" t="str">
            <v>0</v>
          </cell>
          <cell r="F178" t="str">
            <v>0</v>
          </cell>
          <cell r="G178">
            <v>5</v>
          </cell>
          <cell r="H178">
            <v>1</v>
          </cell>
          <cell r="I178" t="str">
            <v>0</v>
          </cell>
          <cell r="J178" t="str">
            <v>0</v>
          </cell>
          <cell r="K178">
            <v>1</v>
          </cell>
          <cell r="L178" t="str">
            <v>0</v>
          </cell>
          <cell r="M178" t="str">
            <v>0</v>
          </cell>
          <cell r="N178" t="str">
            <v>0</v>
          </cell>
          <cell r="O178" t="str">
            <v>0</v>
          </cell>
          <cell r="P178" t="str">
            <v>0</v>
          </cell>
          <cell r="Q178" t="str">
            <v>0</v>
          </cell>
          <cell r="R178" t="str">
            <v>0</v>
          </cell>
          <cell r="S178" t="str">
            <v>0</v>
          </cell>
          <cell r="T178" t="str">
            <v>0</v>
          </cell>
          <cell r="U178">
            <v>7661</v>
          </cell>
          <cell r="V178">
            <v>1064</v>
          </cell>
          <cell r="W178" t="str">
            <v>0</v>
          </cell>
          <cell r="X178" t="str">
            <v>0</v>
          </cell>
          <cell r="Y178">
            <v>988</v>
          </cell>
          <cell r="Z178" t="str">
            <v>0</v>
          </cell>
          <cell r="AA178" t="str">
            <v>0</v>
          </cell>
          <cell r="AB178" t="str">
            <v>0</v>
          </cell>
          <cell r="AC178" t="str">
            <v>0</v>
          </cell>
          <cell r="AD178" t="str">
            <v>0</v>
          </cell>
          <cell r="AE178" t="str">
            <v>0</v>
          </cell>
        </row>
        <row r="179">
          <cell r="D179" t="str">
            <v>21-Jun</v>
          </cell>
          <cell r="E179" t="str">
            <v>0</v>
          </cell>
          <cell r="F179" t="str">
            <v>0</v>
          </cell>
          <cell r="G179" t="str">
            <v>0</v>
          </cell>
          <cell r="H179" t="str">
            <v>0</v>
          </cell>
          <cell r="I179" t="str">
            <v>0</v>
          </cell>
          <cell r="J179" t="str">
            <v>0</v>
          </cell>
          <cell r="K179" t="str">
            <v>0</v>
          </cell>
          <cell r="L179" t="str">
            <v>0</v>
          </cell>
          <cell r="M179" t="str">
            <v>0</v>
          </cell>
          <cell r="N179" t="str">
            <v>0</v>
          </cell>
          <cell r="O179" t="str">
            <v>0</v>
          </cell>
          <cell r="P179" t="str">
            <v>0</v>
          </cell>
          <cell r="Q179" t="str">
            <v>0</v>
          </cell>
          <cell r="R179" t="str">
            <v>0</v>
          </cell>
          <cell r="S179" t="str">
            <v>0</v>
          </cell>
          <cell r="T179" t="str">
            <v>0</v>
          </cell>
          <cell r="U179" t="str">
            <v>0</v>
          </cell>
          <cell r="V179" t="str">
            <v>0</v>
          </cell>
          <cell r="W179" t="str">
            <v>0</v>
          </cell>
          <cell r="X179" t="str">
            <v>0</v>
          </cell>
          <cell r="Y179" t="str">
            <v>0</v>
          </cell>
          <cell r="Z179" t="str">
            <v>0</v>
          </cell>
          <cell r="AA179" t="str">
            <v>0</v>
          </cell>
          <cell r="AB179" t="str">
            <v>0</v>
          </cell>
          <cell r="AC179" t="str">
            <v>0</v>
          </cell>
          <cell r="AD179" t="str">
            <v>0</v>
          </cell>
          <cell r="AE179" t="str">
            <v>0</v>
          </cell>
        </row>
        <row r="180">
          <cell r="D180" t="str">
            <v>22-Jun</v>
          </cell>
          <cell r="E180">
            <v>1</v>
          </cell>
          <cell r="F180" t="str">
            <v>0</v>
          </cell>
          <cell r="G180">
            <v>1</v>
          </cell>
          <cell r="H180" t="str">
            <v>0</v>
          </cell>
          <cell r="I180">
            <v>1</v>
          </cell>
          <cell r="J180">
            <v>3</v>
          </cell>
          <cell r="K180">
            <v>1</v>
          </cell>
          <cell r="L180" t="str">
            <v>0</v>
          </cell>
          <cell r="M180" t="str">
            <v>0</v>
          </cell>
          <cell r="N180" t="str">
            <v>0</v>
          </cell>
          <cell r="O180" t="str">
            <v>0</v>
          </cell>
          <cell r="P180" t="str">
            <v>0</v>
          </cell>
          <cell r="Q180" t="str">
            <v>0</v>
          </cell>
          <cell r="R180" t="str">
            <v>0</v>
          </cell>
          <cell r="S180">
            <v>2185</v>
          </cell>
          <cell r="T180" t="str">
            <v>0</v>
          </cell>
          <cell r="U180">
            <v>1672</v>
          </cell>
          <cell r="V180" t="str">
            <v>0</v>
          </cell>
          <cell r="W180">
            <v>2126</v>
          </cell>
          <cell r="X180">
            <v>5001</v>
          </cell>
          <cell r="Y180">
            <v>3160</v>
          </cell>
          <cell r="Z180" t="str">
            <v>0</v>
          </cell>
          <cell r="AA180" t="str">
            <v>0</v>
          </cell>
          <cell r="AB180" t="str">
            <v>0</v>
          </cell>
          <cell r="AC180" t="str">
            <v>0</v>
          </cell>
          <cell r="AD180" t="str">
            <v>0</v>
          </cell>
          <cell r="AE180" t="str">
            <v>0</v>
          </cell>
        </row>
        <row r="181">
          <cell r="D181" t="str">
            <v>23-Jun</v>
          </cell>
          <cell r="E181">
            <v>2</v>
          </cell>
          <cell r="F181" t="str">
            <v>0</v>
          </cell>
          <cell r="G181">
            <v>2</v>
          </cell>
          <cell r="H181">
            <v>1</v>
          </cell>
          <cell r="I181" t="str">
            <v>0</v>
          </cell>
          <cell r="J181" t="str">
            <v>0</v>
          </cell>
          <cell r="K181">
            <v>7</v>
          </cell>
          <cell r="L181" t="str">
            <v>0</v>
          </cell>
          <cell r="M181" t="str">
            <v>0</v>
          </cell>
          <cell r="N181" t="str">
            <v>0</v>
          </cell>
          <cell r="O181" t="str">
            <v>0</v>
          </cell>
          <cell r="P181" t="str">
            <v>0</v>
          </cell>
          <cell r="Q181" t="str">
            <v>0</v>
          </cell>
          <cell r="R181" t="str">
            <v>0</v>
          </cell>
          <cell r="S181">
            <v>2090</v>
          </cell>
          <cell r="T181" t="str">
            <v>0</v>
          </cell>
          <cell r="U181">
            <v>5593</v>
          </cell>
          <cell r="V181">
            <v>1526</v>
          </cell>
          <cell r="W181" t="str">
            <v>0</v>
          </cell>
          <cell r="X181" t="str">
            <v>0</v>
          </cell>
          <cell r="Y181">
            <v>8345</v>
          </cell>
          <cell r="Z181" t="str">
            <v>0</v>
          </cell>
          <cell r="AA181" t="str">
            <v>0</v>
          </cell>
          <cell r="AB181" t="str">
            <v>0</v>
          </cell>
          <cell r="AC181" t="str">
            <v>0</v>
          </cell>
          <cell r="AD181" t="str">
            <v>0</v>
          </cell>
          <cell r="AE181" t="str">
            <v>0</v>
          </cell>
        </row>
        <row r="182">
          <cell r="D182" t="str">
            <v>24-Jun</v>
          </cell>
          <cell r="E182">
            <v>1</v>
          </cell>
          <cell r="F182" t="str">
            <v>0</v>
          </cell>
          <cell r="G182">
            <v>3</v>
          </cell>
          <cell r="H182">
            <v>1</v>
          </cell>
          <cell r="I182">
            <v>1</v>
          </cell>
          <cell r="J182">
            <v>1</v>
          </cell>
          <cell r="K182" t="str">
            <v>0</v>
          </cell>
          <cell r="L182" t="str">
            <v>0</v>
          </cell>
          <cell r="M182" t="str">
            <v>0</v>
          </cell>
          <cell r="N182" t="str">
            <v>0</v>
          </cell>
          <cell r="O182" t="str">
            <v>0</v>
          </cell>
          <cell r="P182" t="str">
            <v>0</v>
          </cell>
          <cell r="Q182" t="str">
            <v>0</v>
          </cell>
          <cell r="R182" t="str">
            <v>0</v>
          </cell>
          <cell r="S182">
            <v>2126</v>
          </cell>
          <cell r="T182" t="str">
            <v>0</v>
          </cell>
          <cell r="U182">
            <v>10105</v>
          </cell>
          <cell r="V182">
            <v>1526</v>
          </cell>
          <cell r="W182">
            <v>636</v>
          </cell>
          <cell r="X182">
            <v>1429</v>
          </cell>
          <cell r="Y182" t="str">
            <v>0</v>
          </cell>
          <cell r="Z182" t="str">
            <v>0</v>
          </cell>
          <cell r="AA182" t="str">
            <v>0</v>
          </cell>
          <cell r="AB182" t="str">
            <v>0</v>
          </cell>
          <cell r="AC182" t="str">
            <v>0</v>
          </cell>
          <cell r="AD182" t="str">
            <v>0</v>
          </cell>
          <cell r="AE182" t="str">
            <v>0</v>
          </cell>
        </row>
        <row r="183">
          <cell r="D183" t="str">
            <v>25-Jun</v>
          </cell>
          <cell r="E183" t="str">
            <v>0</v>
          </cell>
          <cell r="F183" t="str">
            <v>0</v>
          </cell>
          <cell r="G183" t="str">
            <v>0</v>
          </cell>
          <cell r="H183">
            <v>1</v>
          </cell>
          <cell r="I183" t="str">
            <v>0</v>
          </cell>
          <cell r="J183">
            <v>1</v>
          </cell>
          <cell r="K183" t="str">
            <v>0</v>
          </cell>
          <cell r="L183" t="str">
            <v>0</v>
          </cell>
          <cell r="M183" t="str">
            <v>0</v>
          </cell>
          <cell r="N183" t="str">
            <v>0</v>
          </cell>
          <cell r="O183" t="str">
            <v>0</v>
          </cell>
          <cell r="P183" t="str">
            <v>0</v>
          </cell>
          <cell r="Q183" t="str">
            <v>0</v>
          </cell>
          <cell r="R183" t="str">
            <v>0</v>
          </cell>
          <cell r="S183" t="str">
            <v>0</v>
          </cell>
          <cell r="T183" t="str">
            <v>0</v>
          </cell>
          <cell r="U183" t="str">
            <v>0</v>
          </cell>
          <cell r="V183">
            <v>2128</v>
          </cell>
          <cell r="W183" t="str">
            <v>0</v>
          </cell>
          <cell r="X183">
            <v>427</v>
          </cell>
          <cell r="Y183" t="str">
            <v>0</v>
          </cell>
          <cell r="Z183" t="str">
            <v>0</v>
          </cell>
          <cell r="AA183" t="str">
            <v>0</v>
          </cell>
          <cell r="AB183" t="str">
            <v>0</v>
          </cell>
          <cell r="AC183" t="str">
            <v>0</v>
          </cell>
          <cell r="AD183" t="str">
            <v>0</v>
          </cell>
          <cell r="AE183" t="str">
            <v>0</v>
          </cell>
        </row>
        <row r="184">
          <cell r="D184" t="str">
            <v>26-Jun</v>
          </cell>
          <cell r="E184" t="str">
            <v>0</v>
          </cell>
          <cell r="F184" t="str">
            <v>0</v>
          </cell>
          <cell r="G184">
            <v>2</v>
          </cell>
          <cell r="H184" t="str">
            <v>0</v>
          </cell>
          <cell r="I184">
            <v>1</v>
          </cell>
          <cell r="J184" t="str">
            <v>0</v>
          </cell>
          <cell r="K184">
            <v>4</v>
          </cell>
          <cell r="L184" t="str">
            <v>0</v>
          </cell>
          <cell r="M184" t="str">
            <v>0</v>
          </cell>
          <cell r="N184" t="str">
            <v>0</v>
          </cell>
          <cell r="O184" t="str">
            <v>0</v>
          </cell>
          <cell r="P184" t="str">
            <v>0</v>
          </cell>
          <cell r="Q184" t="str">
            <v>0</v>
          </cell>
          <cell r="R184" t="str">
            <v>0</v>
          </cell>
          <cell r="S184" t="str">
            <v>0</v>
          </cell>
          <cell r="T184" t="str">
            <v>0</v>
          </cell>
          <cell r="U184">
            <v>3680</v>
          </cell>
          <cell r="V184" t="str">
            <v>0</v>
          </cell>
          <cell r="W184">
            <v>4350</v>
          </cell>
          <cell r="X184" t="str">
            <v>0</v>
          </cell>
          <cell r="Y184">
            <v>9588</v>
          </cell>
          <cell r="Z184" t="str">
            <v>0</v>
          </cell>
          <cell r="AA184" t="str">
            <v>0</v>
          </cell>
          <cell r="AB184" t="str">
            <v>0</v>
          </cell>
          <cell r="AC184" t="str">
            <v>0</v>
          </cell>
          <cell r="AD184" t="str">
            <v>0</v>
          </cell>
          <cell r="AE184" t="str">
            <v>0</v>
          </cell>
        </row>
        <row r="185">
          <cell r="D185" t="str">
            <v>27-Jun</v>
          </cell>
          <cell r="E185" t="str">
            <v>0</v>
          </cell>
          <cell r="F185" t="str">
            <v>0</v>
          </cell>
          <cell r="G185">
            <v>4</v>
          </cell>
          <cell r="H185">
            <v>2</v>
          </cell>
          <cell r="I185" t="str">
            <v>0</v>
          </cell>
          <cell r="J185">
            <v>1</v>
          </cell>
          <cell r="K185">
            <v>6</v>
          </cell>
          <cell r="L185" t="str">
            <v>0</v>
          </cell>
          <cell r="M185" t="str">
            <v>0</v>
          </cell>
          <cell r="N185" t="str">
            <v>0</v>
          </cell>
          <cell r="O185" t="str">
            <v>0</v>
          </cell>
          <cell r="P185" t="str">
            <v>0</v>
          </cell>
          <cell r="Q185" t="str">
            <v>0</v>
          </cell>
          <cell r="R185" t="str">
            <v>0</v>
          </cell>
          <cell r="S185" t="str">
            <v>0</v>
          </cell>
          <cell r="T185" t="str">
            <v>0</v>
          </cell>
          <cell r="U185">
            <v>6238</v>
          </cell>
          <cell r="V185">
            <v>4916</v>
          </cell>
          <cell r="W185" t="str">
            <v>0</v>
          </cell>
          <cell r="X185">
            <v>471</v>
          </cell>
          <cell r="Y185">
            <v>7516</v>
          </cell>
          <cell r="Z185" t="str">
            <v>0</v>
          </cell>
          <cell r="AA185" t="str">
            <v>0</v>
          </cell>
          <cell r="AB185" t="str">
            <v>0</v>
          </cell>
          <cell r="AC185" t="str">
            <v>0</v>
          </cell>
          <cell r="AD185" t="str">
            <v>0</v>
          </cell>
          <cell r="AE185" t="str">
            <v>0</v>
          </cell>
        </row>
        <row r="186">
          <cell r="D186" t="str">
            <v>28-Jun</v>
          </cell>
          <cell r="E186">
            <v>3</v>
          </cell>
          <cell r="F186" t="str">
            <v>0</v>
          </cell>
          <cell r="G186" t="str">
            <v>0</v>
          </cell>
          <cell r="H186" t="str">
            <v>0</v>
          </cell>
          <cell r="I186" t="str">
            <v>0</v>
          </cell>
          <cell r="J186" t="str">
            <v>0</v>
          </cell>
          <cell r="K186">
            <v>4</v>
          </cell>
          <cell r="L186" t="str">
            <v>0</v>
          </cell>
          <cell r="M186" t="str">
            <v>0</v>
          </cell>
          <cell r="N186" t="str">
            <v>0</v>
          </cell>
          <cell r="O186" t="str">
            <v>0</v>
          </cell>
          <cell r="P186" t="str">
            <v>0</v>
          </cell>
          <cell r="Q186" t="str">
            <v>0</v>
          </cell>
          <cell r="R186" t="str">
            <v>0</v>
          </cell>
          <cell r="S186">
            <v>5684</v>
          </cell>
          <cell r="T186" t="str">
            <v>0</v>
          </cell>
          <cell r="U186" t="str">
            <v>0</v>
          </cell>
          <cell r="V186" t="str">
            <v>0</v>
          </cell>
          <cell r="W186" t="str">
            <v>0</v>
          </cell>
          <cell r="X186" t="str">
            <v>0</v>
          </cell>
          <cell r="Y186">
            <v>6040</v>
          </cell>
          <cell r="Z186" t="str">
            <v>0</v>
          </cell>
          <cell r="AA186" t="str">
            <v>0</v>
          </cell>
          <cell r="AB186" t="str">
            <v>0</v>
          </cell>
          <cell r="AC186" t="str">
            <v>0</v>
          </cell>
          <cell r="AD186" t="str">
            <v>0</v>
          </cell>
          <cell r="AE186" t="str">
            <v>0</v>
          </cell>
        </row>
        <row r="187">
          <cell r="D187" t="str">
            <v>29-Jun</v>
          </cell>
          <cell r="E187" t="str">
            <v>0</v>
          </cell>
          <cell r="F187" t="str">
            <v>0</v>
          </cell>
          <cell r="G187">
            <v>3</v>
          </cell>
          <cell r="H187" t="str">
            <v>0</v>
          </cell>
          <cell r="I187" t="str">
            <v>0</v>
          </cell>
          <cell r="J187" t="str">
            <v>0</v>
          </cell>
          <cell r="K187">
            <v>1</v>
          </cell>
          <cell r="L187" t="str">
            <v>0</v>
          </cell>
          <cell r="M187" t="str">
            <v>0</v>
          </cell>
          <cell r="N187" t="str">
            <v>0</v>
          </cell>
          <cell r="O187" t="str">
            <v>0</v>
          </cell>
          <cell r="P187" t="str">
            <v>0</v>
          </cell>
          <cell r="Q187" t="str">
            <v>0</v>
          </cell>
          <cell r="R187" t="str">
            <v>0</v>
          </cell>
          <cell r="S187" t="str">
            <v>0</v>
          </cell>
          <cell r="T187" t="str">
            <v>0</v>
          </cell>
          <cell r="U187">
            <v>7891</v>
          </cell>
          <cell r="V187" t="str">
            <v>0</v>
          </cell>
          <cell r="W187" t="str">
            <v>0</v>
          </cell>
          <cell r="X187" t="str">
            <v>0</v>
          </cell>
          <cell r="Y187">
            <v>296</v>
          </cell>
          <cell r="Z187" t="str">
            <v>0</v>
          </cell>
          <cell r="AA187" t="str">
            <v>0</v>
          </cell>
          <cell r="AB187" t="str">
            <v>0</v>
          </cell>
          <cell r="AC187" t="str">
            <v>0</v>
          </cell>
          <cell r="AD187" t="str">
            <v>0</v>
          </cell>
          <cell r="AE187" t="str">
            <v>0</v>
          </cell>
        </row>
        <row r="188">
          <cell r="D188" t="str">
            <v>30-Jun</v>
          </cell>
          <cell r="E188" t="str">
            <v>0</v>
          </cell>
          <cell r="F188" t="str">
            <v>0</v>
          </cell>
          <cell r="G188">
            <v>3</v>
          </cell>
          <cell r="H188">
            <v>1</v>
          </cell>
          <cell r="I188" t="str">
            <v>0</v>
          </cell>
          <cell r="J188">
            <v>1</v>
          </cell>
          <cell r="K188" t="str">
            <v>0</v>
          </cell>
          <cell r="L188" t="str">
            <v>0</v>
          </cell>
          <cell r="M188">
            <v>1</v>
          </cell>
          <cell r="N188" t="str">
            <v>0</v>
          </cell>
          <cell r="O188" t="str">
            <v>0</v>
          </cell>
          <cell r="P188" t="str">
            <v>0</v>
          </cell>
          <cell r="Q188" t="str">
            <v>0</v>
          </cell>
          <cell r="R188" t="str">
            <v>0</v>
          </cell>
          <cell r="S188" t="str">
            <v>0</v>
          </cell>
          <cell r="T188" t="str">
            <v>0</v>
          </cell>
          <cell r="U188">
            <v>5396</v>
          </cell>
          <cell r="V188">
            <v>2185</v>
          </cell>
          <cell r="W188" t="str">
            <v>0</v>
          </cell>
          <cell r="X188">
            <v>253</v>
          </cell>
          <cell r="Y188" t="str">
            <v>0</v>
          </cell>
          <cell r="Z188" t="str">
            <v>0</v>
          </cell>
          <cell r="AA188">
            <v>1466</v>
          </cell>
          <cell r="AB188" t="str">
            <v>0</v>
          </cell>
          <cell r="AC188" t="str">
            <v>0</v>
          </cell>
          <cell r="AD188" t="str">
            <v>0</v>
          </cell>
          <cell r="AE188" t="str">
            <v>0</v>
          </cell>
        </row>
        <row r="189">
          <cell r="D189" t="str">
            <v>01-Jul</v>
          </cell>
          <cell r="E189">
            <v>2</v>
          </cell>
          <cell r="F189" t="str">
            <v>0</v>
          </cell>
          <cell r="G189">
            <v>1</v>
          </cell>
          <cell r="H189">
            <v>1</v>
          </cell>
          <cell r="I189" t="str">
            <v>0</v>
          </cell>
          <cell r="J189" t="str">
            <v>0</v>
          </cell>
          <cell r="K189">
            <v>2</v>
          </cell>
          <cell r="L189" t="str">
            <v>0</v>
          </cell>
          <cell r="M189" t="str">
            <v>0</v>
          </cell>
          <cell r="N189" t="str">
            <v>0</v>
          </cell>
          <cell r="O189" t="str">
            <v>0</v>
          </cell>
          <cell r="P189" t="str">
            <v>0</v>
          </cell>
          <cell r="Q189" t="str">
            <v>0</v>
          </cell>
          <cell r="R189" t="str">
            <v>0</v>
          </cell>
          <cell r="S189">
            <v>2602</v>
          </cell>
          <cell r="T189" t="str">
            <v>0</v>
          </cell>
          <cell r="U189">
            <v>699</v>
          </cell>
          <cell r="V189">
            <v>2888</v>
          </cell>
          <cell r="W189" t="str">
            <v>0</v>
          </cell>
          <cell r="X189" t="str">
            <v>0</v>
          </cell>
          <cell r="Y189">
            <v>5100</v>
          </cell>
          <cell r="Z189" t="str">
            <v>0</v>
          </cell>
          <cell r="AA189" t="str">
            <v>0</v>
          </cell>
          <cell r="AB189" t="str">
            <v>0</v>
          </cell>
          <cell r="AC189" t="str">
            <v>0</v>
          </cell>
          <cell r="AD189" t="str">
            <v>0</v>
          </cell>
          <cell r="AE189" t="str">
            <v>0</v>
          </cell>
        </row>
        <row r="190">
          <cell r="D190" t="str">
            <v>02-Jul</v>
          </cell>
          <cell r="E190">
            <v>1</v>
          </cell>
          <cell r="F190" t="str">
            <v>0</v>
          </cell>
          <cell r="G190">
            <v>3</v>
          </cell>
          <cell r="H190">
            <v>1</v>
          </cell>
          <cell r="I190" t="str">
            <v>0</v>
          </cell>
          <cell r="J190" t="str">
            <v>0</v>
          </cell>
          <cell r="K190">
            <v>7</v>
          </cell>
          <cell r="L190" t="str">
            <v>0</v>
          </cell>
          <cell r="M190" t="str">
            <v>0</v>
          </cell>
          <cell r="N190" t="str">
            <v>0</v>
          </cell>
          <cell r="O190" t="str">
            <v>0</v>
          </cell>
          <cell r="P190" t="str">
            <v>0</v>
          </cell>
          <cell r="Q190" t="str">
            <v>0</v>
          </cell>
          <cell r="R190" t="str">
            <v>0</v>
          </cell>
          <cell r="S190">
            <v>1341</v>
          </cell>
          <cell r="T190" t="str">
            <v>0</v>
          </cell>
          <cell r="U190">
            <v>4212</v>
          </cell>
          <cell r="V190">
            <v>1064</v>
          </cell>
          <cell r="W190" t="str">
            <v>0</v>
          </cell>
          <cell r="X190" t="str">
            <v>0</v>
          </cell>
          <cell r="Y190">
            <v>7235</v>
          </cell>
          <cell r="Z190" t="str">
            <v>0</v>
          </cell>
          <cell r="AA190" t="str">
            <v>0</v>
          </cell>
          <cell r="AB190" t="str">
            <v>0</v>
          </cell>
          <cell r="AC190" t="str">
            <v>0</v>
          </cell>
          <cell r="AD190" t="str">
            <v>0</v>
          </cell>
          <cell r="AE190" t="str">
            <v>0</v>
          </cell>
        </row>
        <row r="191">
          <cell r="D191" t="str">
            <v>03-Jul</v>
          </cell>
          <cell r="E191">
            <v>1</v>
          </cell>
          <cell r="F191" t="str">
            <v>0</v>
          </cell>
          <cell r="G191">
            <v>4</v>
          </cell>
          <cell r="H191" t="str">
            <v>0</v>
          </cell>
          <cell r="I191" t="str">
            <v>0</v>
          </cell>
          <cell r="J191">
            <v>4</v>
          </cell>
          <cell r="K191" t="str">
            <v>0</v>
          </cell>
          <cell r="L191" t="str">
            <v>0</v>
          </cell>
          <cell r="M191" t="str">
            <v>0</v>
          </cell>
          <cell r="N191" t="str">
            <v>0</v>
          </cell>
          <cell r="O191" t="str">
            <v>0</v>
          </cell>
          <cell r="P191" t="str">
            <v>0</v>
          </cell>
          <cell r="Q191" t="str">
            <v>0</v>
          </cell>
          <cell r="R191" t="str">
            <v>0</v>
          </cell>
          <cell r="S191">
            <v>2850</v>
          </cell>
          <cell r="T191" t="str">
            <v>0</v>
          </cell>
          <cell r="U191">
            <v>12311</v>
          </cell>
          <cell r="V191" t="str">
            <v>0</v>
          </cell>
          <cell r="W191" t="str">
            <v>0</v>
          </cell>
          <cell r="X191">
            <v>6080</v>
          </cell>
          <cell r="Y191" t="str">
            <v>0</v>
          </cell>
          <cell r="Z191" t="str">
            <v>0</v>
          </cell>
          <cell r="AA191" t="str">
            <v>0</v>
          </cell>
          <cell r="AB191" t="str">
            <v>0</v>
          </cell>
          <cell r="AC191" t="str">
            <v>0</v>
          </cell>
          <cell r="AD191" t="str">
            <v>0</v>
          </cell>
          <cell r="AE191" t="str">
            <v>0</v>
          </cell>
        </row>
        <row r="192">
          <cell r="D192" t="str">
            <v>04-Jul</v>
          </cell>
          <cell r="E192" t="str">
            <v>0</v>
          </cell>
          <cell r="F192" t="str">
            <v>0</v>
          </cell>
          <cell r="G192">
            <v>3</v>
          </cell>
          <cell r="H192">
            <v>1</v>
          </cell>
          <cell r="I192">
            <v>1</v>
          </cell>
          <cell r="J192" t="str">
            <v>0</v>
          </cell>
          <cell r="K192" t="str">
            <v>0</v>
          </cell>
          <cell r="L192" t="str">
            <v>0</v>
          </cell>
          <cell r="M192" t="str">
            <v>0</v>
          </cell>
          <cell r="N192" t="str">
            <v>0</v>
          </cell>
          <cell r="O192" t="str">
            <v>0</v>
          </cell>
          <cell r="P192" t="str">
            <v>0</v>
          </cell>
          <cell r="Q192" t="str">
            <v>0</v>
          </cell>
          <cell r="R192" t="str">
            <v>0</v>
          </cell>
          <cell r="S192" t="str">
            <v>0</v>
          </cell>
          <cell r="T192" t="str">
            <v>0</v>
          </cell>
          <cell r="U192">
            <v>6228</v>
          </cell>
          <cell r="V192">
            <v>1752</v>
          </cell>
          <cell r="W192">
            <v>5850</v>
          </cell>
          <cell r="X192" t="str">
            <v>0</v>
          </cell>
          <cell r="Y192" t="str">
            <v>0</v>
          </cell>
          <cell r="Z192" t="str">
            <v>0</v>
          </cell>
          <cell r="AA192" t="str">
            <v>0</v>
          </cell>
          <cell r="AB192" t="str">
            <v>0</v>
          </cell>
          <cell r="AC192" t="str">
            <v>0</v>
          </cell>
          <cell r="AD192" t="str">
            <v>0</v>
          </cell>
          <cell r="AE192" t="str">
            <v>0</v>
          </cell>
        </row>
        <row r="193">
          <cell r="D193" t="str">
            <v>05-Jul</v>
          </cell>
          <cell r="E193">
            <v>2</v>
          </cell>
          <cell r="F193" t="str">
            <v>0</v>
          </cell>
          <cell r="G193">
            <v>3</v>
          </cell>
          <cell r="H193">
            <v>2</v>
          </cell>
          <cell r="I193" t="str">
            <v>0</v>
          </cell>
          <cell r="J193" t="str">
            <v>0</v>
          </cell>
          <cell r="K193" t="str">
            <v>0</v>
          </cell>
          <cell r="L193" t="str">
            <v>0</v>
          </cell>
          <cell r="M193" t="str">
            <v>0</v>
          </cell>
          <cell r="N193" t="str">
            <v>0</v>
          </cell>
          <cell r="O193" t="str">
            <v>0</v>
          </cell>
          <cell r="P193" t="str">
            <v>0</v>
          </cell>
          <cell r="Q193" t="str">
            <v>0</v>
          </cell>
          <cell r="R193" t="str">
            <v>0</v>
          </cell>
          <cell r="S193">
            <v>3029</v>
          </cell>
          <cell r="T193" t="str">
            <v>0</v>
          </cell>
          <cell r="U193">
            <v>1743</v>
          </cell>
          <cell r="V193">
            <v>4964</v>
          </cell>
          <cell r="W193" t="str">
            <v>0</v>
          </cell>
          <cell r="X193" t="str">
            <v>0</v>
          </cell>
          <cell r="Y193" t="str">
            <v>0</v>
          </cell>
          <cell r="Z193" t="str">
            <v>0</v>
          </cell>
          <cell r="AA193" t="str">
            <v>0</v>
          </cell>
          <cell r="AB193" t="str">
            <v>0</v>
          </cell>
          <cell r="AC193" t="str">
            <v>0</v>
          </cell>
          <cell r="AD193" t="str">
            <v>0</v>
          </cell>
          <cell r="AE193" t="str">
            <v>0</v>
          </cell>
        </row>
        <row r="194">
          <cell r="D194" t="str">
            <v>06-Jul</v>
          </cell>
          <cell r="E194">
            <v>1</v>
          </cell>
          <cell r="F194" t="str">
            <v>0</v>
          </cell>
          <cell r="G194">
            <v>3</v>
          </cell>
          <cell r="H194">
            <v>2</v>
          </cell>
          <cell r="I194" t="str">
            <v>0</v>
          </cell>
          <cell r="J194" t="str">
            <v>0</v>
          </cell>
          <cell r="K194">
            <v>5</v>
          </cell>
          <cell r="L194" t="str">
            <v>0</v>
          </cell>
          <cell r="M194" t="str">
            <v>0</v>
          </cell>
          <cell r="N194" t="str">
            <v>0</v>
          </cell>
          <cell r="O194" t="str">
            <v>0</v>
          </cell>
          <cell r="P194" t="str">
            <v>0</v>
          </cell>
          <cell r="Q194" t="str">
            <v>0</v>
          </cell>
          <cell r="R194" t="str">
            <v>0</v>
          </cell>
          <cell r="S194">
            <v>1107</v>
          </cell>
          <cell r="T194" t="str">
            <v>0</v>
          </cell>
          <cell r="U194">
            <v>5777</v>
          </cell>
          <cell r="V194">
            <v>2993</v>
          </cell>
          <cell r="W194" t="str">
            <v>0</v>
          </cell>
          <cell r="X194" t="str">
            <v>0</v>
          </cell>
          <cell r="Y194">
            <v>8094</v>
          </cell>
          <cell r="Z194" t="str">
            <v>0</v>
          </cell>
          <cell r="AA194" t="str">
            <v>0</v>
          </cell>
          <cell r="AB194" t="str">
            <v>0</v>
          </cell>
          <cell r="AC194" t="str">
            <v>0</v>
          </cell>
          <cell r="AD194" t="str">
            <v>0</v>
          </cell>
          <cell r="AE194" t="str">
            <v>0</v>
          </cell>
        </row>
        <row r="195">
          <cell r="D195" t="str">
            <v>07-Jul</v>
          </cell>
          <cell r="E195" t="str">
            <v>0</v>
          </cell>
          <cell r="F195" t="str">
            <v>0</v>
          </cell>
          <cell r="G195">
            <v>3</v>
          </cell>
          <cell r="H195">
            <v>2</v>
          </cell>
          <cell r="I195">
            <v>1</v>
          </cell>
          <cell r="J195">
            <v>4</v>
          </cell>
          <cell r="K195">
            <v>5</v>
          </cell>
          <cell r="L195" t="str">
            <v>0</v>
          </cell>
          <cell r="M195" t="str">
            <v>0</v>
          </cell>
          <cell r="N195" t="str">
            <v>0</v>
          </cell>
          <cell r="O195" t="str">
            <v>0</v>
          </cell>
          <cell r="P195" t="str">
            <v>0</v>
          </cell>
          <cell r="Q195" t="str">
            <v>0</v>
          </cell>
          <cell r="R195" t="str">
            <v>0</v>
          </cell>
          <cell r="S195" t="str">
            <v>0</v>
          </cell>
          <cell r="T195" t="str">
            <v>0</v>
          </cell>
          <cell r="U195">
            <v>4288</v>
          </cell>
          <cell r="V195">
            <v>16069</v>
          </cell>
          <cell r="W195">
            <v>1752</v>
          </cell>
          <cell r="X195">
            <v>3214</v>
          </cell>
          <cell r="Y195">
            <v>10230</v>
          </cell>
          <cell r="Z195" t="str">
            <v>0</v>
          </cell>
          <cell r="AA195" t="str">
            <v>0</v>
          </cell>
          <cell r="AB195" t="str">
            <v>0</v>
          </cell>
          <cell r="AC195" t="str">
            <v>0</v>
          </cell>
          <cell r="AD195" t="str">
            <v>0</v>
          </cell>
          <cell r="AE195" t="str">
            <v>0</v>
          </cell>
        </row>
        <row r="196">
          <cell r="D196" t="str">
            <v>08-Jul</v>
          </cell>
          <cell r="E196" t="str">
            <v>0</v>
          </cell>
          <cell r="F196" t="str">
            <v>0</v>
          </cell>
          <cell r="G196">
            <v>4</v>
          </cell>
          <cell r="H196">
            <v>1</v>
          </cell>
          <cell r="I196">
            <v>1</v>
          </cell>
          <cell r="J196" t="str">
            <v>0</v>
          </cell>
          <cell r="K196">
            <v>6</v>
          </cell>
          <cell r="L196" t="str">
            <v>0</v>
          </cell>
          <cell r="M196" t="str">
            <v>0</v>
          </cell>
          <cell r="N196" t="str">
            <v>0</v>
          </cell>
          <cell r="O196" t="str">
            <v>0</v>
          </cell>
          <cell r="P196" t="str">
            <v>0</v>
          </cell>
          <cell r="Q196" t="str">
            <v>0</v>
          </cell>
          <cell r="R196" t="str">
            <v>0</v>
          </cell>
          <cell r="S196" t="str">
            <v>0</v>
          </cell>
          <cell r="T196" t="str">
            <v>0</v>
          </cell>
          <cell r="U196">
            <v>8332</v>
          </cell>
          <cell r="V196">
            <v>1292</v>
          </cell>
          <cell r="W196">
            <v>1563</v>
          </cell>
          <cell r="X196" t="str">
            <v>0</v>
          </cell>
          <cell r="Y196">
            <v>19486</v>
          </cell>
          <cell r="Z196" t="str">
            <v>0</v>
          </cell>
          <cell r="AA196" t="str">
            <v>0</v>
          </cell>
          <cell r="AB196" t="str">
            <v>0</v>
          </cell>
          <cell r="AC196" t="str">
            <v>0</v>
          </cell>
          <cell r="AD196" t="str">
            <v>0</v>
          </cell>
          <cell r="AE196" t="str">
            <v>0</v>
          </cell>
        </row>
        <row r="197">
          <cell r="D197" t="str">
            <v>09-Jul</v>
          </cell>
          <cell r="E197" t="str">
            <v>0</v>
          </cell>
          <cell r="F197" t="str">
            <v>0</v>
          </cell>
          <cell r="G197" t="str">
            <v>0</v>
          </cell>
          <cell r="H197">
            <v>2</v>
          </cell>
          <cell r="I197">
            <v>1</v>
          </cell>
          <cell r="J197" t="str">
            <v>0</v>
          </cell>
          <cell r="K197">
            <v>1</v>
          </cell>
          <cell r="L197" t="str">
            <v>0</v>
          </cell>
          <cell r="M197" t="str">
            <v>0</v>
          </cell>
          <cell r="N197" t="str">
            <v>0</v>
          </cell>
          <cell r="O197" t="str">
            <v>0</v>
          </cell>
          <cell r="P197" t="str">
            <v>0</v>
          </cell>
          <cell r="Q197" t="str">
            <v>0</v>
          </cell>
          <cell r="R197" t="str">
            <v>0</v>
          </cell>
          <cell r="S197" t="str">
            <v>0</v>
          </cell>
          <cell r="T197" t="str">
            <v>0</v>
          </cell>
          <cell r="U197" t="str">
            <v>0</v>
          </cell>
          <cell r="V197">
            <v>1938</v>
          </cell>
          <cell r="W197">
            <v>2888</v>
          </cell>
          <cell r="X197" t="str">
            <v>0</v>
          </cell>
          <cell r="Y197">
            <v>1520</v>
          </cell>
          <cell r="Z197" t="str">
            <v>0</v>
          </cell>
          <cell r="AA197" t="str">
            <v>0</v>
          </cell>
          <cell r="AB197" t="str">
            <v>0</v>
          </cell>
          <cell r="AC197" t="str">
            <v>0</v>
          </cell>
          <cell r="AD197" t="str">
            <v>0</v>
          </cell>
          <cell r="AE197" t="str">
            <v>0</v>
          </cell>
        </row>
        <row r="198">
          <cell r="D198" t="str">
            <v>10-Jul</v>
          </cell>
          <cell r="E198" t="str">
            <v>0</v>
          </cell>
          <cell r="F198" t="str">
            <v>0</v>
          </cell>
          <cell r="G198">
            <v>1</v>
          </cell>
          <cell r="H198">
            <v>1</v>
          </cell>
          <cell r="I198">
            <v>1</v>
          </cell>
          <cell r="J198" t="str">
            <v>0</v>
          </cell>
          <cell r="K198" t="str">
            <v>0</v>
          </cell>
          <cell r="L198" t="str">
            <v>0</v>
          </cell>
          <cell r="M198" t="str">
            <v>0</v>
          </cell>
          <cell r="N198" t="str">
            <v>0</v>
          </cell>
          <cell r="O198" t="str">
            <v>0</v>
          </cell>
          <cell r="P198" t="str">
            <v>0</v>
          </cell>
          <cell r="Q198" t="str">
            <v>0</v>
          </cell>
          <cell r="R198" t="str">
            <v>0</v>
          </cell>
          <cell r="S198" t="str">
            <v>0</v>
          </cell>
          <cell r="T198" t="str">
            <v>0</v>
          </cell>
          <cell r="U198">
            <v>1752</v>
          </cell>
          <cell r="V198">
            <v>1368</v>
          </cell>
          <cell r="W198">
            <v>383</v>
          </cell>
          <cell r="X198" t="str">
            <v>0</v>
          </cell>
          <cell r="Y198" t="str">
            <v>0</v>
          </cell>
          <cell r="Z198" t="str">
            <v>0</v>
          </cell>
          <cell r="AA198" t="str">
            <v>0</v>
          </cell>
          <cell r="AB198" t="str">
            <v>0</v>
          </cell>
          <cell r="AC198" t="str">
            <v>0</v>
          </cell>
          <cell r="AD198" t="str">
            <v>0</v>
          </cell>
          <cell r="AE198" t="str">
            <v>0</v>
          </cell>
        </row>
        <row r="199">
          <cell r="D199" t="str">
            <v>11-Jul</v>
          </cell>
          <cell r="E199" t="str">
            <v>0</v>
          </cell>
          <cell r="F199" t="str">
            <v>0</v>
          </cell>
          <cell r="G199">
            <v>3</v>
          </cell>
          <cell r="H199">
            <v>5</v>
          </cell>
          <cell r="I199" t="str">
            <v>0</v>
          </cell>
          <cell r="J199" t="str">
            <v>0</v>
          </cell>
          <cell r="K199">
            <v>2</v>
          </cell>
          <cell r="L199" t="str">
            <v>0</v>
          </cell>
          <cell r="M199" t="str">
            <v>0</v>
          </cell>
          <cell r="N199" t="str">
            <v>0</v>
          </cell>
          <cell r="O199" t="str">
            <v>0</v>
          </cell>
          <cell r="P199" t="str">
            <v>0</v>
          </cell>
          <cell r="Q199" t="str">
            <v>0</v>
          </cell>
          <cell r="R199" t="str">
            <v>0</v>
          </cell>
          <cell r="S199" t="str">
            <v>0</v>
          </cell>
          <cell r="T199" t="str">
            <v>0</v>
          </cell>
          <cell r="U199">
            <v>5168</v>
          </cell>
          <cell r="V199">
            <v>4150</v>
          </cell>
          <cell r="W199" t="str">
            <v>0</v>
          </cell>
          <cell r="X199" t="str">
            <v>0</v>
          </cell>
          <cell r="Y199">
            <v>5114</v>
          </cell>
          <cell r="Z199" t="str">
            <v>0</v>
          </cell>
          <cell r="AA199" t="str">
            <v>0</v>
          </cell>
          <cell r="AB199" t="str">
            <v>0</v>
          </cell>
          <cell r="AC199" t="str">
            <v>0</v>
          </cell>
          <cell r="AD199" t="str">
            <v>0</v>
          </cell>
          <cell r="AE199" t="str">
            <v>0</v>
          </cell>
        </row>
        <row r="200">
          <cell r="D200" t="str">
            <v>12-Jul</v>
          </cell>
          <cell r="E200">
            <v>1</v>
          </cell>
          <cell r="F200" t="str">
            <v>0</v>
          </cell>
          <cell r="G200" t="str">
            <v>0</v>
          </cell>
          <cell r="H200" t="str">
            <v>0</v>
          </cell>
          <cell r="I200">
            <v>1</v>
          </cell>
          <cell r="J200" t="str">
            <v>0</v>
          </cell>
          <cell r="K200">
            <v>3</v>
          </cell>
          <cell r="L200" t="str">
            <v>0</v>
          </cell>
          <cell r="M200" t="str">
            <v>0</v>
          </cell>
          <cell r="N200" t="str">
            <v>0</v>
          </cell>
          <cell r="O200" t="str">
            <v>0</v>
          </cell>
          <cell r="P200" t="str">
            <v>0</v>
          </cell>
          <cell r="Q200" t="str">
            <v>0</v>
          </cell>
          <cell r="R200" t="str">
            <v>0</v>
          </cell>
          <cell r="S200">
            <v>868</v>
          </cell>
          <cell r="T200" t="str">
            <v>0</v>
          </cell>
          <cell r="U200" t="str">
            <v>0</v>
          </cell>
          <cell r="V200" t="str">
            <v>0</v>
          </cell>
          <cell r="W200">
            <v>1216</v>
          </cell>
          <cell r="X200" t="str">
            <v>0</v>
          </cell>
          <cell r="Y200">
            <v>3924</v>
          </cell>
          <cell r="Z200" t="str">
            <v>0</v>
          </cell>
          <cell r="AA200" t="str">
            <v>0</v>
          </cell>
          <cell r="AB200" t="str">
            <v>0</v>
          </cell>
          <cell r="AC200" t="str">
            <v>0</v>
          </cell>
          <cell r="AD200" t="str">
            <v>0</v>
          </cell>
          <cell r="AE200" t="str">
            <v>0</v>
          </cell>
        </row>
        <row r="201">
          <cell r="D201" t="str">
            <v>13-Jul</v>
          </cell>
          <cell r="E201" t="str">
            <v>0</v>
          </cell>
          <cell r="F201" t="str">
            <v>0</v>
          </cell>
          <cell r="G201">
            <v>3</v>
          </cell>
          <cell r="H201" t="str">
            <v>0</v>
          </cell>
          <cell r="I201" t="str">
            <v>0</v>
          </cell>
          <cell r="J201">
            <v>1</v>
          </cell>
          <cell r="K201">
            <v>5</v>
          </cell>
          <cell r="L201" t="str">
            <v>0</v>
          </cell>
          <cell r="M201">
            <v>1</v>
          </cell>
          <cell r="N201" t="str">
            <v>0</v>
          </cell>
          <cell r="O201" t="str">
            <v>0</v>
          </cell>
          <cell r="P201" t="str">
            <v>0</v>
          </cell>
          <cell r="Q201" t="str">
            <v>0</v>
          </cell>
          <cell r="R201" t="str">
            <v>0</v>
          </cell>
          <cell r="S201" t="str">
            <v>0</v>
          </cell>
          <cell r="T201" t="str">
            <v>0</v>
          </cell>
          <cell r="U201">
            <v>6705</v>
          </cell>
          <cell r="V201" t="str">
            <v>0</v>
          </cell>
          <cell r="W201" t="str">
            <v>0</v>
          </cell>
          <cell r="X201">
            <v>912</v>
          </cell>
          <cell r="Y201">
            <v>8333</v>
          </cell>
          <cell r="Z201" t="str">
            <v>0</v>
          </cell>
          <cell r="AA201">
            <v>437</v>
          </cell>
          <cell r="AB201" t="str">
            <v>0</v>
          </cell>
          <cell r="AC201" t="str">
            <v>0</v>
          </cell>
          <cell r="AD201" t="str">
            <v>0</v>
          </cell>
          <cell r="AE201" t="str">
            <v>0</v>
          </cell>
        </row>
        <row r="202">
          <cell r="D202" t="str">
            <v>14-Jul</v>
          </cell>
          <cell r="E202">
            <v>2</v>
          </cell>
          <cell r="F202" t="str">
            <v>0</v>
          </cell>
          <cell r="G202">
            <v>3</v>
          </cell>
          <cell r="H202">
            <v>3</v>
          </cell>
          <cell r="I202">
            <v>2</v>
          </cell>
          <cell r="J202" t="str">
            <v>0</v>
          </cell>
          <cell r="K202">
            <v>4</v>
          </cell>
          <cell r="L202" t="str">
            <v>0</v>
          </cell>
          <cell r="M202">
            <v>1</v>
          </cell>
          <cell r="N202" t="str">
            <v>0</v>
          </cell>
          <cell r="O202" t="str">
            <v>0</v>
          </cell>
          <cell r="P202" t="str">
            <v>0</v>
          </cell>
          <cell r="Q202" t="str">
            <v>0</v>
          </cell>
          <cell r="R202" t="str">
            <v>0</v>
          </cell>
          <cell r="S202">
            <v>8888</v>
          </cell>
          <cell r="T202" t="str">
            <v>0</v>
          </cell>
          <cell r="U202">
            <v>9287</v>
          </cell>
          <cell r="V202">
            <v>6392</v>
          </cell>
          <cell r="W202">
            <v>9608</v>
          </cell>
          <cell r="X202" t="str">
            <v>0</v>
          </cell>
          <cell r="Y202">
            <v>8287</v>
          </cell>
          <cell r="Z202" t="str">
            <v>0</v>
          </cell>
          <cell r="AA202">
            <v>2850</v>
          </cell>
          <cell r="AB202" t="str">
            <v>0</v>
          </cell>
          <cell r="AC202" t="str">
            <v>0</v>
          </cell>
          <cell r="AD202" t="str">
            <v>0</v>
          </cell>
          <cell r="AE202" t="str">
            <v>0</v>
          </cell>
        </row>
        <row r="203">
          <cell r="D203" t="str">
            <v>15-Jul</v>
          </cell>
          <cell r="E203" t="str">
            <v>0</v>
          </cell>
          <cell r="F203" t="str">
            <v>0</v>
          </cell>
          <cell r="G203">
            <v>3</v>
          </cell>
          <cell r="H203">
            <v>2</v>
          </cell>
          <cell r="I203" t="str">
            <v>0</v>
          </cell>
          <cell r="J203" t="str">
            <v>0</v>
          </cell>
          <cell r="K203">
            <v>1</v>
          </cell>
          <cell r="L203" t="str">
            <v>0</v>
          </cell>
          <cell r="M203" t="str">
            <v>0</v>
          </cell>
          <cell r="N203" t="str">
            <v>0</v>
          </cell>
          <cell r="O203" t="str">
            <v>0</v>
          </cell>
          <cell r="P203" t="str">
            <v>0</v>
          </cell>
          <cell r="Q203" t="str">
            <v>0</v>
          </cell>
          <cell r="R203" t="str">
            <v>0</v>
          </cell>
          <cell r="S203" t="str">
            <v>0</v>
          </cell>
          <cell r="T203" t="str">
            <v>0</v>
          </cell>
          <cell r="U203">
            <v>3104</v>
          </cell>
          <cell r="V203">
            <v>1954</v>
          </cell>
          <cell r="W203" t="str">
            <v>0</v>
          </cell>
          <cell r="X203" t="str">
            <v>0</v>
          </cell>
          <cell r="Y203">
            <v>501</v>
          </cell>
          <cell r="Z203" t="str">
            <v>0</v>
          </cell>
          <cell r="AA203" t="str">
            <v>0</v>
          </cell>
          <cell r="AB203" t="str">
            <v>0</v>
          </cell>
          <cell r="AC203" t="str">
            <v>0</v>
          </cell>
          <cell r="AD203" t="str">
            <v>0</v>
          </cell>
          <cell r="AE203" t="str">
            <v>0</v>
          </cell>
        </row>
        <row r="204">
          <cell r="D204" t="str">
            <v>16-Jul</v>
          </cell>
          <cell r="E204" t="str">
            <v>0</v>
          </cell>
          <cell r="F204" t="str">
            <v>0</v>
          </cell>
          <cell r="G204">
            <v>2</v>
          </cell>
          <cell r="H204">
            <v>1</v>
          </cell>
          <cell r="I204">
            <v>1</v>
          </cell>
          <cell r="J204" t="str">
            <v>0</v>
          </cell>
          <cell r="K204" t="str">
            <v>0</v>
          </cell>
          <cell r="L204" t="str">
            <v>0</v>
          </cell>
          <cell r="M204" t="str">
            <v>0</v>
          </cell>
          <cell r="N204" t="str">
            <v>0</v>
          </cell>
          <cell r="O204" t="str">
            <v>0</v>
          </cell>
          <cell r="P204" t="str">
            <v>0</v>
          </cell>
          <cell r="Q204" t="str">
            <v>0</v>
          </cell>
          <cell r="R204" t="str">
            <v>0</v>
          </cell>
          <cell r="S204" t="str">
            <v>0</v>
          </cell>
          <cell r="T204" t="str">
            <v>0</v>
          </cell>
          <cell r="U204">
            <v>2332</v>
          </cell>
          <cell r="V204">
            <v>1064</v>
          </cell>
          <cell r="W204">
            <v>1444</v>
          </cell>
          <cell r="X204" t="str">
            <v>0</v>
          </cell>
          <cell r="Y204" t="str">
            <v>0</v>
          </cell>
          <cell r="Z204" t="str">
            <v>0</v>
          </cell>
          <cell r="AA204" t="str">
            <v>0</v>
          </cell>
          <cell r="AB204" t="str">
            <v>0</v>
          </cell>
          <cell r="AC204" t="str">
            <v>0</v>
          </cell>
          <cell r="AD204" t="str">
            <v>0</v>
          </cell>
          <cell r="AE204" t="str">
            <v>0</v>
          </cell>
        </row>
        <row r="205">
          <cell r="D205" t="str">
            <v>17-Jul</v>
          </cell>
          <cell r="E205" t="str">
            <v>0</v>
          </cell>
          <cell r="F205" t="str">
            <v>0</v>
          </cell>
          <cell r="G205">
            <v>4</v>
          </cell>
          <cell r="H205">
            <v>4</v>
          </cell>
          <cell r="I205" t="str">
            <v>0</v>
          </cell>
          <cell r="J205">
            <v>2</v>
          </cell>
          <cell r="K205">
            <v>10</v>
          </cell>
          <cell r="L205" t="str">
            <v>0</v>
          </cell>
          <cell r="M205">
            <v>1</v>
          </cell>
          <cell r="N205" t="str">
            <v>0</v>
          </cell>
          <cell r="O205" t="str">
            <v>0</v>
          </cell>
          <cell r="P205" t="str">
            <v>0</v>
          </cell>
          <cell r="Q205" t="str">
            <v>0</v>
          </cell>
          <cell r="R205" t="str">
            <v>0</v>
          </cell>
          <cell r="S205" t="str">
            <v>0</v>
          </cell>
          <cell r="T205" t="str">
            <v>0</v>
          </cell>
          <cell r="U205">
            <v>8685</v>
          </cell>
          <cell r="V205">
            <v>4750</v>
          </cell>
          <cell r="W205" t="str">
            <v>0</v>
          </cell>
          <cell r="X205">
            <v>4484</v>
          </cell>
          <cell r="Y205">
            <v>18183</v>
          </cell>
          <cell r="Z205" t="str">
            <v>0</v>
          </cell>
          <cell r="AA205">
            <v>988</v>
          </cell>
          <cell r="AB205" t="str">
            <v>0</v>
          </cell>
          <cell r="AC205" t="str">
            <v>0</v>
          </cell>
          <cell r="AD205" t="str">
            <v>0</v>
          </cell>
          <cell r="AE205" t="str">
            <v>0</v>
          </cell>
        </row>
        <row r="206">
          <cell r="D206" t="str">
            <v>18-Jul</v>
          </cell>
          <cell r="E206" t="str">
            <v>0</v>
          </cell>
          <cell r="F206" t="str">
            <v>0</v>
          </cell>
          <cell r="G206">
            <v>5</v>
          </cell>
          <cell r="H206">
            <v>4</v>
          </cell>
          <cell r="I206">
            <v>1</v>
          </cell>
          <cell r="J206" t="str">
            <v>0</v>
          </cell>
          <cell r="K206">
            <v>1</v>
          </cell>
          <cell r="L206" t="str">
            <v>0</v>
          </cell>
          <cell r="M206" t="str">
            <v>0</v>
          </cell>
          <cell r="N206" t="str">
            <v>0</v>
          </cell>
          <cell r="O206" t="str">
            <v>0</v>
          </cell>
          <cell r="P206" t="str">
            <v>0</v>
          </cell>
          <cell r="Q206" t="str">
            <v>0</v>
          </cell>
          <cell r="R206" t="str">
            <v>0</v>
          </cell>
          <cell r="S206" t="str">
            <v>0</v>
          </cell>
          <cell r="T206" t="str">
            <v>0</v>
          </cell>
          <cell r="U206">
            <v>17546</v>
          </cell>
          <cell r="V206">
            <v>12288</v>
          </cell>
          <cell r="W206">
            <v>1900</v>
          </cell>
          <cell r="X206" t="str">
            <v>0</v>
          </cell>
          <cell r="Y206">
            <v>912</v>
          </cell>
          <cell r="Z206" t="str">
            <v>0</v>
          </cell>
          <cell r="AA206" t="str">
            <v>0</v>
          </cell>
          <cell r="AB206" t="str">
            <v>0</v>
          </cell>
          <cell r="AC206" t="str">
            <v>0</v>
          </cell>
          <cell r="AD206" t="str">
            <v>0</v>
          </cell>
          <cell r="AE206" t="str">
            <v>0</v>
          </cell>
        </row>
        <row r="207">
          <cell r="D207" t="str">
            <v>19-Jul</v>
          </cell>
          <cell r="E207" t="str">
            <v>0</v>
          </cell>
          <cell r="F207" t="str">
            <v>0</v>
          </cell>
          <cell r="G207">
            <v>3</v>
          </cell>
          <cell r="H207">
            <v>7</v>
          </cell>
          <cell r="I207">
            <v>2</v>
          </cell>
          <cell r="J207" t="str">
            <v>0</v>
          </cell>
          <cell r="K207">
            <v>7</v>
          </cell>
          <cell r="L207" t="str">
            <v>0</v>
          </cell>
          <cell r="M207" t="str">
            <v>0</v>
          </cell>
          <cell r="N207" t="str">
            <v>0</v>
          </cell>
          <cell r="O207" t="str">
            <v>0</v>
          </cell>
          <cell r="P207" t="str">
            <v>0</v>
          </cell>
          <cell r="Q207" t="str">
            <v>0</v>
          </cell>
          <cell r="R207" t="str">
            <v>0</v>
          </cell>
          <cell r="S207" t="str">
            <v>0</v>
          </cell>
          <cell r="T207" t="str">
            <v>0</v>
          </cell>
          <cell r="U207">
            <v>11064</v>
          </cell>
          <cell r="V207">
            <v>9945</v>
          </cell>
          <cell r="W207">
            <v>7200</v>
          </cell>
          <cell r="X207" t="str">
            <v>0</v>
          </cell>
          <cell r="Y207">
            <v>4543</v>
          </cell>
          <cell r="Z207" t="str">
            <v>0</v>
          </cell>
          <cell r="AA207" t="str">
            <v>0</v>
          </cell>
          <cell r="AB207" t="str">
            <v>0</v>
          </cell>
          <cell r="AC207" t="str">
            <v>0</v>
          </cell>
          <cell r="AD207" t="str">
            <v>0</v>
          </cell>
          <cell r="AE207" t="str">
            <v>0</v>
          </cell>
        </row>
        <row r="208">
          <cell r="D208" t="str">
            <v>20-Jul</v>
          </cell>
          <cell r="E208">
            <v>2</v>
          </cell>
          <cell r="F208" t="str">
            <v>0</v>
          </cell>
          <cell r="G208">
            <v>2</v>
          </cell>
          <cell r="H208">
            <v>4</v>
          </cell>
          <cell r="I208" t="str">
            <v>0</v>
          </cell>
          <cell r="J208">
            <v>1</v>
          </cell>
          <cell r="K208" t="str">
            <v>0</v>
          </cell>
          <cell r="L208" t="str">
            <v>0</v>
          </cell>
          <cell r="M208" t="str">
            <v>0</v>
          </cell>
          <cell r="N208" t="str">
            <v>0</v>
          </cell>
          <cell r="O208" t="str">
            <v>0</v>
          </cell>
          <cell r="P208" t="str">
            <v>0</v>
          </cell>
          <cell r="Q208" t="str">
            <v>0</v>
          </cell>
          <cell r="R208" t="str">
            <v>0</v>
          </cell>
          <cell r="S208">
            <v>3572</v>
          </cell>
          <cell r="T208" t="str">
            <v>0</v>
          </cell>
          <cell r="U208">
            <v>2815</v>
          </cell>
          <cell r="V208">
            <v>5418</v>
          </cell>
          <cell r="W208" t="str">
            <v>0</v>
          </cell>
          <cell r="X208">
            <v>427</v>
          </cell>
          <cell r="Y208" t="str">
            <v>0</v>
          </cell>
          <cell r="Z208" t="str">
            <v>0</v>
          </cell>
          <cell r="AA208" t="str">
            <v>0</v>
          </cell>
          <cell r="AB208" t="str">
            <v>0</v>
          </cell>
          <cell r="AC208" t="str">
            <v>0</v>
          </cell>
          <cell r="AD208" t="str">
            <v>0</v>
          </cell>
          <cell r="AE208" t="str">
            <v>0</v>
          </cell>
        </row>
        <row r="209">
          <cell r="D209" t="str">
            <v>21-Jul</v>
          </cell>
          <cell r="E209" t="str">
            <v>0</v>
          </cell>
          <cell r="F209" t="str">
            <v>0</v>
          </cell>
          <cell r="G209">
            <v>5</v>
          </cell>
          <cell r="H209">
            <v>1</v>
          </cell>
          <cell r="I209">
            <v>1</v>
          </cell>
          <cell r="J209">
            <v>1</v>
          </cell>
          <cell r="K209">
            <v>3</v>
          </cell>
          <cell r="L209" t="str">
            <v>0</v>
          </cell>
          <cell r="M209" t="str">
            <v>0</v>
          </cell>
          <cell r="N209" t="str">
            <v>0</v>
          </cell>
          <cell r="O209" t="str">
            <v>0</v>
          </cell>
          <cell r="P209" t="str">
            <v>0</v>
          </cell>
          <cell r="Q209" t="str">
            <v>0</v>
          </cell>
          <cell r="R209" t="str">
            <v>0</v>
          </cell>
          <cell r="S209" t="str">
            <v>0</v>
          </cell>
          <cell r="T209" t="str">
            <v>0</v>
          </cell>
          <cell r="U209">
            <v>10038</v>
          </cell>
          <cell r="V209">
            <v>2128</v>
          </cell>
          <cell r="W209">
            <v>668</v>
          </cell>
          <cell r="X209">
            <v>5100</v>
          </cell>
          <cell r="Y209">
            <v>3112</v>
          </cell>
          <cell r="Z209" t="str">
            <v>0</v>
          </cell>
          <cell r="AA209" t="str">
            <v>0</v>
          </cell>
          <cell r="AB209" t="str">
            <v>0</v>
          </cell>
          <cell r="AC209" t="str">
            <v>0</v>
          </cell>
          <cell r="AD209" t="str">
            <v>0</v>
          </cell>
          <cell r="AE209" t="str">
            <v>0</v>
          </cell>
        </row>
        <row r="210">
          <cell r="D210" t="str">
            <v>22-Jul</v>
          </cell>
          <cell r="E210" t="str">
            <v>0</v>
          </cell>
          <cell r="F210" t="str">
            <v>0</v>
          </cell>
          <cell r="G210" t="str">
            <v>0</v>
          </cell>
          <cell r="H210" t="str">
            <v>0</v>
          </cell>
          <cell r="I210" t="str">
            <v>0</v>
          </cell>
          <cell r="J210" t="str">
            <v>0</v>
          </cell>
          <cell r="K210" t="str">
            <v>0</v>
          </cell>
          <cell r="L210" t="str">
            <v>0</v>
          </cell>
          <cell r="M210" t="str">
            <v>0</v>
          </cell>
          <cell r="N210" t="str">
            <v>0</v>
          </cell>
          <cell r="O210" t="str">
            <v>0</v>
          </cell>
          <cell r="P210" t="str">
            <v>0</v>
          </cell>
          <cell r="Q210" t="str">
            <v>0</v>
          </cell>
          <cell r="R210" t="str">
            <v>0</v>
          </cell>
          <cell r="S210" t="str">
            <v>0</v>
          </cell>
          <cell r="T210" t="str">
            <v>0</v>
          </cell>
          <cell r="U210" t="str">
            <v>0</v>
          </cell>
          <cell r="V210" t="str">
            <v>0</v>
          </cell>
          <cell r="W210" t="str">
            <v>0</v>
          </cell>
          <cell r="X210" t="str">
            <v>0</v>
          </cell>
          <cell r="Y210" t="str">
            <v>0</v>
          </cell>
          <cell r="Z210" t="str">
            <v>0</v>
          </cell>
          <cell r="AA210" t="str">
            <v>0</v>
          </cell>
          <cell r="AB210" t="str">
            <v>0</v>
          </cell>
          <cell r="AC210" t="str">
            <v>0</v>
          </cell>
          <cell r="AD210" t="str">
            <v>0</v>
          </cell>
          <cell r="AE210" t="str">
            <v>0</v>
          </cell>
        </row>
        <row r="211">
          <cell r="D211" t="str">
            <v>23-Jul</v>
          </cell>
          <cell r="E211" t="str">
            <v>0</v>
          </cell>
          <cell r="F211" t="str">
            <v>0</v>
          </cell>
          <cell r="G211">
            <v>2</v>
          </cell>
          <cell r="H211" t="str">
            <v>0</v>
          </cell>
          <cell r="I211" t="str">
            <v>0</v>
          </cell>
          <cell r="J211">
            <v>1</v>
          </cell>
          <cell r="K211" t="str">
            <v>0</v>
          </cell>
          <cell r="L211" t="str">
            <v>0</v>
          </cell>
          <cell r="M211" t="str">
            <v>0</v>
          </cell>
          <cell r="N211" t="str">
            <v>0</v>
          </cell>
          <cell r="O211" t="str">
            <v>0</v>
          </cell>
          <cell r="P211" t="str">
            <v>0</v>
          </cell>
          <cell r="Q211" t="str">
            <v>0</v>
          </cell>
          <cell r="R211" t="str">
            <v>0</v>
          </cell>
          <cell r="S211" t="str">
            <v>0</v>
          </cell>
          <cell r="T211" t="str">
            <v>0</v>
          </cell>
          <cell r="U211">
            <v>17918</v>
          </cell>
          <cell r="V211" t="str">
            <v>0</v>
          </cell>
          <cell r="W211" t="str">
            <v>0</v>
          </cell>
          <cell r="X211">
            <v>2126</v>
          </cell>
          <cell r="Y211" t="str">
            <v>0</v>
          </cell>
          <cell r="Z211" t="str">
            <v>0</v>
          </cell>
          <cell r="AA211" t="str">
            <v>0</v>
          </cell>
          <cell r="AB211" t="str">
            <v>0</v>
          </cell>
          <cell r="AC211" t="str">
            <v>0</v>
          </cell>
          <cell r="AD211" t="str">
            <v>0</v>
          </cell>
          <cell r="AE211" t="str">
            <v>0</v>
          </cell>
        </row>
        <row r="212">
          <cell r="D212" t="str">
            <v>24-Jul</v>
          </cell>
          <cell r="E212">
            <v>1</v>
          </cell>
          <cell r="F212" t="str">
            <v>0</v>
          </cell>
          <cell r="G212">
            <v>5</v>
          </cell>
          <cell r="H212" t="str">
            <v>0</v>
          </cell>
          <cell r="I212">
            <v>2</v>
          </cell>
          <cell r="J212">
            <v>3</v>
          </cell>
          <cell r="K212" t="str">
            <v>0</v>
          </cell>
          <cell r="L212" t="str">
            <v>0</v>
          </cell>
          <cell r="M212" t="str">
            <v>0</v>
          </cell>
          <cell r="N212" t="str">
            <v>0</v>
          </cell>
          <cell r="O212" t="str">
            <v>0</v>
          </cell>
          <cell r="P212" t="str">
            <v>0</v>
          </cell>
          <cell r="Q212" t="str">
            <v>0</v>
          </cell>
          <cell r="R212" t="str">
            <v>0</v>
          </cell>
          <cell r="S212">
            <v>590</v>
          </cell>
          <cell r="T212" t="str">
            <v>0</v>
          </cell>
          <cell r="U212">
            <v>8970</v>
          </cell>
          <cell r="V212" t="str">
            <v>0</v>
          </cell>
          <cell r="W212">
            <v>3752</v>
          </cell>
          <cell r="X212">
            <v>5577</v>
          </cell>
          <cell r="Y212" t="str">
            <v>0</v>
          </cell>
          <cell r="Z212" t="str">
            <v>0</v>
          </cell>
          <cell r="AA212" t="str">
            <v>0</v>
          </cell>
          <cell r="AB212" t="str">
            <v>0</v>
          </cell>
          <cell r="AC212" t="str">
            <v>0</v>
          </cell>
          <cell r="AD212" t="str">
            <v>0</v>
          </cell>
          <cell r="AE212" t="str">
            <v>0</v>
          </cell>
        </row>
        <row r="213">
          <cell r="D213" t="str">
            <v>25-Jul</v>
          </cell>
          <cell r="E213" t="str">
            <v>0</v>
          </cell>
          <cell r="F213" t="str">
            <v>0</v>
          </cell>
          <cell r="G213">
            <v>3</v>
          </cell>
          <cell r="H213">
            <v>3</v>
          </cell>
          <cell r="I213">
            <v>1</v>
          </cell>
          <cell r="J213" t="str">
            <v>0</v>
          </cell>
          <cell r="K213">
            <v>2</v>
          </cell>
          <cell r="L213" t="str">
            <v>0</v>
          </cell>
          <cell r="M213" t="str">
            <v>0</v>
          </cell>
          <cell r="N213" t="str">
            <v>0</v>
          </cell>
          <cell r="O213" t="str">
            <v>0</v>
          </cell>
          <cell r="P213" t="str">
            <v>0</v>
          </cell>
          <cell r="Q213" t="str">
            <v>0</v>
          </cell>
          <cell r="R213" t="str">
            <v>0</v>
          </cell>
          <cell r="S213" t="str">
            <v>0</v>
          </cell>
          <cell r="T213" t="str">
            <v>0</v>
          </cell>
          <cell r="U213">
            <v>5527</v>
          </cell>
          <cell r="V213">
            <v>7068</v>
          </cell>
          <cell r="W213">
            <v>988</v>
          </cell>
          <cell r="X213" t="str">
            <v>0</v>
          </cell>
          <cell r="Y213">
            <v>5776</v>
          </cell>
          <cell r="Z213" t="str">
            <v>0</v>
          </cell>
          <cell r="AA213" t="str">
            <v>0</v>
          </cell>
          <cell r="AB213" t="str">
            <v>0</v>
          </cell>
          <cell r="AC213" t="str">
            <v>0</v>
          </cell>
          <cell r="AD213" t="str">
            <v>0</v>
          </cell>
          <cell r="AE213" t="str">
            <v>0</v>
          </cell>
        </row>
        <row r="214">
          <cell r="D214" t="str">
            <v>26-Jul</v>
          </cell>
          <cell r="E214">
            <v>4</v>
          </cell>
          <cell r="F214" t="str">
            <v>0</v>
          </cell>
          <cell r="G214" t="str">
            <v>0</v>
          </cell>
          <cell r="H214" t="str">
            <v>0</v>
          </cell>
          <cell r="I214" t="str">
            <v>0</v>
          </cell>
          <cell r="J214" t="str">
            <v>0</v>
          </cell>
          <cell r="K214">
            <v>1</v>
          </cell>
          <cell r="L214" t="str">
            <v>0</v>
          </cell>
          <cell r="M214" t="str">
            <v>0</v>
          </cell>
          <cell r="N214" t="str">
            <v>0</v>
          </cell>
          <cell r="O214" t="str">
            <v>0</v>
          </cell>
          <cell r="P214" t="str">
            <v>0</v>
          </cell>
          <cell r="Q214" t="str">
            <v>0</v>
          </cell>
          <cell r="R214" t="str">
            <v>0</v>
          </cell>
          <cell r="S214">
            <v>6647</v>
          </cell>
          <cell r="T214" t="str">
            <v>0</v>
          </cell>
          <cell r="U214" t="str">
            <v>0</v>
          </cell>
          <cell r="V214" t="str">
            <v>0</v>
          </cell>
          <cell r="W214" t="str">
            <v>0</v>
          </cell>
          <cell r="X214" t="str">
            <v>0</v>
          </cell>
          <cell r="Y214">
            <v>152</v>
          </cell>
          <cell r="Z214" t="str">
            <v>0</v>
          </cell>
          <cell r="AA214" t="str">
            <v>0</v>
          </cell>
          <cell r="AB214" t="str">
            <v>0</v>
          </cell>
          <cell r="AC214" t="str">
            <v>0</v>
          </cell>
          <cell r="AD214" t="str">
            <v>0</v>
          </cell>
          <cell r="AE214" t="str">
            <v>0</v>
          </cell>
        </row>
        <row r="215">
          <cell r="D215" t="str">
            <v>27-Jul</v>
          </cell>
          <cell r="E215" t="str">
            <v>0</v>
          </cell>
          <cell r="F215" t="str">
            <v>0</v>
          </cell>
          <cell r="G215">
            <v>1</v>
          </cell>
          <cell r="H215">
            <v>1</v>
          </cell>
          <cell r="I215" t="str">
            <v>0</v>
          </cell>
          <cell r="J215">
            <v>1</v>
          </cell>
          <cell r="K215" t="str">
            <v>0</v>
          </cell>
          <cell r="L215" t="str">
            <v>0</v>
          </cell>
          <cell r="M215" t="str">
            <v>0</v>
          </cell>
          <cell r="N215" t="str">
            <v>0</v>
          </cell>
          <cell r="O215" t="str">
            <v>0</v>
          </cell>
          <cell r="P215" t="str">
            <v>0</v>
          </cell>
          <cell r="Q215" t="str">
            <v>0</v>
          </cell>
          <cell r="R215" t="str">
            <v>0</v>
          </cell>
          <cell r="S215" t="str">
            <v>0</v>
          </cell>
          <cell r="T215" t="str">
            <v>0</v>
          </cell>
          <cell r="U215">
            <v>427</v>
          </cell>
          <cell r="V215">
            <v>1475</v>
          </cell>
          <cell r="W215" t="str">
            <v>0</v>
          </cell>
          <cell r="X215">
            <v>1444</v>
          </cell>
          <cell r="Y215" t="str">
            <v>0</v>
          </cell>
          <cell r="Z215" t="str">
            <v>0</v>
          </cell>
          <cell r="AA215" t="str">
            <v>0</v>
          </cell>
          <cell r="AB215" t="str">
            <v>0</v>
          </cell>
          <cell r="AC215" t="str">
            <v>0</v>
          </cell>
          <cell r="AD215" t="str">
            <v>0</v>
          </cell>
          <cell r="AE215" t="str">
            <v>0</v>
          </cell>
        </row>
        <row r="216">
          <cell r="D216" t="str">
            <v>28-Jul</v>
          </cell>
          <cell r="E216" t="str">
            <v>0</v>
          </cell>
          <cell r="F216" t="str">
            <v>0</v>
          </cell>
          <cell r="G216" t="str">
            <v>0</v>
          </cell>
          <cell r="H216" t="str">
            <v>0</v>
          </cell>
          <cell r="I216" t="str">
            <v>0</v>
          </cell>
          <cell r="J216" t="str">
            <v>0</v>
          </cell>
          <cell r="K216" t="str">
            <v>0</v>
          </cell>
          <cell r="L216" t="str">
            <v>0</v>
          </cell>
          <cell r="M216" t="str">
            <v>0</v>
          </cell>
          <cell r="N216" t="str">
            <v>0</v>
          </cell>
          <cell r="O216" t="str">
            <v>0</v>
          </cell>
          <cell r="P216" t="str">
            <v>0</v>
          </cell>
          <cell r="Q216" t="str">
            <v>0</v>
          </cell>
          <cell r="R216" t="str">
            <v>0</v>
          </cell>
          <cell r="S216" t="str">
            <v>0</v>
          </cell>
          <cell r="T216" t="str">
            <v>0</v>
          </cell>
          <cell r="U216" t="str">
            <v>0</v>
          </cell>
          <cell r="V216" t="str">
            <v>0</v>
          </cell>
          <cell r="W216" t="str">
            <v>0</v>
          </cell>
          <cell r="X216" t="str">
            <v>0</v>
          </cell>
          <cell r="Y216" t="str">
            <v>0</v>
          </cell>
          <cell r="Z216" t="str">
            <v>0</v>
          </cell>
          <cell r="AA216" t="str">
            <v>0</v>
          </cell>
          <cell r="AB216" t="str">
            <v>0</v>
          </cell>
          <cell r="AC216" t="str">
            <v>0</v>
          </cell>
          <cell r="AD216" t="str">
            <v>0</v>
          </cell>
          <cell r="AE216" t="str">
            <v>0</v>
          </cell>
        </row>
        <row r="217">
          <cell r="D217" t="str">
            <v>29-Jul</v>
          </cell>
          <cell r="E217" t="str">
            <v>0</v>
          </cell>
          <cell r="F217" t="str">
            <v>0</v>
          </cell>
          <cell r="G217">
            <v>6</v>
          </cell>
          <cell r="H217">
            <v>1</v>
          </cell>
          <cell r="I217" t="str">
            <v>0</v>
          </cell>
          <cell r="J217" t="str">
            <v>0</v>
          </cell>
          <cell r="K217">
            <v>1</v>
          </cell>
          <cell r="L217" t="str">
            <v>0</v>
          </cell>
          <cell r="M217" t="str">
            <v>0</v>
          </cell>
          <cell r="N217" t="str">
            <v>0</v>
          </cell>
          <cell r="O217" t="str">
            <v>0</v>
          </cell>
          <cell r="P217" t="str">
            <v>0</v>
          </cell>
          <cell r="Q217" t="str">
            <v>0</v>
          </cell>
          <cell r="R217" t="str">
            <v>0</v>
          </cell>
          <cell r="S217" t="str">
            <v>0</v>
          </cell>
          <cell r="T217" t="str">
            <v>0</v>
          </cell>
          <cell r="U217">
            <v>8143</v>
          </cell>
          <cell r="V217">
            <v>1204</v>
          </cell>
          <cell r="W217" t="str">
            <v>0</v>
          </cell>
          <cell r="X217" t="str">
            <v>0</v>
          </cell>
          <cell r="Y217">
            <v>296</v>
          </cell>
          <cell r="Z217" t="str">
            <v>0</v>
          </cell>
          <cell r="AA217" t="str">
            <v>0</v>
          </cell>
          <cell r="AB217" t="str">
            <v>0</v>
          </cell>
          <cell r="AC217" t="str">
            <v>0</v>
          </cell>
          <cell r="AD217" t="str">
            <v>0</v>
          </cell>
          <cell r="AE217" t="str">
            <v>0</v>
          </cell>
        </row>
        <row r="218">
          <cell r="D218" t="str">
            <v>30-Jul</v>
          </cell>
          <cell r="E218" t="str">
            <v>0</v>
          </cell>
          <cell r="F218" t="str">
            <v>0</v>
          </cell>
          <cell r="G218" t="str">
            <v>0</v>
          </cell>
          <cell r="H218" t="str">
            <v>0</v>
          </cell>
          <cell r="I218" t="str">
            <v>0</v>
          </cell>
          <cell r="J218" t="str">
            <v>0</v>
          </cell>
          <cell r="K218" t="str">
            <v>0</v>
          </cell>
          <cell r="L218" t="str">
            <v>0</v>
          </cell>
          <cell r="M218">
            <v>1</v>
          </cell>
          <cell r="N218" t="str">
            <v>0</v>
          </cell>
          <cell r="O218" t="str">
            <v>0</v>
          </cell>
          <cell r="P218" t="str">
            <v>0</v>
          </cell>
          <cell r="Q218" t="str">
            <v>0</v>
          </cell>
          <cell r="R218" t="str">
            <v>0</v>
          </cell>
          <cell r="S218" t="str">
            <v>0</v>
          </cell>
          <cell r="T218" t="str">
            <v>0</v>
          </cell>
          <cell r="U218" t="str">
            <v>0</v>
          </cell>
          <cell r="V218" t="str">
            <v>0</v>
          </cell>
          <cell r="W218" t="str">
            <v>0</v>
          </cell>
          <cell r="X218" t="str">
            <v>0</v>
          </cell>
          <cell r="Y218" t="str">
            <v>0</v>
          </cell>
          <cell r="Z218" t="str">
            <v>0</v>
          </cell>
          <cell r="AA218">
            <v>1357</v>
          </cell>
          <cell r="AB218" t="str">
            <v>0</v>
          </cell>
          <cell r="AC218" t="str">
            <v>0</v>
          </cell>
          <cell r="AD218" t="str">
            <v>0</v>
          </cell>
          <cell r="AE218" t="str">
            <v>0</v>
          </cell>
        </row>
        <row r="219">
          <cell r="D219" t="str">
            <v>31-Jul</v>
          </cell>
          <cell r="E219" t="str">
            <v>0</v>
          </cell>
          <cell r="F219" t="str">
            <v>0</v>
          </cell>
          <cell r="G219">
            <v>1</v>
          </cell>
          <cell r="H219" t="str">
            <v>0</v>
          </cell>
          <cell r="I219" t="str">
            <v>0</v>
          </cell>
          <cell r="J219" t="str">
            <v>0</v>
          </cell>
          <cell r="K219" t="str">
            <v>0</v>
          </cell>
          <cell r="L219" t="str">
            <v>0</v>
          </cell>
          <cell r="M219" t="str">
            <v>0</v>
          </cell>
          <cell r="N219" t="str">
            <v>0</v>
          </cell>
          <cell r="O219" t="str">
            <v>0</v>
          </cell>
          <cell r="P219" t="str">
            <v>0</v>
          </cell>
          <cell r="Q219" t="str">
            <v>0</v>
          </cell>
          <cell r="R219" t="str">
            <v>0</v>
          </cell>
          <cell r="S219" t="str">
            <v>0</v>
          </cell>
          <cell r="T219" t="str">
            <v>0</v>
          </cell>
          <cell r="U219">
            <v>587</v>
          </cell>
          <cell r="V219" t="str">
            <v>0</v>
          </cell>
          <cell r="W219" t="str">
            <v>0</v>
          </cell>
          <cell r="X219" t="str">
            <v>0</v>
          </cell>
          <cell r="Y219" t="str">
            <v>0</v>
          </cell>
          <cell r="Z219" t="str">
            <v>0</v>
          </cell>
          <cell r="AA219" t="str">
            <v>0</v>
          </cell>
          <cell r="AB219" t="str">
            <v>0</v>
          </cell>
          <cell r="AC219" t="str">
            <v>0</v>
          </cell>
          <cell r="AD219" t="str">
            <v>0</v>
          </cell>
          <cell r="AE219" t="str">
            <v>0</v>
          </cell>
        </row>
        <row r="220">
          <cell r="D220" t="str">
            <v>01-Aug</v>
          </cell>
          <cell r="E220" t="str">
            <v>0</v>
          </cell>
          <cell r="F220" t="str">
            <v>0</v>
          </cell>
          <cell r="G220" t="str">
            <v>0</v>
          </cell>
          <cell r="H220">
            <v>1</v>
          </cell>
          <cell r="I220" t="str">
            <v>0</v>
          </cell>
          <cell r="J220" t="str">
            <v>0</v>
          </cell>
          <cell r="K220" t="str">
            <v>0</v>
          </cell>
          <cell r="L220" t="str">
            <v>0</v>
          </cell>
          <cell r="M220" t="str">
            <v>0</v>
          </cell>
          <cell r="N220" t="str">
            <v>0</v>
          </cell>
          <cell r="O220" t="str">
            <v>0</v>
          </cell>
          <cell r="P220" t="str">
            <v>0</v>
          </cell>
          <cell r="Q220" t="str">
            <v>0</v>
          </cell>
          <cell r="R220" t="str">
            <v>0</v>
          </cell>
          <cell r="S220" t="str">
            <v>0</v>
          </cell>
          <cell r="T220" t="str">
            <v>0</v>
          </cell>
          <cell r="U220" t="str">
            <v>0</v>
          </cell>
          <cell r="V220">
            <v>7234</v>
          </cell>
          <cell r="W220" t="str">
            <v>0</v>
          </cell>
          <cell r="X220" t="str">
            <v>0</v>
          </cell>
          <cell r="Y220" t="str">
            <v>0</v>
          </cell>
          <cell r="Z220" t="str">
            <v>0</v>
          </cell>
          <cell r="AA220" t="str">
            <v>0</v>
          </cell>
          <cell r="AB220" t="str">
            <v>0</v>
          </cell>
          <cell r="AC220" t="str">
            <v>0</v>
          </cell>
          <cell r="AD220" t="str">
            <v>0</v>
          </cell>
          <cell r="AE220" t="str">
            <v>0</v>
          </cell>
        </row>
        <row r="221">
          <cell r="D221" t="str">
            <v>02-Aug</v>
          </cell>
          <cell r="E221" t="str">
            <v>0</v>
          </cell>
          <cell r="F221" t="str">
            <v>0</v>
          </cell>
          <cell r="G221">
            <v>1</v>
          </cell>
          <cell r="H221" t="str">
            <v>0</v>
          </cell>
          <cell r="I221" t="str">
            <v>0</v>
          </cell>
          <cell r="J221" t="str">
            <v>0</v>
          </cell>
          <cell r="K221" t="str">
            <v>0</v>
          </cell>
          <cell r="L221" t="str">
            <v>0</v>
          </cell>
          <cell r="M221" t="str">
            <v>0</v>
          </cell>
          <cell r="N221" t="str">
            <v>0</v>
          </cell>
          <cell r="O221" t="str">
            <v>0</v>
          </cell>
          <cell r="P221" t="str">
            <v>0</v>
          </cell>
          <cell r="Q221" t="str">
            <v>0</v>
          </cell>
          <cell r="R221" t="str">
            <v>0</v>
          </cell>
          <cell r="S221" t="str">
            <v>0</v>
          </cell>
          <cell r="T221" t="str">
            <v>0</v>
          </cell>
          <cell r="U221">
            <v>2718</v>
          </cell>
          <cell r="V221" t="str">
            <v>0</v>
          </cell>
          <cell r="W221" t="str">
            <v>0</v>
          </cell>
          <cell r="X221" t="str">
            <v>0</v>
          </cell>
          <cell r="Y221" t="str">
            <v>0</v>
          </cell>
          <cell r="Z221" t="str">
            <v>0</v>
          </cell>
          <cell r="AA221" t="str">
            <v>0</v>
          </cell>
          <cell r="AB221" t="str">
            <v>0</v>
          </cell>
          <cell r="AC221" t="str">
            <v>0</v>
          </cell>
          <cell r="AD221" t="str">
            <v>0</v>
          </cell>
          <cell r="AE221" t="str">
            <v>0</v>
          </cell>
        </row>
        <row r="222">
          <cell r="D222" t="str">
            <v>03-Aug</v>
          </cell>
          <cell r="E222" t="str">
            <v>0</v>
          </cell>
          <cell r="F222" t="str">
            <v>0</v>
          </cell>
          <cell r="G222">
            <v>1</v>
          </cell>
          <cell r="H222" t="str">
            <v>0</v>
          </cell>
          <cell r="I222" t="str">
            <v>0</v>
          </cell>
          <cell r="J222" t="str">
            <v>0</v>
          </cell>
          <cell r="K222">
            <v>1</v>
          </cell>
          <cell r="L222" t="str">
            <v>0</v>
          </cell>
          <cell r="M222" t="str">
            <v>0</v>
          </cell>
          <cell r="N222" t="str">
            <v>0</v>
          </cell>
          <cell r="O222" t="str">
            <v>0</v>
          </cell>
          <cell r="P222" t="str">
            <v>0</v>
          </cell>
          <cell r="Q222" t="str">
            <v>0</v>
          </cell>
          <cell r="R222" t="str">
            <v>0</v>
          </cell>
          <cell r="S222" t="str">
            <v>0</v>
          </cell>
          <cell r="T222" t="str">
            <v>0</v>
          </cell>
          <cell r="U222">
            <v>4941</v>
          </cell>
          <cell r="V222" t="str">
            <v>0</v>
          </cell>
          <cell r="W222" t="str">
            <v>0</v>
          </cell>
          <cell r="X222" t="str">
            <v>0</v>
          </cell>
          <cell r="Y222">
            <v>1900</v>
          </cell>
          <cell r="Z222" t="str">
            <v>0</v>
          </cell>
          <cell r="AA222" t="str">
            <v>0</v>
          </cell>
          <cell r="AB222" t="str">
            <v>0</v>
          </cell>
          <cell r="AC222" t="str">
            <v>0</v>
          </cell>
          <cell r="AD222" t="str">
            <v>0</v>
          </cell>
          <cell r="AE222" t="str">
            <v>0</v>
          </cell>
        </row>
        <row r="223">
          <cell r="D223" t="str">
            <v>04-Aug</v>
          </cell>
          <cell r="E223" t="str">
            <v>0</v>
          </cell>
          <cell r="F223" t="str">
            <v>0</v>
          </cell>
          <cell r="G223">
            <v>1</v>
          </cell>
          <cell r="H223" t="str">
            <v>0</v>
          </cell>
          <cell r="I223" t="str">
            <v>0</v>
          </cell>
          <cell r="J223" t="str">
            <v>0</v>
          </cell>
          <cell r="K223" t="str">
            <v>0</v>
          </cell>
          <cell r="L223" t="str">
            <v>0</v>
          </cell>
          <cell r="M223" t="str">
            <v>0</v>
          </cell>
          <cell r="N223" t="str">
            <v>0</v>
          </cell>
          <cell r="O223" t="str">
            <v>0</v>
          </cell>
          <cell r="P223" t="str">
            <v>0</v>
          </cell>
          <cell r="Q223" t="str">
            <v>0</v>
          </cell>
          <cell r="R223" t="str">
            <v>0</v>
          </cell>
          <cell r="S223" t="str">
            <v>0</v>
          </cell>
          <cell r="T223" t="str">
            <v>0</v>
          </cell>
          <cell r="U223">
            <v>98800</v>
          </cell>
          <cell r="V223" t="str">
            <v>0</v>
          </cell>
          <cell r="W223" t="str">
            <v>0</v>
          </cell>
          <cell r="X223" t="str">
            <v>0</v>
          </cell>
          <cell r="Y223" t="str">
            <v>0</v>
          </cell>
          <cell r="Z223" t="str">
            <v>0</v>
          </cell>
          <cell r="AA223" t="str">
            <v>0</v>
          </cell>
          <cell r="AB223" t="str">
            <v>0</v>
          </cell>
          <cell r="AC223" t="str">
            <v>0</v>
          </cell>
          <cell r="AD223" t="str">
            <v>0</v>
          </cell>
          <cell r="AE223" t="str">
            <v>0</v>
          </cell>
        </row>
        <row r="224">
          <cell r="D224" t="str">
            <v>05-Aug</v>
          </cell>
          <cell r="E224" t="str">
            <v>0</v>
          </cell>
          <cell r="F224" t="str">
            <v>0</v>
          </cell>
          <cell r="G224" t="str">
            <v>0</v>
          </cell>
          <cell r="H224" t="str">
            <v>0</v>
          </cell>
          <cell r="I224" t="str">
            <v>0</v>
          </cell>
          <cell r="J224" t="str">
            <v>0</v>
          </cell>
          <cell r="K224" t="str">
            <v>0</v>
          </cell>
          <cell r="L224" t="str">
            <v>0</v>
          </cell>
          <cell r="M224" t="str">
            <v>0</v>
          </cell>
          <cell r="N224" t="str">
            <v>0</v>
          </cell>
          <cell r="O224" t="str">
            <v>0</v>
          </cell>
          <cell r="P224" t="str">
            <v>0</v>
          </cell>
          <cell r="Q224" t="str">
            <v>0</v>
          </cell>
          <cell r="R224" t="str">
            <v>0</v>
          </cell>
          <cell r="S224" t="str">
            <v>0</v>
          </cell>
          <cell r="T224" t="str">
            <v>0</v>
          </cell>
          <cell r="U224" t="str">
            <v>0</v>
          </cell>
          <cell r="V224" t="str">
            <v>0</v>
          </cell>
          <cell r="W224" t="str">
            <v>0</v>
          </cell>
          <cell r="X224" t="str">
            <v>0</v>
          </cell>
          <cell r="Y224" t="str">
            <v>0</v>
          </cell>
          <cell r="Z224" t="str">
            <v>0</v>
          </cell>
          <cell r="AA224" t="str">
            <v>0</v>
          </cell>
          <cell r="AB224" t="str">
            <v>0</v>
          </cell>
          <cell r="AC224" t="str">
            <v>0</v>
          </cell>
          <cell r="AD224" t="str">
            <v>0</v>
          </cell>
          <cell r="AE224" t="str">
            <v>0</v>
          </cell>
        </row>
        <row r="225">
          <cell r="D225" t="str">
            <v>06-Aug</v>
          </cell>
          <cell r="E225" t="str">
            <v>0</v>
          </cell>
          <cell r="F225" t="str">
            <v>0</v>
          </cell>
          <cell r="G225">
            <v>1</v>
          </cell>
          <cell r="H225" t="str">
            <v>0</v>
          </cell>
          <cell r="I225" t="str">
            <v>0</v>
          </cell>
          <cell r="J225" t="str">
            <v>0</v>
          </cell>
          <cell r="K225" t="str">
            <v>0</v>
          </cell>
          <cell r="L225" t="str">
            <v>0</v>
          </cell>
          <cell r="M225" t="str">
            <v>0</v>
          </cell>
          <cell r="N225" t="str">
            <v>0</v>
          </cell>
          <cell r="O225" t="str">
            <v>0</v>
          </cell>
          <cell r="P225" t="str">
            <v>0</v>
          </cell>
          <cell r="Q225" t="str">
            <v>0</v>
          </cell>
          <cell r="R225" t="str">
            <v>0</v>
          </cell>
          <cell r="S225" t="str">
            <v>0</v>
          </cell>
          <cell r="T225" t="str">
            <v>0</v>
          </cell>
          <cell r="U225">
            <v>1442</v>
          </cell>
          <cell r="V225" t="str">
            <v>0</v>
          </cell>
          <cell r="W225" t="str">
            <v>0</v>
          </cell>
          <cell r="X225" t="str">
            <v>0</v>
          </cell>
          <cell r="Y225" t="str">
            <v>0</v>
          </cell>
          <cell r="Z225" t="str">
            <v>0</v>
          </cell>
          <cell r="AA225" t="str">
            <v>0</v>
          </cell>
          <cell r="AB225" t="str">
            <v>0</v>
          </cell>
          <cell r="AC225" t="str">
            <v>0</v>
          </cell>
          <cell r="AD225" t="str">
            <v>0</v>
          </cell>
          <cell r="AE225" t="str">
            <v>0</v>
          </cell>
        </row>
        <row r="226">
          <cell r="D226" t="str">
            <v>07-Aug</v>
          </cell>
          <cell r="E226" t="str">
            <v>0</v>
          </cell>
          <cell r="F226" t="str">
            <v>0</v>
          </cell>
          <cell r="G226" t="str">
            <v>0</v>
          </cell>
          <cell r="H226">
            <v>1</v>
          </cell>
          <cell r="I226" t="str">
            <v>0</v>
          </cell>
          <cell r="J226" t="str">
            <v>0</v>
          </cell>
          <cell r="K226" t="str">
            <v>0</v>
          </cell>
          <cell r="L226" t="str">
            <v>0</v>
          </cell>
          <cell r="M226" t="str">
            <v>0</v>
          </cell>
          <cell r="N226" t="str">
            <v>0</v>
          </cell>
          <cell r="O226" t="str">
            <v>0</v>
          </cell>
          <cell r="P226" t="str">
            <v>0</v>
          </cell>
          <cell r="Q226" t="str">
            <v>0</v>
          </cell>
          <cell r="R226" t="str">
            <v>0</v>
          </cell>
          <cell r="S226" t="str">
            <v>0</v>
          </cell>
          <cell r="T226" t="str">
            <v>0</v>
          </cell>
          <cell r="U226" t="str">
            <v>0</v>
          </cell>
          <cell r="V226">
            <v>3504</v>
          </cell>
          <cell r="W226" t="str">
            <v>0</v>
          </cell>
          <cell r="X226" t="str">
            <v>0</v>
          </cell>
          <cell r="Y226" t="str">
            <v>0</v>
          </cell>
          <cell r="Z226" t="str">
            <v>0</v>
          </cell>
          <cell r="AA226" t="str">
            <v>0</v>
          </cell>
          <cell r="AB226" t="str">
            <v>0</v>
          </cell>
          <cell r="AC226" t="str">
            <v>0</v>
          </cell>
          <cell r="AD226" t="str">
            <v>0</v>
          </cell>
          <cell r="AE226" t="str">
            <v>0</v>
          </cell>
        </row>
        <row r="227">
          <cell r="D227" t="str">
            <v>08-Aug</v>
          </cell>
          <cell r="E227" t="str">
            <v>0</v>
          </cell>
          <cell r="F227" t="str">
            <v>0</v>
          </cell>
          <cell r="G227" t="str">
            <v>0</v>
          </cell>
          <cell r="H227" t="str">
            <v>0</v>
          </cell>
          <cell r="I227" t="str">
            <v>0</v>
          </cell>
          <cell r="J227" t="str">
            <v>0</v>
          </cell>
          <cell r="K227" t="str">
            <v>0</v>
          </cell>
          <cell r="L227" t="str">
            <v>0</v>
          </cell>
          <cell r="M227" t="str">
            <v>0</v>
          </cell>
          <cell r="N227" t="str">
            <v>0</v>
          </cell>
          <cell r="O227" t="str">
            <v>0</v>
          </cell>
          <cell r="P227" t="str">
            <v>0</v>
          </cell>
          <cell r="Q227" t="str">
            <v>0</v>
          </cell>
          <cell r="R227" t="str">
            <v>0</v>
          </cell>
          <cell r="S227" t="str">
            <v>0</v>
          </cell>
          <cell r="T227" t="str">
            <v>0</v>
          </cell>
          <cell r="U227" t="str">
            <v>0</v>
          </cell>
          <cell r="V227" t="str">
            <v>0</v>
          </cell>
          <cell r="W227" t="str">
            <v>0</v>
          </cell>
          <cell r="X227" t="str">
            <v>0</v>
          </cell>
          <cell r="Y227" t="str">
            <v>0</v>
          </cell>
          <cell r="Z227" t="str">
            <v>0</v>
          </cell>
          <cell r="AA227" t="str">
            <v>0</v>
          </cell>
          <cell r="AB227" t="str">
            <v>0</v>
          </cell>
          <cell r="AC227" t="str">
            <v>0</v>
          </cell>
          <cell r="AD227" t="str">
            <v>0</v>
          </cell>
          <cell r="AE227" t="str">
            <v>0</v>
          </cell>
        </row>
        <row r="228">
          <cell r="D228" t="str">
            <v>09-Aug</v>
          </cell>
          <cell r="E228" t="str">
            <v>0</v>
          </cell>
          <cell r="F228" t="str">
            <v>0</v>
          </cell>
          <cell r="G228">
            <v>2</v>
          </cell>
          <cell r="H228" t="str">
            <v>0</v>
          </cell>
          <cell r="I228" t="str">
            <v>0</v>
          </cell>
          <cell r="J228" t="str">
            <v>0</v>
          </cell>
          <cell r="K228">
            <v>1</v>
          </cell>
          <cell r="L228" t="str">
            <v>0</v>
          </cell>
          <cell r="M228" t="str">
            <v>0</v>
          </cell>
          <cell r="N228" t="str">
            <v>0</v>
          </cell>
          <cell r="O228" t="str">
            <v>0</v>
          </cell>
          <cell r="P228" t="str">
            <v>0</v>
          </cell>
          <cell r="Q228" t="str">
            <v>0</v>
          </cell>
          <cell r="R228" t="str">
            <v>0</v>
          </cell>
          <cell r="S228" t="str">
            <v>0</v>
          </cell>
          <cell r="T228" t="str">
            <v>0</v>
          </cell>
          <cell r="U228">
            <v>7050</v>
          </cell>
          <cell r="V228" t="str">
            <v>0</v>
          </cell>
          <cell r="W228" t="str">
            <v>0</v>
          </cell>
          <cell r="X228" t="str">
            <v>0</v>
          </cell>
          <cell r="Y228">
            <v>885</v>
          </cell>
          <cell r="Z228" t="str">
            <v>0</v>
          </cell>
          <cell r="AA228" t="str">
            <v>0</v>
          </cell>
          <cell r="AB228" t="str">
            <v>0</v>
          </cell>
          <cell r="AC228" t="str">
            <v>0</v>
          </cell>
          <cell r="AD228" t="str">
            <v>0</v>
          </cell>
          <cell r="AE228" t="str">
            <v>0</v>
          </cell>
        </row>
        <row r="229">
          <cell r="D229" t="str">
            <v>10-Aug</v>
          </cell>
          <cell r="E229" t="str">
            <v>0</v>
          </cell>
          <cell r="F229" t="str">
            <v>0</v>
          </cell>
          <cell r="G229" t="str">
            <v>0</v>
          </cell>
          <cell r="H229" t="str">
            <v>0</v>
          </cell>
          <cell r="I229" t="str">
            <v>0</v>
          </cell>
          <cell r="J229" t="str">
            <v>0</v>
          </cell>
          <cell r="K229">
            <v>1</v>
          </cell>
          <cell r="L229" t="str">
            <v>0</v>
          </cell>
          <cell r="M229" t="str">
            <v>0</v>
          </cell>
          <cell r="N229" t="str">
            <v>0</v>
          </cell>
          <cell r="O229" t="str">
            <v>0</v>
          </cell>
          <cell r="P229" t="str">
            <v>0</v>
          </cell>
          <cell r="Q229" t="str">
            <v>0</v>
          </cell>
          <cell r="R229" t="str">
            <v>0</v>
          </cell>
          <cell r="S229" t="str">
            <v>0</v>
          </cell>
          <cell r="T229" t="str">
            <v>0</v>
          </cell>
          <cell r="U229" t="str">
            <v>0</v>
          </cell>
          <cell r="V229" t="str">
            <v>0</v>
          </cell>
          <cell r="W229" t="str">
            <v>0</v>
          </cell>
          <cell r="X229" t="str">
            <v>0</v>
          </cell>
          <cell r="Y229">
            <v>1875</v>
          </cell>
          <cell r="Z229" t="str">
            <v>0</v>
          </cell>
          <cell r="AA229" t="str">
            <v>0</v>
          </cell>
          <cell r="AB229" t="str">
            <v>0</v>
          </cell>
          <cell r="AC229" t="str">
            <v>0</v>
          </cell>
          <cell r="AD229" t="str">
            <v>0</v>
          </cell>
          <cell r="AE229" t="str">
            <v>0</v>
          </cell>
        </row>
        <row r="230">
          <cell r="D230" t="str">
            <v>11-Aug</v>
          </cell>
          <cell r="E230" t="str">
            <v>0</v>
          </cell>
          <cell r="F230" t="str">
            <v>0</v>
          </cell>
          <cell r="G230">
            <v>1</v>
          </cell>
          <cell r="H230">
            <v>1</v>
          </cell>
          <cell r="I230" t="str">
            <v>0</v>
          </cell>
          <cell r="J230" t="str">
            <v>0</v>
          </cell>
          <cell r="K230" t="str">
            <v>0</v>
          </cell>
          <cell r="L230" t="str">
            <v>0</v>
          </cell>
          <cell r="M230" t="str">
            <v>0</v>
          </cell>
          <cell r="N230" t="str">
            <v>0</v>
          </cell>
          <cell r="O230" t="str">
            <v>0</v>
          </cell>
          <cell r="P230" t="str">
            <v>0</v>
          </cell>
          <cell r="Q230" t="str">
            <v>0</v>
          </cell>
          <cell r="R230" t="str">
            <v>0</v>
          </cell>
          <cell r="S230" t="str">
            <v>0</v>
          </cell>
          <cell r="T230" t="str">
            <v>0</v>
          </cell>
          <cell r="U230">
            <v>1113</v>
          </cell>
          <cell r="V230">
            <v>1748</v>
          </cell>
          <cell r="W230" t="str">
            <v>0</v>
          </cell>
          <cell r="X230" t="str">
            <v>0</v>
          </cell>
          <cell r="Y230" t="str">
            <v>0</v>
          </cell>
          <cell r="Z230" t="str">
            <v>0</v>
          </cell>
          <cell r="AA230" t="str">
            <v>0</v>
          </cell>
          <cell r="AB230" t="str">
            <v>0</v>
          </cell>
          <cell r="AC230" t="str">
            <v>0</v>
          </cell>
          <cell r="AD230" t="str">
            <v>0</v>
          </cell>
          <cell r="AE230" t="str">
            <v>0</v>
          </cell>
        </row>
        <row r="231">
          <cell r="D231" t="str">
            <v>12-Aug</v>
          </cell>
          <cell r="E231" t="str">
            <v>0</v>
          </cell>
          <cell r="F231" t="str">
            <v>0</v>
          </cell>
          <cell r="G231">
            <v>3</v>
          </cell>
          <cell r="H231" t="str">
            <v>0</v>
          </cell>
          <cell r="I231">
            <v>2</v>
          </cell>
          <cell r="J231" t="str">
            <v>0</v>
          </cell>
          <cell r="K231" t="str">
            <v>0</v>
          </cell>
          <cell r="L231" t="str">
            <v>0</v>
          </cell>
          <cell r="M231" t="str">
            <v>0</v>
          </cell>
          <cell r="N231" t="str">
            <v>0</v>
          </cell>
          <cell r="O231" t="str">
            <v>0</v>
          </cell>
          <cell r="P231" t="str">
            <v>0</v>
          </cell>
          <cell r="Q231" t="str">
            <v>0</v>
          </cell>
          <cell r="R231" t="str">
            <v>0</v>
          </cell>
          <cell r="S231" t="str">
            <v>0</v>
          </cell>
          <cell r="T231" t="str">
            <v>0</v>
          </cell>
          <cell r="U231">
            <v>3891</v>
          </cell>
          <cell r="V231" t="str">
            <v>0</v>
          </cell>
          <cell r="W231">
            <v>4096</v>
          </cell>
          <cell r="X231" t="str">
            <v>0</v>
          </cell>
          <cell r="Y231" t="str">
            <v>0</v>
          </cell>
          <cell r="Z231" t="str">
            <v>0</v>
          </cell>
          <cell r="AA231" t="str">
            <v>0</v>
          </cell>
          <cell r="AB231" t="str">
            <v>0</v>
          </cell>
          <cell r="AC231" t="str">
            <v>0</v>
          </cell>
          <cell r="AD231" t="str">
            <v>0</v>
          </cell>
          <cell r="AE231" t="str">
            <v>0</v>
          </cell>
        </row>
        <row r="232">
          <cell r="D232" t="str">
            <v>13-Aug</v>
          </cell>
          <cell r="E232" t="str">
            <v>0</v>
          </cell>
          <cell r="F232" t="str">
            <v>0</v>
          </cell>
          <cell r="G232">
            <v>3</v>
          </cell>
          <cell r="H232" t="str">
            <v>0</v>
          </cell>
          <cell r="I232">
            <v>1</v>
          </cell>
          <cell r="J232" t="str">
            <v>0</v>
          </cell>
          <cell r="K232" t="str">
            <v>0</v>
          </cell>
          <cell r="L232" t="str">
            <v>0</v>
          </cell>
          <cell r="M232" t="str">
            <v>0</v>
          </cell>
          <cell r="N232" t="str">
            <v>0</v>
          </cell>
          <cell r="O232" t="str">
            <v>0</v>
          </cell>
          <cell r="P232" t="str">
            <v>0</v>
          </cell>
          <cell r="Q232" t="str">
            <v>0</v>
          </cell>
          <cell r="R232" t="str">
            <v>0</v>
          </cell>
          <cell r="S232" t="str">
            <v>0</v>
          </cell>
          <cell r="T232" t="str">
            <v>0</v>
          </cell>
          <cell r="U232">
            <v>6406</v>
          </cell>
          <cell r="V232" t="str">
            <v>0</v>
          </cell>
          <cell r="W232">
            <v>471</v>
          </cell>
          <cell r="X232" t="str">
            <v>0</v>
          </cell>
          <cell r="Y232" t="str">
            <v>0</v>
          </cell>
          <cell r="Z232" t="str">
            <v>0</v>
          </cell>
          <cell r="AA232" t="str">
            <v>0</v>
          </cell>
          <cell r="AB232" t="str">
            <v>0</v>
          </cell>
          <cell r="AC232" t="str">
            <v>0</v>
          </cell>
          <cell r="AD232" t="str">
            <v>0</v>
          </cell>
          <cell r="AE232" t="str">
            <v>0</v>
          </cell>
        </row>
        <row r="233">
          <cell r="D233" t="str">
            <v>14-Aug</v>
          </cell>
          <cell r="E233" t="str">
            <v>0</v>
          </cell>
          <cell r="F233" t="str">
            <v>0</v>
          </cell>
          <cell r="G233">
            <v>2</v>
          </cell>
          <cell r="H233">
            <v>2</v>
          </cell>
          <cell r="I233" t="str">
            <v>0</v>
          </cell>
          <cell r="J233">
            <v>2</v>
          </cell>
          <cell r="K233" t="str">
            <v>0</v>
          </cell>
          <cell r="L233" t="str">
            <v>0</v>
          </cell>
          <cell r="M233" t="str">
            <v>0</v>
          </cell>
          <cell r="N233" t="str">
            <v>0</v>
          </cell>
          <cell r="O233" t="str">
            <v>0</v>
          </cell>
          <cell r="P233" t="str">
            <v>0</v>
          </cell>
          <cell r="Q233" t="str">
            <v>0</v>
          </cell>
          <cell r="R233" t="str">
            <v>0</v>
          </cell>
          <cell r="S233" t="str">
            <v>0</v>
          </cell>
          <cell r="T233" t="str">
            <v>0</v>
          </cell>
          <cell r="U233">
            <v>6403</v>
          </cell>
          <cell r="V233">
            <v>1548</v>
          </cell>
          <cell r="W233" t="str">
            <v>0</v>
          </cell>
          <cell r="X233">
            <v>4212</v>
          </cell>
          <cell r="Y233" t="str">
            <v>0</v>
          </cell>
          <cell r="Z233" t="str">
            <v>0</v>
          </cell>
          <cell r="AA233" t="str">
            <v>0</v>
          </cell>
          <cell r="AB233" t="str">
            <v>0</v>
          </cell>
          <cell r="AC233" t="str">
            <v>0</v>
          </cell>
          <cell r="AD233" t="str">
            <v>0</v>
          </cell>
          <cell r="AE233" t="str">
            <v>0</v>
          </cell>
        </row>
        <row r="234">
          <cell r="D234" t="str">
            <v>15-Aug</v>
          </cell>
          <cell r="E234">
            <v>1</v>
          </cell>
          <cell r="F234" t="str">
            <v>0</v>
          </cell>
          <cell r="G234">
            <v>2</v>
          </cell>
          <cell r="H234">
            <v>2</v>
          </cell>
          <cell r="I234">
            <v>1</v>
          </cell>
          <cell r="J234" t="str">
            <v>0</v>
          </cell>
          <cell r="K234" t="str">
            <v>0</v>
          </cell>
          <cell r="L234" t="str">
            <v>0</v>
          </cell>
          <cell r="M234" t="str">
            <v>0</v>
          </cell>
          <cell r="N234" t="str">
            <v>0</v>
          </cell>
          <cell r="O234" t="str">
            <v>0</v>
          </cell>
          <cell r="P234" t="str">
            <v>0</v>
          </cell>
          <cell r="Q234" t="str">
            <v>0</v>
          </cell>
          <cell r="R234" t="str">
            <v>0</v>
          </cell>
          <cell r="S234">
            <v>680</v>
          </cell>
          <cell r="T234" t="str">
            <v>0</v>
          </cell>
          <cell r="U234">
            <v>3957</v>
          </cell>
          <cell r="V234">
            <v>4429</v>
          </cell>
          <cell r="W234">
            <v>419</v>
          </cell>
          <cell r="X234" t="str">
            <v>0</v>
          </cell>
          <cell r="Y234" t="str">
            <v>0</v>
          </cell>
          <cell r="Z234" t="str">
            <v>0</v>
          </cell>
          <cell r="AA234" t="str">
            <v>0</v>
          </cell>
          <cell r="AB234" t="str">
            <v>0</v>
          </cell>
          <cell r="AC234" t="str">
            <v>0</v>
          </cell>
          <cell r="AD234" t="str">
            <v>0</v>
          </cell>
          <cell r="AE234" t="str">
            <v>0</v>
          </cell>
        </row>
        <row r="235">
          <cell r="D235" t="str">
            <v>16-Aug</v>
          </cell>
          <cell r="E235" t="str">
            <v>0</v>
          </cell>
          <cell r="F235" t="str">
            <v>0</v>
          </cell>
          <cell r="G235" t="str">
            <v>0</v>
          </cell>
          <cell r="H235" t="str">
            <v>0</v>
          </cell>
          <cell r="I235" t="str">
            <v>0</v>
          </cell>
          <cell r="J235" t="str">
            <v>0</v>
          </cell>
          <cell r="K235">
            <v>4</v>
          </cell>
          <cell r="L235" t="str">
            <v>0</v>
          </cell>
          <cell r="M235" t="str">
            <v>0</v>
          </cell>
          <cell r="N235" t="str">
            <v>0</v>
          </cell>
          <cell r="O235" t="str">
            <v>0</v>
          </cell>
          <cell r="P235" t="str">
            <v>0</v>
          </cell>
          <cell r="Q235" t="str">
            <v>0</v>
          </cell>
          <cell r="R235" t="str">
            <v>0</v>
          </cell>
          <cell r="S235" t="str">
            <v>0</v>
          </cell>
          <cell r="T235" t="str">
            <v>0</v>
          </cell>
          <cell r="U235" t="str">
            <v>0</v>
          </cell>
          <cell r="V235" t="str">
            <v>0</v>
          </cell>
          <cell r="W235" t="str">
            <v>0</v>
          </cell>
          <cell r="X235" t="str">
            <v>0</v>
          </cell>
          <cell r="Y235">
            <v>6795</v>
          </cell>
          <cell r="Z235" t="str">
            <v>0</v>
          </cell>
          <cell r="AA235" t="str">
            <v>0</v>
          </cell>
          <cell r="AB235" t="str">
            <v>0</v>
          </cell>
          <cell r="AC235" t="str">
            <v>0</v>
          </cell>
          <cell r="AD235" t="str">
            <v>0</v>
          </cell>
          <cell r="AE235" t="str">
            <v>0</v>
          </cell>
        </row>
        <row r="236">
          <cell r="D236" t="str">
            <v>17-Aug</v>
          </cell>
          <cell r="E236">
            <v>2</v>
          </cell>
          <cell r="F236" t="str">
            <v>0</v>
          </cell>
          <cell r="G236">
            <v>3</v>
          </cell>
          <cell r="H236" t="str">
            <v>0</v>
          </cell>
          <cell r="I236">
            <v>2</v>
          </cell>
          <cell r="J236" t="str">
            <v>0</v>
          </cell>
          <cell r="K236">
            <v>2</v>
          </cell>
          <cell r="L236" t="str">
            <v>0</v>
          </cell>
          <cell r="M236" t="str">
            <v>0</v>
          </cell>
          <cell r="N236" t="str">
            <v>0</v>
          </cell>
          <cell r="O236" t="str">
            <v>0</v>
          </cell>
          <cell r="P236" t="str">
            <v>0</v>
          </cell>
          <cell r="Q236" t="str">
            <v>0</v>
          </cell>
          <cell r="R236" t="str">
            <v>0</v>
          </cell>
          <cell r="S236">
            <v>4136</v>
          </cell>
          <cell r="T236" t="str">
            <v>0</v>
          </cell>
          <cell r="U236">
            <v>5429</v>
          </cell>
          <cell r="V236" t="str">
            <v>0</v>
          </cell>
          <cell r="W236">
            <v>3365</v>
          </cell>
          <cell r="X236" t="str">
            <v>0</v>
          </cell>
          <cell r="Y236">
            <v>5071</v>
          </cell>
          <cell r="Z236" t="str">
            <v>0</v>
          </cell>
          <cell r="AA236" t="str">
            <v>0</v>
          </cell>
          <cell r="AB236" t="str">
            <v>0</v>
          </cell>
          <cell r="AC236" t="str">
            <v>0</v>
          </cell>
          <cell r="AD236" t="str">
            <v>0</v>
          </cell>
          <cell r="AE236" t="str">
            <v>0</v>
          </cell>
        </row>
        <row r="237">
          <cell r="D237" t="str">
            <v>18-Aug</v>
          </cell>
          <cell r="E237" t="str">
            <v>0</v>
          </cell>
          <cell r="F237" t="str">
            <v>0</v>
          </cell>
          <cell r="G237">
            <v>2</v>
          </cell>
          <cell r="H237" t="str">
            <v>0</v>
          </cell>
          <cell r="I237">
            <v>3</v>
          </cell>
          <cell r="J237">
            <v>1</v>
          </cell>
          <cell r="K237">
            <v>1</v>
          </cell>
          <cell r="L237" t="str">
            <v>0</v>
          </cell>
          <cell r="M237" t="str">
            <v>0</v>
          </cell>
          <cell r="N237" t="str">
            <v>0</v>
          </cell>
          <cell r="O237" t="str">
            <v>0</v>
          </cell>
          <cell r="P237" t="str">
            <v>0</v>
          </cell>
          <cell r="Q237" t="str">
            <v>0</v>
          </cell>
          <cell r="R237" t="str">
            <v>0</v>
          </cell>
          <cell r="S237" t="str">
            <v>0</v>
          </cell>
          <cell r="T237" t="str">
            <v>0</v>
          </cell>
          <cell r="U237">
            <v>1520</v>
          </cell>
          <cell r="V237" t="str">
            <v>0</v>
          </cell>
          <cell r="W237">
            <v>1508</v>
          </cell>
          <cell r="X237">
            <v>1140</v>
          </cell>
          <cell r="Y237">
            <v>3750</v>
          </cell>
          <cell r="Z237" t="str">
            <v>0</v>
          </cell>
          <cell r="AA237" t="str">
            <v>0</v>
          </cell>
          <cell r="AB237" t="str">
            <v>0</v>
          </cell>
          <cell r="AC237" t="str">
            <v>0</v>
          </cell>
          <cell r="AD237" t="str">
            <v>0</v>
          </cell>
          <cell r="AE237" t="str">
            <v>0</v>
          </cell>
        </row>
        <row r="238">
          <cell r="D238" t="str">
            <v>19-Aug</v>
          </cell>
          <cell r="E238" t="str">
            <v>0</v>
          </cell>
          <cell r="F238" t="str">
            <v>0</v>
          </cell>
          <cell r="G238" t="str">
            <v>0</v>
          </cell>
          <cell r="H238" t="str">
            <v>0</v>
          </cell>
          <cell r="I238" t="str">
            <v>0</v>
          </cell>
          <cell r="J238" t="str">
            <v>0</v>
          </cell>
          <cell r="K238">
            <v>1</v>
          </cell>
          <cell r="L238" t="str">
            <v>0</v>
          </cell>
          <cell r="M238" t="str">
            <v>0</v>
          </cell>
          <cell r="N238" t="str">
            <v>0</v>
          </cell>
          <cell r="O238" t="str">
            <v>0</v>
          </cell>
          <cell r="P238" t="str">
            <v>0</v>
          </cell>
          <cell r="Q238" t="str">
            <v>0</v>
          </cell>
          <cell r="R238" t="str">
            <v>0</v>
          </cell>
          <cell r="S238" t="str">
            <v>0</v>
          </cell>
          <cell r="T238" t="str">
            <v>0</v>
          </cell>
          <cell r="U238" t="str">
            <v>0</v>
          </cell>
          <cell r="V238" t="str">
            <v>0</v>
          </cell>
          <cell r="W238" t="str">
            <v>0</v>
          </cell>
          <cell r="X238" t="str">
            <v>0</v>
          </cell>
          <cell r="Y238">
            <v>912</v>
          </cell>
          <cell r="Z238" t="str">
            <v>0</v>
          </cell>
          <cell r="AA238" t="str">
            <v>0</v>
          </cell>
          <cell r="AB238" t="str">
            <v>0</v>
          </cell>
          <cell r="AC238" t="str">
            <v>0</v>
          </cell>
          <cell r="AD238" t="str">
            <v>0</v>
          </cell>
          <cell r="AE238" t="str">
            <v>0</v>
          </cell>
        </row>
        <row r="239">
          <cell r="D239" t="str">
            <v>20-Aug</v>
          </cell>
          <cell r="E239" t="str">
            <v>0</v>
          </cell>
          <cell r="F239" t="str">
            <v>0</v>
          </cell>
          <cell r="G239">
            <v>1</v>
          </cell>
          <cell r="H239">
            <v>4</v>
          </cell>
          <cell r="I239">
            <v>3</v>
          </cell>
          <cell r="J239" t="str">
            <v>0</v>
          </cell>
          <cell r="K239" t="str">
            <v>0</v>
          </cell>
          <cell r="L239" t="str">
            <v>0</v>
          </cell>
          <cell r="M239" t="str">
            <v>0</v>
          </cell>
          <cell r="N239" t="str">
            <v>0</v>
          </cell>
          <cell r="O239" t="str">
            <v>0</v>
          </cell>
          <cell r="P239" t="str">
            <v>0</v>
          </cell>
          <cell r="Q239" t="str">
            <v>0</v>
          </cell>
          <cell r="R239" t="str">
            <v>0</v>
          </cell>
          <cell r="S239" t="str">
            <v>0</v>
          </cell>
          <cell r="T239" t="str">
            <v>0</v>
          </cell>
          <cell r="U239">
            <v>2235</v>
          </cell>
          <cell r="V239">
            <v>4608</v>
          </cell>
          <cell r="W239">
            <v>1942</v>
          </cell>
          <cell r="X239" t="str">
            <v>0</v>
          </cell>
          <cell r="Y239" t="str">
            <v>0</v>
          </cell>
          <cell r="Z239" t="str">
            <v>0</v>
          </cell>
          <cell r="AA239" t="str">
            <v>0</v>
          </cell>
          <cell r="AB239" t="str">
            <v>0</v>
          </cell>
          <cell r="AC239" t="str">
            <v>0</v>
          </cell>
          <cell r="AD239" t="str">
            <v>0</v>
          </cell>
          <cell r="AE239" t="str">
            <v>0</v>
          </cell>
        </row>
        <row r="240">
          <cell r="D240" t="str">
            <v>21-Aug</v>
          </cell>
          <cell r="E240" t="str">
            <v>0</v>
          </cell>
          <cell r="F240" t="str">
            <v>0</v>
          </cell>
          <cell r="G240" t="str">
            <v>0</v>
          </cell>
          <cell r="H240" t="str">
            <v>0</v>
          </cell>
          <cell r="I240" t="str">
            <v>0</v>
          </cell>
          <cell r="J240" t="str">
            <v>0</v>
          </cell>
          <cell r="K240">
            <v>4</v>
          </cell>
          <cell r="L240" t="str">
            <v>0</v>
          </cell>
          <cell r="M240" t="str">
            <v>0</v>
          </cell>
          <cell r="N240" t="str">
            <v>0</v>
          </cell>
          <cell r="O240" t="str">
            <v>0</v>
          </cell>
          <cell r="P240" t="str">
            <v>0</v>
          </cell>
          <cell r="Q240" t="str">
            <v>0</v>
          </cell>
          <cell r="R240" t="str">
            <v>0</v>
          </cell>
          <cell r="S240" t="str">
            <v>0</v>
          </cell>
          <cell r="T240" t="str">
            <v>0</v>
          </cell>
          <cell r="U240" t="str">
            <v>0</v>
          </cell>
          <cell r="V240" t="str">
            <v>0</v>
          </cell>
          <cell r="W240" t="str">
            <v>0</v>
          </cell>
          <cell r="X240" t="str">
            <v>0</v>
          </cell>
          <cell r="Y240">
            <v>11489</v>
          </cell>
          <cell r="Z240" t="str">
            <v>0</v>
          </cell>
          <cell r="AA240" t="str">
            <v>0</v>
          </cell>
          <cell r="AB240" t="str">
            <v>0</v>
          </cell>
          <cell r="AC240" t="str">
            <v>0</v>
          </cell>
          <cell r="AD240" t="str">
            <v>0</v>
          </cell>
          <cell r="AE240" t="str">
            <v>0</v>
          </cell>
        </row>
        <row r="241">
          <cell r="D241" t="str">
            <v>22-Aug</v>
          </cell>
          <cell r="E241" t="str">
            <v>0</v>
          </cell>
          <cell r="F241" t="str">
            <v>0</v>
          </cell>
          <cell r="G241">
            <v>1</v>
          </cell>
          <cell r="H241" t="str">
            <v>0</v>
          </cell>
          <cell r="I241">
            <v>1</v>
          </cell>
          <cell r="J241" t="str">
            <v>0</v>
          </cell>
          <cell r="K241">
            <v>2</v>
          </cell>
          <cell r="L241" t="str">
            <v>0</v>
          </cell>
          <cell r="M241" t="str">
            <v>0</v>
          </cell>
          <cell r="N241" t="str">
            <v>0</v>
          </cell>
          <cell r="O241" t="str">
            <v>0</v>
          </cell>
          <cell r="P241" t="str">
            <v>0</v>
          </cell>
          <cell r="Q241" t="str">
            <v>0</v>
          </cell>
          <cell r="R241" t="str">
            <v>0</v>
          </cell>
          <cell r="S241" t="str">
            <v>0</v>
          </cell>
          <cell r="T241" t="str">
            <v>0</v>
          </cell>
          <cell r="U241">
            <v>1140</v>
          </cell>
          <cell r="V241" t="str">
            <v>0</v>
          </cell>
          <cell r="W241">
            <v>1032</v>
          </cell>
          <cell r="X241" t="str">
            <v>0</v>
          </cell>
          <cell r="Y241">
            <v>2280</v>
          </cell>
          <cell r="Z241" t="str">
            <v>0</v>
          </cell>
          <cell r="AA241" t="str">
            <v>0</v>
          </cell>
          <cell r="AB241" t="str">
            <v>0</v>
          </cell>
          <cell r="AC241" t="str">
            <v>0</v>
          </cell>
          <cell r="AD241" t="str">
            <v>0</v>
          </cell>
          <cell r="AE241" t="str">
            <v>0</v>
          </cell>
        </row>
        <row r="242">
          <cell r="D242" t="str">
            <v>23-Aug</v>
          </cell>
          <cell r="E242" t="str">
            <v>0</v>
          </cell>
          <cell r="F242" t="str">
            <v>0</v>
          </cell>
          <cell r="G242">
            <v>1</v>
          </cell>
          <cell r="H242" t="str">
            <v>0</v>
          </cell>
          <cell r="I242">
            <v>3</v>
          </cell>
          <cell r="J242" t="str">
            <v>0</v>
          </cell>
          <cell r="K242">
            <v>1</v>
          </cell>
          <cell r="L242" t="str">
            <v>0</v>
          </cell>
          <cell r="M242" t="str">
            <v>0</v>
          </cell>
          <cell r="N242" t="str">
            <v>0</v>
          </cell>
          <cell r="O242" t="str">
            <v>0</v>
          </cell>
          <cell r="P242" t="str">
            <v>0</v>
          </cell>
          <cell r="Q242" t="str">
            <v>0</v>
          </cell>
          <cell r="R242" t="str">
            <v>0</v>
          </cell>
          <cell r="S242" t="str">
            <v>0</v>
          </cell>
          <cell r="T242" t="str">
            <v>0</v>
          </cell>
          <cell r="U242">
            <v>1976</v>
          </cell>
          <cell r="V242" t="str">
            <v>0</v>
          </cell>
          <cell r="W242">
            <v>2047</v>
          </cell>
          <cell r="X242" t="str">
            <v>0</v>
          </cell>
          <cell r="Y242">
            <v>1170</v>
          </cell>
          <cell r="Z242" t="str">
            <v>0</v>
          </cell>
          <cell r="AA242" t="str">
            <v>0</v>
          </cell>
          <cell r="AB242" t="str">
            <v>0</v>
          </cell>
          <cell r="AC242" t="str">
            <v>0</v>
          </cell>
          <cell r="AD242" t="str">
            <v>0</v>
          </cell>
          <cell r="AE242" t="str">
            <v>0</v>
          </cell>
        </row>
        <row r="243">
          <cell r="D243" t="str">
            <v>24-Aug</v>
          </cell>
          <cell r="E243">
            <v>1</v>
          </cell>
          <cell r="F243" t="str">
            <v>0</v>
          </cell>
          <cell r="G243" t="str">
            <v>0</v>
          </cell>
          <cell r="H243" t="str">
            <v>0</v>
          </cell>
          <cell r="I243" t="str">
            <v>0</v>
          </cell>
          <cell r="J243" t="str">
            <v>0</v>
          </cell>
          <cell r="K243">
            <v>1</v>
          </cell>
          <cell r="L243" t="str">
            <v>0</v>
          </cell>
          <cell r="M243" t="str">
            <v>0</v>
          </cell>
          <cell r="N243" t="str">
            <v>0</v>
          </cell>
          <cell r="O243" t="str">
            <v>0</v>
          </cell>
          <cell r="P243" t="str">
            <v>0</v>
          </cell>
          <cell r="Q243" t="str">
            <v>0</v>
          </cell>
          <cell r="R243" t="str">
            <v>0</v>
          </cell>
          <cell r="S243">
            <v>638</v>
          </cell>
          <cell r="T243" t="str">
            <v>0</v>
          </cell>
          <cell r="U243" t="str">
            <v>0</v>
          </cell>
          <cell r="V243" t="str">
            <v>0</v>
          </cell>
          <cell r="W243" t="str">
            <v>0</v>
          </cell>
          <cell r="X243" t="str">
            <v>0</v>
          </cell>
          <cell r="Y243">
            <v>4740</v>
          </cell>
          <cell r="Z243" t="str">
            <v>0</v>
          </cell>
          <cell r="AA243" t="str">
            <v>0</v>
          </cell>
          <cell r="AB243" t="str">
            <v>0</v>
          </cell>
          <cell r="AC243" t="str">
            <v>0</v>
          </cell>
          <cell r="AD243" t="str">
            <v>0</v>
          </cell>
          <cell r="AE243" t="str">
            <v>0</v>
          </cell>
        </row>
        <row r="244">
          <cell r="D244" t="str">
            <v>25-Aug</v>
          </cell>
          <cell r="E244" t="str">
            <v>0</v>
          </cell>
          <cell r="F244" t="str">
            <v>0</v>
          </cell>
          <cell r="G244" t="str">
            <v>0</v>
          </cell>
          <cell r="H244" t="str">
            <v>0</v>
          </cell>
          <cell r="I244">
            <v>1</v>
          </cell>
          <cell r="J244" t="str">
            <v>0</v>
          </cell>
          <cell r="K244" t="str">
            <v>0</v>
          </cell>
          <cell r="L244" t="str">
            <v>0</v>
          </cell>
          <cell r="M244" t="str">
            <v>0</v>
          </cell>
          <cell r="N244" t="str">
            <v>0</v>
          </cell>
          <cell r="O244" t="str">
            <v>0</v>
          </cell>
          <cell r="P244" t="str">
            <v>0</v>
          </cell>
          <cell r="Q244" t="str">
            <v>0</v>
          </cell>
          <cell r="R244" t="str">
            <v>0</v>
          </cell>
          <cell r="S244" t="str">
            <v>0</v>
          </cell>
          <cell r="T244" t="str">
            <v>0</v>
          </cell>
          <cell r="U244" t="str">
            <v>0</v>
          </cell>
          <cell r="V244" t="str">
            <v>0</v>
          </cell>
          <cell r="W244">
            <v>2361</v>
          </cell>
          <cell r="X244" t="str">
            <v>0</v>
          </cell>
          <cell r="Y244" t="str">
            <v>0</v>
          </cell>
          <cell r="Z244" t="str">
            <v>0</v>
          </cell>
          <cell r="AA244" t="str">
            <v>0</v>
          </cell>
          <cell r="AB244" t="str">
            <v>0</v>
          </cell>
          <cell r="AC244" t="str">
            <v>0</v>
          </cell>
          <cell r="AD244" t="str">
            <v>0</v>
          </cell>
          <cell r="AE244" t="str">
            <v>0</v>
          </cell>
        </row>
        <row r="245">
          <cell r="D245" t="str">
            <v>26-Aug</v>
          </cell>
          <cell r="E245" t="str">
            <v>0</v>
          </cell>
          <cell r="F245" t="str">
            <v>0</v>
          </cell>
          <cell r="G245">
            <v>1</v>
          </cell>
          <cell r="H245" t="str">
            <v>0</v>
          </cell>
          <cell r="I245" t="str">
            <v>0</v>
          </cell>
          <cell r="J245" t="str">
            <v>0</v>
          </cell>
          <cell r="K245">
            <v>6</v>
          </cell>
          <cell r="L245" t="str">
            <v>0</v>
          </cell>
          <cell r="M245" t="str">
            <v>0</v>
          </cell>
          <cell r="N245" t="str">
            <v>0</v>
          </cell>
          <cell r="O245" t="str">
            <v>0</v>
          </cell>
          <cell r="P245" t="str">
            <v>0</v>
          </cell>
          <cell r="Q245" t="str">
            <v>0</v>
          </cell>
          <cell r="R245" t="str">
            <v>0</v>
          </cell>
          <cell r="S245" t="str">
            <v>0</v>
          </cell>
          <cell r="T245" t="str">
            <v>0</v>
          </cell>
          <cell r="U245">
            <v>1444</v>
          </cell>
          <cell r="V245" t="str">
            <v>0</v>
          </cell>
          <cell r="W245" t="str">
            <v>0</v>
          </cell>
          <cell r="X245" t="str">
            <v>0</v>
          </cell>
          <cell r="Y245">
            <v>2927</v>
          </cell>
          <cell r="Z245" t="str">
            <v>0</v>
          </cell>
          <cell r="AA245" t="str">
            <v>0</v>
          </cell>
          <cell r="AB245" t="str">
            <v>0</v>
          </cell>
          <cell r="AC245" t="str">
            <v>0</v>
          </cell>
          <cell r="AD245" t="str">
            <v>0</v>
          </cell>
          <cell r="AE245" t="str">
            <v>0</v>
          </cell>
        </row>
        <row r="246">
          <cell r="D246" t="str">
            <v>27-Aug</v>
          </cell>
          <cell r="E246" t="str">
            <v>0</v>
          </cell>
          <cell r="F246" t="str">
            <v>0</v>
          </cell>
          <cell r="G246" t="str">
            <v>0</v>
          </cell>
          <cell r="H246" t="str">
            <v>0</v>
          </cell>
          <cell r="I246" t="str">
            <v>0</v>
          </cell>
          <cell r="J246" t="str">
            <v>0</v>
          </cell>
          <cell r="K246">
            <v>2</v>
          </cell>
          <cell r="L246" t="str">
            <v>0</v>
          </cell>
          <cell r="M246" t="str">
            <v>0</v>
          </cell>
          <cell r="N246" t="str">
            <v>0</v>
          </cell>
          <cell r="O246" t="str">
            <v>0</v>
          </cell>
          <cell r="P246" t="str">
            <v>0</v>
          </cell>
          <cell r="Q246" t="str">
            <v>0</v>
          </cell>
          <cell r="R246" t="str">
            <v>0</v>
          </cell>
          <cell r="S246" t="str">
            <v>0</v>
          </cell>
          <cell r="T246" t="str">
            <v>0</v>
          </cell>
          <cell r="U246" t="str">
            <v>0</v>
          </cell>
          <cell r="V246" t="str">
            <v>0</v>
          </cell>
          <cell r="W246" t="str">
            <v>0</v>
          </cell>
          <cell r="X246" t="str">
            <v>0</v>
          </cell>
          <cell r="Y246">
            <v>4252</v>
          </cell>
          <cell r="Z246" t="str">
            <v>0</v>
          </cell>
          <cell r="AA246" t="str">
            <v>0</v>
          </cell>
          <cell r="AB246" t="str">
            <v>0</v>
          </cell>
          <cell r="AC246" t="str">
            <v>0</v>
          </cell>
          <cell r="AD246" t="str">
            <v>0</v>
          </cell>
          <cell r="AE246" t="str">
            <v>0</v>
          </cell>
        </row>
        <row r="247">
          <cell r="D247" t="str">
            <v>28-Aug</v>
          </cell>
          <cell r="E247">
            <v>1</v>
          </cell>
          <cell r="F247" t="str">
            <v>0</v>
          </cell>
          <cell r="G247" t="str">
            <v>0</v>
          </cell>
          <cell r="H247" t="str">
            <v>0</v>
          </cell>
          <cell r="I247" t="str">
            <v>0</v>
          </cell>
          <cell r="J247" t="str">
            <v>0</v>
          </cell>
          <cell r="K247" t="str">
            <v>0</v>
          </cell>
          <cell r="L247" t="str">
            <v>0</v>
          </cell>
          <cell r="M247" t="str">
            <v>0</v>
          </cell>
          <cell r="N247" t="str">
            <v>0</v>
          </cell>
          <cell r="O247" t="str">
            <v>0</v>
          </cell>
          <cell r="P247" t="str">
            <v>0</v>
          </cell>
          <cell r="Q247" t="str">
            <v>0</v>
          </cell>
          <cell r="R247" t="str">
            <v>0</v>
          </cell>
          <cell r="S247">
            <v>1387</v>
          </cell>
          <cell r="T247" t="str">
            <v>0</v>
          </cell>
          <cell r="U247" t="str">
            <v>0</v>
          </cell>
          <cell r="V247" t="str">
            <v>0</v>
          </cell>
          <cell r="W247" t="str">
            <v>0</v>
          </cell>
          <cell r="X247" t="str">
            <v>0</v>
          </cell>
          <cell r="Y247" t="str">
            <v>0</v>
          </cell>
          <cell r="Z247" t="str">
            <v>0</v>
          </cell>
          <cell r="AA247" t="str">
            <v>0</v>
          </cell>
          <cell r="AB247" t="str">
            <v>0</v>
          </cell>
          <cell r="AC247" t="str">
            <v>0</v>
          </cell>
          <cell r="AD247" t="str">
            <v>0</v>
          </cell>
          <cell r="AE247" t="str">
            <v>0</v>
          </cell>
        </row>
        <row r="248">
          <cell r="D248" t="str">
            <v>29-Aug</v>
          </cell>
          <cell r="E248" t="str">
            <v>0</v>
          </cell>
          <cell r="F248" t="str">
            <v>0</v>
          </cell>
          <cell r="G248" t="str">
            <v>0</v>
          </cell>
          <cell r="H248" t="str">
            <v>0</v>
          </cell>
          <cell r="I248" t="str">
            <v>0</v>
          </cell>
          <cell r="J248" t="str">
            <v>0</v>
          </cell>
          <cell r="K248" t="str">
            <v>0</v>
          </cell>
          <cell r="L248" t="str">
            <v>0</v>
          </cell>
          <cell r="M248" t="str">
            <v>0</v>
          </cell>
          <cell r="N248" t="str">
            <v>0</v>
          </cell>
          <cell r="O248" t="str">
            <v>0</v>
          </cell>
          <cell r="P248" t="str">
            <v>0</v>
          </cell>
          <cell r="Q248" t="str">
            <v>0</v>
          </cell>
          <cell r="R248" t="str">
            <v>0</v>
          </cell>
          <cell r="S248" t="str">
            <v>0</v>
          </cell>
          <cell r="T248" t="str">
            <v>0</v>
          </cell>
          <cell r="U248" t="str">
            <v>0</v>
          </cell>
          <cell r="V248" t="str">
            <v>0</v>
          </cell>
          <cell r="W248" t="str">
            <v>0</v>
          </cell>
          <cell r="X248" t="str">
            <v>0</v>
          </cell>
          <cell r="Y248" t="str">
            <v>0</v>
          </cell>
          <cell r="Z248" t="str">
            <v>0</v>
          </cell>
          <cell r="AA248" t="str">
            <v>0</v>
          </cell>
          <cell r="AB248" t="str">
            <v>0</v>
          </cell>
          <cell r="AC248" t="str">
            <v>0</v>
          </cell>
          <cell r="AD248" t="str">
            <v>0</v>
          </cell>
          <cell r="AE248" t="str">
            <v>0</v>
          </cell>
        </row>
        <row r="249">
          <cell r="D249" t="str">
            <v>30-Aug</v>
          </cell>
          <cell r="E249" t="str">
            <v>0</v>
          </cell>
          <cell r="F249" t="str">
            <v>0</v>
          </cell>
          <cell r="G249" t="str">
            <v>0</v>
          </cell>
          <cell r="H249">
            <v>2</v>
          </cell>
          <cell r="I249" t="str">
            <v>0</v>
          </cell>
          <cell r="J249" t="str">
            <v>0</v>
          </cell>
          <cell r="K249" t="str">
            <v>0</v>
          </cell>
          <cell r="L249" t="str">
            <v>0</v>
          </cell>
          <cell r="M249" t="str">
            <v>0</v>
          </cell>
          <cell r="N249" t="str">
            <v>0</v>
          </cell>
          <cell r="O249" t="str">
            <v>0</v>
          </cell>
          <cell r="P249" t="str">
            <v>0</v>
          </cell>
          <cell r="Q249" t="str">
            <v>0</v>
          </cell>
          <cell r="R249" t="str">
            <v>0</v>
          </cell>
          <cell r="S249" t="str">
            <v>0</v>
          </cell>
          <cell r="T249" t="str">
            <v>0</v>
          </cell>
          <cell r="U249" t="str">
            <v>0</v>
          </cell>
          <cell r="V249">
            <v>6457</v>
          </cell>
          <cell r="W249" t="str">
            <v>0</v>
          </cell>
          <cell r="X249" t="str">
            <v>0</v>
          </cell>
          <cell r="Y249" t="str">
            <v>0</v>
          </cell>
          <cell r="Z249" t="str">
            <v>0</v>
          </cell>
          <cell r="AA249" t="str">
            <v>0</v>
          </cell>
          <cell r="AB249" t="str">
            <v>0</v>
          </cell>
          <cell r="AC249" t="str">
            <v>0</v>
          </cell>
          <cell r="AD249" t="str">
            <v>0</v>
          </cell>
          <cell r="AE249" t="str">
            <v>0</v>
          </cell>
        </row>
        <row r="250">
          <cell r="D250" t="str">
            <v>31-Aug</v>
          </cell>
          <cell r="E250" t="str">
            <v>0</v>
          </cell>
          <cell r="F250" t="str">
            <v>0</v>
          </cell>
          <cell r="G250" t="str">
            <v>0</v>
          </cell>
          <cell r="H250" t="str">
            <v>0</v>
          </cell>
          <cell r="I250" t="str">
            <v>0</v>
          </cell>
          <cell r="J250" t="str">
            <v>0</v>
          </cell>
          <cell r="K250" t="str">
            <v>0</v>
          </cell>
          <cell r="L250" t="str">
            <v>0</v>
          </cell>
          <cell r="M250" t="str">
            <v>0</v>
          </cell>
          <cell r="N250" t="str">
            <v>0</v>
          </cell>
          <cell r="O250" t="str">
            <v>0</v>
          </cell>
          <cell r="P250" t="str">
            <v>0</v>
          </cell>
          <cell r="Q250" t="str">
            <v>0</v>
          </cell>
          <cell r="R250" t="str">
            <v>0</v>
          </cell>
          <cell r="S250" t="str">
            <v>0</v>
          </cell>
          <cell r="T250" t="str">
            <v>0</v>
          </cell>
          <cell r="U250" t="str">
            <v>0</v>
          </cell>
          <cell r="V250" t="str">
            <v>0</v>
          </cell>
          <cell r="W250" t="str">
            <v>0</v>
          </cell>
          <cell r="X250" t="str">
            <v>0</v>
          </cell>
          <cell r="Y250" t="str">
            <v>0</v>
          </cell>
          <cell r="Z250" t="str">
            <v>0</v>
          </cell>
          <cell r="AA250" t="str">
            <v>0</v>
          </cell>
          <cell r="AB250" t="str">
            <v>0</v>
          </cell>
          <cell r="AC250" t="str">
            <v>0</v>
          </cell>
          <cell r="AD250" t="str">
            <v>0</v>
          </cell>
          <cell r="AE250" t="str">
            <v>0</v>
          </cell>
        </row>
        <row r="251">
          <cell r="D251" t="str">
            <v>01-Sep</v>
          </cell>
          <cell r="E251" t="str">
            <v>0</v>
          </cell>
          <cell r="F251" t="str">
            <v>0</v>
          </cell>
          <cell r="G251">
            <v>1</v>
          </cell>
          <cell r="H251">
            <v>3</v>
          </cell>
          <cell r="I251" t="str">
            <v>0</v>
          </cell>
          <cell r="J251" t="str">
            <v>0</v>
          </cell>
          <cell r="K251" t="str">
            <v>0</v>
          </cell>
          <cell r="L251" t="str">
            <v>0</v>
          </cell>
          <cell r="M251" t="str">
            <v>0</v>
          </cell>
          <cell r="N251" t="str">
            <v>0</v>
          </cell>
          <cell r="O251" t="str">
            <v>0</v>
          </cell>
          <cell r="P251" t="str">
            <v>0</v>
          </cell>
          <cell r="Q251" t="str">
            <v>0</v>
          </cell>
          <cell r="R251" t="str">
            <v>0</v>
          </cell>
          <cell r="S251" t="str">
            <v>0</v>
          </cell>
          <cell r="T251" t="str">
            <v>0</v>
          </cell>
          <cell r="U251">
            <v>1216</v>
          </cell>
          <cell r="V251">
            <v>4309</v>
          </cell>
          <cell r="W251" t="str">
            <v>0</v>
          </cell>
          <cell r="X251" t="str">
            <v>0</v>
          </cell>
          <cell r="Y251" t="str">
            <v>0</v>
          </cell>
          <cell r="Z251" t="str">
            <v>0</v>
          </cell>
          <cell r="AA251" t="str">
            <v>0</v>
          </cell>
          <cell r="AB251" t="str">
            <v>0</v>
          </cell>
          <cell r="AC251" t="str">
            <v>0</v>
          </cell>
          <cell r="AD251" t="str">
            <v>0</v>
          </cell>
          <cell r="AE251" t="str">
            <v>0</v>
          </cell>
        </row>
        <row r="252">
          <cell r="D252" t="str">
            <v>02-Sep</v>
          </cell>
          <cell r="E252" t="str">
            <v>0</v>
          </cell>
          <cell r="F252" t="str">
            <v>0</v>
          </cell>
          <cell r="G252" t="str">
            <v>0</v>
          </cell>
          <cell r="H252">
            <v>1</v>
          </cell>
          <cell r="I252">
            <v>1</v>
          </cell>
          <cell r="J252">
            <v>2</v>
          </cell>
          <cell r="K252">
            <v>1</v>
          </cell>
          <cell r="L252" t="str">
            <v>0</v>
          </cell>
          <cell r="M252" t="str">
            <v>0</v>
          </cell>
          <cell r="N252" t="str">
            <v>0</v>
          </cell>
          <cell r="O252" t="str">
            <v>0</v>
          </cell>
          <cell r="P252" t="str">
            <v>0</v>
          </cell>
          <cell r="Q252" t="str">
            <v>0</v>
          </cell>
          <cell r="R252" t="str">
            <v>0</v>
          </cell>
          <cell r="S252" t="str">
            <v>0</v>
          </cell>
          <cell r="T252" t="str">
            <v>0</v>
          </cell>
          <cell r="U252" t="str">
            <v>0</v>
          </cell>
          <cell r="V252">
            <v>1672</v>
          </cell>
          <cell r="W252">
            <v>3525</v>
          </cell>
          <cell r="X252">
            <v>4216</v>
          </cell>
          <cell r="Y252">
            <v>368</v>
          </cell>
          <cell r="Z252" t="str">
            <v>0</v>
          </cell>
          <cell r="AA252" t="str">
            <v>0</v>
          </cell>
          <cell r="AB252" t="str">
            <v>0</v>
          </cell>
          <cell r="AC252" t="str">
            <v>0</v>
          </cell>
          <cell r="AD252" t="str">
            <v>0</v>
          </cell>
          <cell r="AE252" t="str">
            <v>0</v>
          </cell>
        </row>
        <row r="253">
          <cell r="D253" t="str">
            <v>03-Sep</v>
          </cell>
          <cell r="E253" t="str">
            <v>0</v>
          </cell>
          <cell r="F253" t="str">
            <v>0</v>
          </cell>
          <cell r="G253" t="str">
            <v>0</v>
          </cell>
          <cell r="H253">
            <v>1</v>
          </cell>
          <cell r="I253" t="str">
            <v>0</v>
          </cell>
          <cell r="J253" t="str">
            <v>0</v>
          </cell>
          <cell r="K253" t="str">
            <v>0</v>
          </cell>
          <cell r="L253" t="str">
            <v>0</v>
          </cell>
          <cell r="M253" t="str">
            <v>0</v>
          </cell>
          <cell r="N253" t="str">
            <v>0</v>
          </cell>
          <cell r="O253" t="str">
            <v>0</v>
          </cell>
          <cell r="P253" t="str">
            <v>0</v>
          </cell>
          <cell r="Q253" t="str">
            <v>0</v>
          </cell>
          <cell r="R253" t="str">
            <v>0</v>
          </cell>
          <cell r="S253" t="str">
            <v>0</v>
          </cell>
          <cell r="T253" t="str">
            <v>0</v>
          </cell>
          <cell r="U253" t="str">
            <v>0</v>
          </cell>
          <cell r="V253">
            <v>1048</v>
          </cell>
          <cell r="W253" t="str">
            <v>0</v>
          </cell>
          <cell r="X253" t="str">
            <v>0</v>
          </cell>
          <cell r="Y253" t="str">
            <v>0</v>
          </cell>
          <cell r="Z253" t="str">
            <v>0</v>
          </cell>
          <cell r="AA253" t="str">
            <v>0</v>
          </cell>
          <cell r="AB253" t="str">
            <v>0</v>
          </cell>
          <cell r="AC253" t="str">
            <v>0</v>
          </cell>
          <cell r="AD253" t="str">
            <v>0</v>
          </cell>
          <cell r="AE253" t="str">
            <v>0</v>
          </cell>
        </row>
        <row r="254">
          <cell r="D254" t="str">
            <v>04-Sep</v>
          </cell>
          <cell r="E254" t="str">
            <v>0</v>
          </cell>
          <cell r="F254" t="str">
            <v>0</v>
          </cell>
          <cell r="G254" t="str">
            <v>0</v>
          </cell>
          <cell r="H254" t="str">
            <v>0</v>
          </cell>
          <cell r="I254">
            <v>2</v>
          </cell>
          <cell r="J254" t="str">
            <v>0</v>
          </cell>
          <cell r="K254">
            <v>1</v>
          </cell>
          <cell r="L254" t="str">
            <v>0</v>
          </cell>
          <cell r="M254" t="str">
            <v>0</v>
          </cell>
          <cell r="N254" t="str">
            <v>0</v>
          </cell>
          <cell r="O254" t="str">
            <v>0</v>
          </cell>
          <cell r="P254" t="str">
            <v>0</v>
          </cell>
          <cell r="Q254" t="str">
            <v>0</v>
          </cell>
          <cell r="R254" t="str">
            <v>0</v>
          </cell>
          <cell r="S254" t="str">
            <v>0</v>
          </cell>
          <cell r="T254" t="str">
            <v>0</v>
          </cell>
          <cell r="U254" t="str">
            <v>0</v>
          </cell>
          <cell r="V254" t="str">
            <v>0</v>
          </cell>
          <cell r="W254">
            <v>2790</v>
          </cell>
          <cell r="X254" t="str">
            <v>0</v>
          </cell>
          <cell r="Y254">
            <v>22500</v>
          </cell>
          <cell r="Z254" t="str">
            <v>0</v>
          </cell>
          <cell r="AA254" t="str">
            <v>0</v>
          </cell>
          <cell r="AB254" t="str">
            <v>0</v>
          </cell>
          <cell r="AC254" t="str">
            <v>0</v>
          </cell>
          <cell r="AD254" t="str">
            <v>0</v>
          </cell>
          <cell r="AE254" t="str">
            <v>0</v>
          </cell>
        </row>
        <row r="255">
          <cell r="D255" t="str">
            <v>05-Sep</v>
          </cell>
          <cell r="E255">
            <v>1</v>
          </cell>
          <cell r="F255" t="str">
            <v>0</v>
          </cell>
          <cell r="G255" t="str">
            <v>0</v>
          </cell>
          <cell r="H255" t="str">
            <v>0</v>
          </cell>
          <cell r="I255" t="str">
            <v>0</v>
          </cell>
          <cell r="J255" t="str">
            <v>0</v>
          </cell>
          <cell r="K255">
            <v>3</v>
          </cell>
          <cell r="L255" t="str">
            <v>0</v>
          </cell>
          <cell r="M255" t="str">
            <v>0</v>
          </cell>
          <cell r="N255" t="str">
            <v>0</v>
          </cell>
          <cell r="O255" t="str">
            <v>0</v>
          </cell>
          <cell r="P255" t="str">
            <v>0</v>
          </cell>
          <cell r="Q255" t="str">
            <v>0</v>
          </cell>
          <cell r="R255" t="str">
            <v>0</v>
          </cell>
          <cell r="S255">
            <v>1771</v>
          </cell>
          <cell r="T255" t="str">
            <v>0</v>
          </cell>
          <cell r="U255" t="str">
            <v>0</v>
          </cell>
          <cell r="V255" t="str">
            <v>0</v>
          </cell>
          <cell r="W255" t="str">
            <v>0</v>
          </cell>
          <cell r="X255" t="str">
            <v>0</v>
          </cell>
          <cell r="Y255">
            <v>5620</v>
          </cell>
          <cell r="Z255" t="str">
            <v>0</v>
          </cell>
          <cell r="AA255" t="str">
            <v>0</v>
          </cell>
          <cell r="AB255" t="str">
            <v>0</v>
          </cell>
          <cell r="AC255" t="str">
            <v>0</v>
          </cell>
          <cell r="AD255" t="str">
            <v>0</v>
          </cell>
          <cell r="AE255" t="str">
            <v>0</v>
          </cell>
        </row>
        <row r="256">
          <cell r="D256" t="str">
            <v>06-Sep</v>
          </cell>
          <cell r="E256" t="str">
            <v>0</v>
          </cell>
          <cell r="F256" t="str">
            <v>0</v>
          </cell>
          <cell r="G256" t="str">
            <v>0</v>
          </cell>
          <cell r="H256" t="str">
            <v>0</v>
          </cell>
          <cell r="I256" t="str">
            <v>0</v>
          </cell>
          <cell r="J256">
            <v>1</v>
          </cell>
          <cell r="K256">
            <v>2</v>
          </cell>
          <cell r="L256" t="str">
            <v>0</v>
          </cell>
          <cell r="M256" t="str">
            <v>0</v>
          </cell>
          <cell r="N256" t="str">
            <v>0</v>
          </cell>
          <cell r="O256" t="str">
            <v>0</v>
          </cell>
          <cell r="P256" t="str">
            <v>0</v>
          </cell>
          <cell r="Q256" t="str">
            <v>0</v>
          </cell>
          <cell r="R256" t="str">
            <v>0</v>
          </cell>
          <cell r="S256" t="str">
            <v>0</v>
          </cell>
          <cell r="T256" t="str">
            <v>0</v>
          </cell>
          <cell r="U256" t="str">
            <v>0</v>
          </cell>
          <cell r="V256" t="str">
            <v>0</v>
          </cell>
          <cell r="W256" t="str">
            <v>0</v>
          </cell>
          <cell r="X256">
            <v>912</v>
          </cell>
          <cell r="Y256">
            <v>3482</v>
          </cell>
          <cell r="Z256" t="str">
            <v>0</v>
          </cell>
          <cell r="AA256" t="str">
            <v>0</v>
          </cell>
          <cell r="AB256" t="str">
            <v>0</v>
          </cell>
          <cell r="AC256" t="str">
            <v>0</v>
          </cell>
          <cell r="AD256" t="str">
            <v>0</v>
          </cell>
          <cell r="AE256" t="str">
            <v>0</v>
          </cell>
        </row>
        <row r="257">
          <cell r="D257" t="str">
            <v>07-Sep</v>
          </cell>
          <cell r="E257">
            <v>1</v>
          </cell>
          <cell r="F257" t="str">
            <v>0</v>
          </cell>
          <cell r="G257" t="str">
            <v>0</v>
          </cell>
          <cell r="H257">
            <v>2</v>
          </cell>
          <cell r="I257" t="str">
            <v>0</v>
          </cell>
          <cell r="J257" t="str">
            <v>0</v>
          </cell>
          <cell r="K257">
            <v>3</v>
          </cell>
          <cell r="L257" t="str">
            <v>0</v>
          </cell>
          <cell r="M257" t="str">
            <v>0</v>
          </cell>
          <cell r="N257" t="str">
            <v>0</v>
          </cell>
          <cell r="O257" t="str">
            <v>0</v>
          </cell>
          <cell r="P257" t="str">
            <v>0</v>
          </cell>
          <cell r="Q257" t="str">
            <v>0</v>
          </cell>
          <cell r="R257" t="str">
            <v>0</v>
          </cell>
          <cell r="S257">
            <v>913</v>
          </cell>
          <cell r="T257" t="str">
            <v>0</v>
          </cell>
          <cell r="U257" t="str">
            <v>0</v>
          </cell>
          <cell r="V257">
            <v>23929</v>
          </cell>
          <cell r="W257" t="str">
            <v>0</v>
          </cell>
          <cell r="X257" t="str">
            <v>0</v>
          </cell>
          <cell r="Y257">
            <v>7780</v>
          </cell>
          <cell r="Z257" t="str">
            <v>0</v>
          </cell>
          <cell r="AA257" t="str">
            <v>0</v>
          </cell>
          <cell r="AB257" t="str">
            <v>0</v>
          </cell>
          <cell r="AC257" t="str">
            <v>0</v>
          </cell>
          <cell r="AD257" t="str">
            <v>0</v>
          </cell>
          <cell r="AE257" t="str">
            <v>0</v>
          </cell>
        </row>
        <row r="258">
          <cell r="D258" t="str">
            <v>08-Sep</v>
          </cell>
          <cell r="E258" t="str">
            <v>0</v>
          </cell>
          <cell r="F258" t="str">
            <v>0</v>
          </cell>
          <cell r="G258" t="str">
            <v>0</v>
          </cell>
          <cell r="H258" t="str">
            <v>0</v>
          </cell>
          <cell r="I258" t="str">
            <v>0</v>
          </cell>
          <cell r="J258" t="str">
            <v>0</v>
          </cell>
          <cell r="K258">
            <v>4</v>
          </cell>
          <cell r="L258" t="str">
            <v>0</v>
          </cell>
          <cell r="M258" t="str">
            <v>0</v>
          </cell>
          <cell r="N258" t="str">
            <v>0</v>
          </cell>
          <cell r="O258" t="str">
            <v>0</v>
          </cell>
          <cell r="P258" t="str">
            <v>0</v>
          </cell>
          <cell r="Q258" t="str">
            <v>0</v>
          </cell>
          <cell r="R258" t="str">
            <v>0</v>
          </cell>
          <cell r="S258" t="str">
            <v>0</v>
          </cell>
          <cell r="T258" t="str">
            <v>0</v>
          </cell>
          <cell r="U258" t="str">
            <v>0</v>
          </cell>
          <cell r="V258" t="str">
            <v>0</v>
          </cell>
          <cell r="W258" t="str">
            <v>0</v>
          </cell>
          <cell r="X258" t="str">
            <v>0</v>
          </cell>
          <cell r="Y258">
            <v>6271</v>
          </cell>
          <cell r="Z258" t="str">
            <v>0</v>
          </cell>
          <cell r="AA258" t="str">
            <v>0</v>
          </cell>
          <cell r="AB258" t="str">
            <v>0</v>
          </cell>
          <cell r="AC258" t="str">
            <v>0</v>
          </cell>
          <cell r="AD258" t="str">
            <v>0</v>
          </cell>
          <cell r="AE258" t="str">
            <v>0</v>
          </cell>
        </row>
        <row r="259">
          <cell r="D259" t="str">
            <v>09-Sep</v>
          </cell>
          <cell r="E259" t="str">
            <v>0</v>
          </cell>
          <cell r="F259" t="str">
            <v>0</v>
          </cell>
          <cell r="G259" t="str">
            <v>0</v>
          </cell>
          <cell r="H259">
            <v>1</v>
          </cell>
          <cell r="I259" t="str">
            <v>0</v>
          </cell>
          <cell r="J259">
            <v>2</v>
          </cell>
          <cell r="K259">
            <v>5</v>
          </cell>
          <cell r="L259" t="str">
            <v>0</v>
          </cell>
          <cell r="M259" t="str">
            <v>0</v>
          </cell>
          <cell r="N259" t="str">
            <v>0</v>
          </cell>
          <cell r="O259" t="str">
            <v>0</v>
          </cell>
          <cell r="P259" t="str">
            <v>0</v>
          </cell>
          <cell r="Q259" t="str">
            <v>0</v>
          </cell>
          <cell r="R259" t="str">
            <v>0</v>
          </cell>
          <cell r="S259" t="str">
            <v>0</v>
          </cell>
          <cell r="T259" t="str">
            <v>0</v>
          </cell>
          <cell r="U259" t="str">
            <v>0</v>
          </cell>
          <cell r="V259">
            <v>1204</v>
          </cell>
          <cell r="W259" t="str">
            <v>0</v>
          </cell>
          <cell r="X259">
            <v>1714</v>
          </cell>
          <cell r="Y259">
            <v>8358</v>
          </cell>
          <cell r="Z259" t="str">
            <v>0</v>
          </cell>
          <cell r="AA259" t="str">
            <v>0</v>
          </cell>
          <cell r="AB259" t="str">
            <v>0</v>
          </cell>
          <cell r="AC259" t="str">
            <v>0</v>
          </cell>
          <cell r="AD259" t="str">
            <v>0</v>
          </cell>
          <cell r="AE259" t="str">
            <v>0</v>
          </cell>
        </row>
        <row r="260">
          <cell r="D260" t="str">
            <v>10-Sep</v>
          </cell>
          <cell r="E260" t="str">
            <v>0</v>
          </cell>
          <cell r="F260" t="str">
            <v>0</v>
          </cell>
          <cell r="G260" t="str">
            <v>0</v>
          </cell>
          <cell r="H260">
            <v>4</v>
          </cell>
          <cell r="I260">
            <v>6</v>
          </cell>
          <cell r="J260" t="str">
            <v>0</v>
          </cell>
          <cell r="K260">
            <v>10</v>
          </cell>
          <cell r="L260" t="str">
            <v>0</v>
          </cell>
          <cell r="M260" t="str">
            <v>0</v>
          </cell>
          <cell r="N260" t="str">
            <v>0</v>
          </cell>
          <cell r="O260" t="str">
            <v>0</v>
          </cell>
          <cell r="P260" t="str">
            <v>0</v>
          </cell>
          <cell r="Q260" t="str">
            <v>0</v>
          </cell>
          <cell r="R260" t="str">
            <v>0</v>
          </cell>
          <cell r="S260" t="str">
            <v>0</v>
          </cell>
          <cell r="T260" t="str">
            <v>0</v>
          </cell>
          <cell r="U260" t="str">
            <v>0</v>
          </cell>
          <cell r="V260">
            <v>3454</v>
          </cell>
          <cell r="W260">
            <v>4221</v>
          </cell>
          <cell r="X260" t="str">
            <v>0</v>
          </cell>
          <cell r="Y260">
            <v>3637</v>
          </cell>
          <cell r="Z260" t="str">
            <v>0</v>
          </cell>
          <cell r="AA260" t="str">
            <v>0</v>
          </cell>
          <cell r="AB260" t="str">
            <v>0</v>
          </cell>
          <cell r="AC260" t="str">
            <v>0</v>
          </cell>
          <cell r="AD260" t="str">
            <v>0</v>
          </cell>
          <cell r="AE260" t="str">
            <v>0</v>
          </cell>
        </row>
        <row r="261">
          <cell r="D261" t="str">
            <v>11-Sep</v>
          </cell>
          <cell r="E261" t="str">
            <v>0</v>
          </cell>
          <cell r="F261" t="str">
            <v>0</v>
          </cell>
          <cell r="G261">
            <v>1</v>
          </cell>
          <cell r="H261" t="str">
            <v>0</v>
          </cell>
          <cell r="I261">
            <v>3</v>
          </cell>
          <cell r="J261" t="str">
            <v>0</v>
          </cell>
          <cell r="K261">
            <v>4</v>
          </cell>
          <cell r="L261" t="str">
            <v>0</v>
          </cell>
          <cell r="M261" t="str">
            <v>0</v>
          </cell>
          <cell r="N261" t="str">
            <v>0</v>
          </cell>
          <cell r="O261" t="str">
            <v>0</v>
          </cell>
          <cell r="P261" t="str">
            <v>0</v>
          </cell>
          <cell r="Q261" t="str">
            <v>0</v>
          </cell>
          <cell r="R261" t="str">
            <v>0</v>
          </cell>
          <cell r="S261" t="str">
            <v>0</v>
          </cell>
          <cell r="T261" t="str">
            <v>0</v>
          </cell>
          <cell r="U261">
            <v>4143</v>
          </cell>
          <cell r="V261" t="str">
            <v>0</v>
          </cell>
          <cell r="W261">
            <v>4375</v>
          </cell>
          <cell r="X261" t="str">
            <v>0</v>
          </cell>
          <cell r="Y261">
            <v>8070</v>
          </cell>
          <cell r="Z261" t="str">
            <v>0</v>
          </cell>
          <cell r="AA261" t="str">
            <v>0</v>
          </cell>
          <cell r="AB261" t="str">
            <v>0</v>
          </cell>
          <cell r="AC261" t="str">
            <v>0</v>
          </cell>
          <cell r="AD261" t="str">
            <v>0</v>
          </cell>
          <cell r="AE261" t="str">
            <v>0</v>
          </cell>
        </row>
        <row r="262">
          <cell r="D262" t="str">
            <v>12-Sep</v>
          </cell>
          <cell r="E262" t="str">
            <v>0</v>
          </cell>
          <cell r="F262" t="str">
            <v>0</v>
          </cell>
          <cell r="G262" t="str">
            <v>0</v>
          </cell>
          <cell r="H262">
            <v>2</v>
          </cell>
          <cell r="I262">
            <v>1</v>
          </cell>
          <cell r="J262" t="str">
            <v>0</v>
          </cell>
          <cell r="K262">
            <v>3</v>
          </cell>
          <cell r="L262" t="str">
            <v>0</v>
          </cell>
          <cell r="M262" t="str">
            <v>0</v>
          </cell>
          <cell r="N262" t="str">
            <v>0</v>
          </cell>
          <cell r="O262" t="str">
            <v>0</v>
          </cell>
          <cell r="P262" t="str">
            <v>0</v>
          </cell>
          <cell r="Q262" t="str">
            <v>0</v>
          </cell>
          <cell r="R262" t="str">
            <v>0</v>
          </cell>
          <cell r="S262" t="str">
            <v>0</v>
          </cell>
          <cell r="T262" t="str">
            <v>0</v>
          </cell>
          <cell r="U262" t="str">
            <v>0</v>
          </cell>
          <cell r="V262">
            <v>1912</v>
          </cell>
          <cell r="W262">
            <v>1500</v>
          </cell>
          <cell r="X262" t="str">
            <v>0</v>
          </cell>
          <cell r="Y262">
            <v>5123</v>
          </cell>
          <cell r="Z262" t="str">
            <v>0</v>
          </cell>
          <cell r="AA262" t="str">
            <v>0</v>
          </cell>
          <cell r="AB262" t="str">
            <v>0</v>
          </cell>
          <cell r="AC262" t="str">
            <v>0</v>
          </cell>
          <cell r="AD262" t="str">
            <v>0</v>
          </cell>
          <cell r="AE262" t="str">
            <v>0</v>
          </cell>
        </row>
        <row r="263">
          <cell r="D263" t="str">
            <v>13-Sep</v>
          </cell>
          <cell r="E263">
            <v>1</v>
          </cell>
          <cell r="F263" t="str">
            <v>0</v>
          </cell>
          <cell r="G263" t="str">
            <v>0</v>
          </cell>
          <cell r="H263" t="str">
            <v>0</v>
          </cell>
          <cell r="I263" t="str">
            <v>0</v>
          </cell>
          <cell r="J263" t="str">
            <v>0</v>
          </cell>
          <cell r="K263" t="str">
            <v>0</v>
          </cell>
          <cell r="L263" t="str">
            <v>0</v>
          </cell>
          <cell r="M263" t="str">
            <v>0</v>
          </cell>
          <cell r="N263" t="str">
            <v>0</v>
          </cell>
          <cell r="O263" t="str">
            <v>0</v>
          </cell>
          <cell r="P263" t="str">
            <v>0</v>
          </cell>
          <cell r="Q263" t="str">
            <v>0</v>
          </cell>
          <cell r="R263" t="str">
            <v>0</v>
          </cell>
          <cell r="S263">
            <v>440</v>
          </cell>
          <cell r="T263" t="str">
            <v>0</v>
          </cell>
          <cell r="U263" t="str">
            <v>0</v>
          </cell>
          <cell r="V263" t="str">
            <v>0</v>
          </cell>
          <cell r="W263" t="str">
            <v>0</v>
          </cell>
          <cell r="X263" t="str">
            <v>0</v>
          </cell>
          <cell r="Y263" t="str">
            <v>0</v>
          </cell>
          <cell r="Z263" t="str">
            <v>0</v>
          </cell>
          <cell r="AA263" t="str">
            <v>0</v>
          </cell>
          <cell r="AB263" t="str">
            <v>0</v>
          </cell>
          <cell r="AC263" t="str">
            <v>0</v>
          </cell>
          <cell r="AD263" t="str">
            <v>0</v>
          </cell>
          <cell r="AE263" t="str">
            <v>0</v>
          </cell>
        </row>
        <row r="264">
          <cell r="D264" t="str">
            <v>14-Sep</v>
          </cell>
          <cell r="E264" t="str">
            <v>0</v>
          </cell>
          <cell r="F264" t="str">
            <v>0</v>
          </cell>
          <cell r="G264">
            <v>3</v>
          </cell>
          <cell r="H264">
            <v>2</v>
          </cell>
          <cell r="I264" t="str">
            <v>0</v>
          </cell>
          <cell r="J264" t="str">
            <v>0</v>
          </cell>
          <cell r="K264">
            <v>1</v>
          </cell>
          <cell r="L264" t="str">
            <v>0</v>
          </cell>
          <cell r="M264" t="str">
            <v>0</v>
          </cell>
          <cell r="N264" t="str">
            <v>0</v>
          </cell>
          <cell r="O264" t="str">
            <v>0</v>
          </cell>
          <cell r="P264" t="str">
            <v>0</v>
          </cell>
          <cell r="Q264" t="str">
            <v>0</v>
          </cell>
          <cell r="R264" t="str">
            <v>0</v>
          </cell>
          <cell r="S264" t="str">
            <v>0</v>
          </cell>
          <cell r="T264" t="str">
            <v>0</v>
          </cell>
          <cell r="U264">
            <v>24126</v>
          </cell>
          <cell r="V264">
            <v>4112</v>
          </cell>
          <cell r="W264" t="str">
            <v>0</v>
          </cell>
          <cell r="X264" t="str">
            <v>0</v>
          </cell>
          <cell r="Y264">
            <v>988</v>
          </cell>
          <cell r="Z264" t="str">
            <v>0</v>
          </cell>
          <cell r="AA264" t="str">
            <v>0</v>
          </cell>
          <cell r="AB264" t="str">
            <v>0</v>
          </cell>
          <cell r="AC264" t="str">
            <v>0</v>
          </cell>
          <cell r="AD264" t="str">
            <v>0</v>
          </cell>
          <cell r="AE264" t="str">
            <v>0</v>
          </cell>
        </row>
        <row r="265">
          <cell r="D265" t="str">
            <v>15-Sep</v>
          </cell>
          <cell r="E265">
            <v>1</v>
          </cell>
          <cell r="F265" t="str">
            <v>0</v>
          </cell>
          <cell r="G265">
            <v>3</v>
          </cell>
          <cell r="H265">
            <v>1</v>
          </cell>
          <cell r="I265" t="str">
            <v>0</v>
          </cell>
          <cell r="J265" t="str">
            <v>0</v>
          </cell>
          <cell r="K265">
            <v>1</v>
          </cell>
          <cell r="L265" t="str">
            <v>0</v>
          </cell>
          <cell r="M265" t="str">
            <v>0</v>
          </cell>
          <cell r="N265" t="str">
            <v>0</v>
          </cell>
          <cell r="O265" t="str">
            <v>0</v>
          </cell>
          <cell r="P265" t="str">
            <v>0</v>
          </cell>
          <cell r="Q265" t="str">
            <v>0</v>
          </cell>
          <cell r="R265" t="str">
            <v>0</v>
          </cell>
          <cell r="S265">
            <v>2052</v>
          </cell>
          <cell r="T265" t="str">
            <v>0</v>
          </cell>
          <cell r="U265">
            <v>7117</v>
          </cell>
          <cell r="V265">
            <v>1900</v>
          </cell>
          <cell r="W265" t="str">
            <v>0</v>
          </cell>
          <cell r="X265" t="str">
            <v>0</v>
          </cell>
          <cell r="Y265">
            <v>3975</v>
          </cell>
          <cell r="Z265" t="str">
            <v>0</v>
          </cell>
          <cell r="AA265" t="str">
            <v>0</v>
          </cell>
          <cell r="AB265" t="str">
            <v>0</v>
          </cell>
          <cell r="AC265" t="str">
            <v>0</v>
          </cell>
          <cell r="AD265" t="str">
            <v>0</v>
          </cell>
          <cell r="AE265" t="str">
            <v>0</v>
          </cell>
        </row>
        <row r="266">
          <cell r="D266" t="str">
            <v>16-Sep</v>
          </cell>
          <cell r="E266">
            <v>1</v>
          </cell>
          <cell r="F266" t="str">
            <v>0</v>
          </cell>
          <cell r="G266">
            <v>3</v>
          </cell>
          <cell r="H266">
            <v>1</v>
          </cell>
          <cell r="I266" t="str">
            <v>0</v>
          </cell>
          <cell r="J266" t="str">
            <v>0</v>
          </cell>
          <cell r="K266">
            <v>2</v>
          </cell>
          <cell r="L266" t="str">
            <v>0</v>
          </cell>
          <cell r="M266" t="str">
            <v>0</v>
          </cell>
          <cell r="N266" t="str">
            <v>0</v>
          </cell>
          <cell r="O266" t="str">
            <v>0</v>
          </cell>
          <cell r="P266" t="str">
            <v>0</v>
          </cell>
          <cell r="Q266" t="str">
            <v>0</v>
          </cell>
          <cell r="R266" t="str">
            <v>0</v>
          </cell>
          <cell r="S266">
            <v>4693</v>
          </cell>
          <cell r="T266" t="str">
            <v>0</v>
          </cell>
          <cell r="U266">
            <v>6704</v>
          </cell>
          <cell r="V266">
            <v>912</v>
          </cell>
          <cell r="W266" t="str">
            <v>0</v>
          </cell>
          <cell r="X266" t="str">
            <v>0</v>
          </cell>
          <cell r="Y266">
            <v>4959</v>
          </cell>
          <cell r="Z266" t="str">
            <v>0</v>
          </cell>
          <cell r="AA266" t="str">
            <v>0</v>
          </cell>
          <cell r="AB266" t="str">
            <v>0</v>
          </cell>
          <cell r="AC266" t="str">
            <v>0</v>
          </cell>
          <cell r="AD266" t="str">
            <v>0</v>
          </cell>
          <cell r="AE266" t="str">
            <v>0</v>
          </cell>
        </row>
        <row r="267">
          <cell r="D267" t="str">
            <v>17-Sep</v>
          </cell>
          <cell r="E267" t="str">
            <v>0</v>
          </cell>
          <cell r="F267" t="str">
            <v>0</v>
          </cell>
          <cell r="G267">
            <v>2</v>
          </cell>
          <cell r="H267">
            <v>1</v>
          </cell>
          <cell r="I267" t="str">
            <v>0</v>
          </cell>
          <cell r="J267" t="str">
            <v>0</v>
          </cell>
          <cell r="K267" t="str">
            <v>0</v>
          </cell>
          <cell r="L267" t="str">
            <v>0</v>
          </cell>
          <cell r="M267" t="str">
            <v>0</v>
          </cell>
          <cell r="N267" t="str">
            <v>0</v>
          </cell>
          <cell r="O267" t="str">
            <v>0</v>
          </cell>
          <cell r="P267" t="str">
            <v>0</v>
          </cell>
          <cell r="Q267" t="str">
            <v>0</v>
          </cell>
          <cell r="R267" t="str">
            <v>0</v>
          </cell>
          <cell r="S267" t="str">
            <v>0</v>
          </cell>
          <cell r="T267" t="str">
            <v>0</v>
          </cell>
          <cell r="U267">
            <v>4378</v>
          </cell>
          <cell r="V267">
            <v>1064</v>
          </cell>
          <cell r="W267" t="str">
            <v>0</v>
          </cell>
          <cell r="X267" t="str">
            <v>0</v>
          </cell>
          <cell r="Y267" t="str">
            <v>0</v>
          </cell>
          <cell r="Z267" t="str">
            <v>0</v>
          </cell>
          <cell r="AA267" t="str">
            <v>0</v>
          </cell>
          <cell r="AB267" t="str">
            <v>0</v>
          </cell>
          <cell r="AC267" t="str">
            <v>0</v>
          </cell>
          <cell r="AD267" t="str">
            <v>0</v>
          </cell>
          <cell r="AE267" t="str">
            <v>0</v>
          </cell>
        </row>
        <row r="268">
          <cell r="D268" t="str">
            <v>18-Sep</v>
          </cell>
          <cell r="E268">
            <v>3</v>
          </cell>
          <cell r="F268" t="str">
            <v>0</v>
          </cell>
          <cell r="G268">
            <v>3</v>
          </cell>
          <cell r="H268" t="str">
            <v>0</v>
          </cell>
          <cell r="I268" t="str">
            <v>0</v>
          </cell>
          <cell r="J268" t="str">
            <v>0</v>
          </cell>
          <cell r="K268" t="str">
            <v>0</v>
          </cell>
          <cell r="L268" t="str">
            <v>0</v>
          </cell>
          <cell r="M268" t="str">
            <v>0</v>
          </cell>
          <cell r="N268" t="str">
            <v>0</v>
          </cell>
          <cell r="O268" t="str">
            <v>0</v>
          </cell>
          <cell r="P268" t="str">
            <v>0</v>
          </cell>
          <cell r="Q268" t="str">
            <v>0</v>
          </cell>
          <cell r="R268" t="str">
            <v>0</v>
          </cell>
          <cell r="S268">
            <v>4433</v>
          </cell>
          <cell r="T268" t="str">
            <v>0</v>
          </cell>
          <cell r="U268">
            <v>6206</v>
          </cell>
          <cell r="V268" t="str">
            <v>0</v>
          </cell>
          <cell r="W268" t="str">
            <v>0</v>
          </cell>
          <cell r="X268" t="str">
            <v>0</v>
          </cell>
          <cell r="Y268" t="str">
            <v>0</v>
          </cell>
          <cell r="Z268" t="str">
            <v>0</v>
          </cell>
          <cell r="AA268" t="str">
            <v>0</v>
          </cell>
          <cell r="AB268" t="str">
            <v>0</v>
          </cell>
          <cell r="AC268" t="str">
            <v>0</v>
          </cell>
          <cell r="AD268" t="str">
            <v>0</v>
          </cell>
          <cell r="AE268" t="str">
            <v>0</v>
          </cell>
        </row>
        <row r="269">
          <cell r="D269" t="str">
            <v>19-Sep</v>
          </cell>
          <cell r="E269" t="str">
            <v>0</v>
          </cell>
          <cell r="F269" t="str">
            <v>0</v>
          </cell>
          <cell r="G269">
            <v>4</v>
          </cell>
          <cell r="H269" t="str">
            <v>0</v>
          </cell>
          <cell r="I269">
            <v>4</v>
          </cell>
          <cell r="J269" t="str">
            <v>0</v>
          </cell>
          <cell r="K269">
            <v>1</v>
          </cell>
          <cell r="L269" t="str">
            <v>0</v>
          </cell>
          <cell r="M269" t="str">
            <v>0</v>
          </cell>
          <cell r="N269" t="str">
            <v>0</v>
          </cell>
          <cell r="O269" t="str">
            <v>0</v>
          </cell>
          <cell r="P269" t="str">
            <v>0</v>
          </cell>
          <cell r="Q269" t="str">
            <v>0</v>
          </cell>
          <cell r="R269" t="str">
            <v>0</v>
          </cell>
          <cell r="S269" t="str">
            <v>0</v>
          </cell>
          <cell r="T269" t="str">
            <v>0</v>
          </cell>
          <cell r="U269">
            <v>5887</v>
          </cell>
          <cell r="V269" t="str">
            <v>0</v>
          </cell>
          <cell r="W269">
            <v>8908</v>
          </cell>
          <cell r="X269" t="str">
            <v>0</v>
          </cell>
          <cell r="Y269">
            <v>800</v>
          </cell>
          <cell r="Z269" t="str">
            <v>0</v>
          </cell>
          <cell r="AA269" t="str">
            <v>0</v>
          </cell>
          <cell r="AB269" t="str">
            <v>0</v>
          </cell>
          <cell r="AC269" t="str">
            <v>0</v>
          </cell>
          <cell r="AD269" t="str">
            <v>0</v>
          </cell>
          <cell r="AE269" t="str">
            <v>0</v>
          </cell>
        </row>
        <row r="270">
          <cell r="D270" t="str">
            <v>20-Sep</v>
          </cell>
          <cell r="E270" t="str">
            <v>0</v>
          </cell>
          <cell r="F270" t="str">
            <v>0</v>
          </cell>
          <cell r="G270">
            <v>3</v>
          </cell>
          <cell r="H270">
            <v>1</v>
          </cell>
          <cell r="I270" t="str">
            <v>0</v>
          </cell>
          <cell r="J270" t="str">
            <v>0</v>
          </cell>
          <cell r="K270">
            <v>3</v>
          </cell>
          <cell r="L270" t="str">
            <v>0</v>
          </cell>
          <cell r="M270" t="str">
            <v>0</v>
          </cell>
          <cell r="N270" t="str">
            <v>0</v>
          </cell>
          <cell r="O270" t="str">
            <v>0</v>
          </cell>
          <cell r="P270" t="str">
            <v>0</v>
          </cell>
          <cell r="Q270" t="str">
            <v>0</v>
          </cell>
          <cell r="R270" t="str">
            <v>0</v>
          </cell>
          <cell r="S270" t="str">
            <v>0</v>
          </cell>
          <cell r="T270" t="str">
            <v>0</v>
          </cell>
          <cell r="U270">
            <v>6586</v>
          </cell>
          <cell r="V270">
            <v>945</v>
          </cell>
          <cell r="W270" t="str">
            <v>0</v>
          </cell>
          <cell r="X270" t="str">
            <v>0</v>
          </cell>
          <cell r="Y270">
            <v>4471</v>
          </cell>
          <cell r="Z270" t="str">
            <v>0</v>
          </cell>
          <cell r="AA270" t="str">
            <v>0</v>
          </cell>
          <cell r="AB270" t="str">
            <v>0</v>
          </cell>
          <cell r="AC270" t="str">
            <v>0</v>
          </cell>
          <cell r="AD270" t="str">
            <v>0</v>
          </cell>
          <cell r="AE270" t="str">
            <v>0</v>
          </cell>
        </row>
        <row r="271">
          <cell r="D271" t="str">
            <v>21-Sep</v>
          </cell>
          <cell r="E271" t="str">
            <v>0</v>
          </cell>
          <cell r="F271" t="str">
            <v>0</v>
          </cell>
          <cell r="G271">
            <v>7</v>
          </cell>
          <cell r="H271">
            <v>1</v>
          </cell>
          <cell r="I271">
            <v>2</v>
          </cell>
          <cell r="J271">
            <v>1</v>
          </cell>
          <cell r="K271">
            <v>1</v>
          </cell>
          <cell r="L271" t="str">
            <v>0</v>
          </cell>
          <cell r="M271" t="str">
            <v>0</v>
          </cell>
          <cell r="N271" t="str">
            <v>0</v>
          </cell>
          <cell r="O271" t="str">
            <v>0</v>
          </cell>
          <cell r="P271" t="str">
            <v>0</v>
          </cell>
          <cell r="Q271" t="str">
            <v>0</v>
          </cell>
          <cell r="R271" t="str">
            <v>0</v>
          </cell>
          <cell r="S271" t="str">
            <v>0</v>
          </cell>
          <cell r="T271" t="str">
            <v>0</v>
          </cell>
          <cell r="U271">
            <v>7457</v>
          </cell>
          <cell r="V271">
            <v>623</v>
          </cell>
          <cell r="W271">
            <v>28</v>
          </cell>
          <cell r="X271">
            <v>1520</v>
          </cell>
          <cell r="Y271">
            <v>8447</v>
          </cell>
          <cell r="Z271" t="str">
            <v>0</v>
          </cell>
          <cell r="AA271" t="str">
            <v>0</v>
          </cell>
          <cell r="AB271" t="str">
            <v>0</v>
          </cell>
          <cell r="AC271" t="str">
            <v>0</v>
          </cell>
          <cell r="AD271" t="str">
            <v>0</v>
          </cell>
          <cell r="AE271" t="str">
            <v>0</v>
          </cell>
        </row>
        <row r="272">
          <cell r="D272" t="str">
            <v>22-Sep</v>
          </cell>
          <cell r="E272" t="str">
            <v>0</v>
          </cell>
          <cell r="F272" t="str">
            <v>0</v>
          </cell>
          <cell r="G272">
            <v>11</v>
          </cell>
          <cell r="H272" t="str">
            <v>0</v>
          </cell>
          <cell r="I272">
            <v>1</v>
          </cell>
          <cell r="J272" t="str">
            <v>0</v>
          </cell>
          <cell r="K272">
            <v>7</v>
          </cell>
          <cell r="L272" t="str">
            <v>0</v>
          </cell>
          <cell r="M272">
            <v>1</v>
          </cell>
          <cell r="N272" t="str">
            <v>0</v>
          </cell>
          <cell r="O272" t="str">
            <v>0</v>
          </cell>
          <cell r="P272" t="str">
            <v>0</v>
          </cell>
          <cell r="Q272" t="str">
            <v>0</v>
          </cell>
          <cell r="R272" t="str">
            <v>0</v>
          </cell>
          <cell r="S272" t="str">
            <v>0</v>
          </cell>
          <cell r="T272" t="str">
            <v>0</v>
          </cell>
          <cell r="U272">
            <v>23146</v>
          </cell>
          <cell r="V272" t="str">
            <v>0</v>
          </cell>
          <cell r="W272">
            <v>2039</v>
          </cell>
          <cell r="X272" t="str">
            <v>0</v>
          </cell>
          <cell r="Y272">
            <v>6959</v>
          </cell>
          <cell r="Z272" t="str">
            <v>0</v>
          </cell>
          <cell r="AA272">
            <v>912</v>
          </cell>
          <cell r="AB272" t="str">
            <v>0</v>
          </cell>
          <cell r="AC272" t="str">
            <v>0</v>
          </cell>
          <cell r="AD272" t="str">
            <v>0</v>
          </cell>
          <cell r="AE272" t="str">
            <v>0</v>
          </cell>
        </row>
        <row r="273">
          <cell r="D273" t="str">
            <v>23-Sep</v>
          </cell>
          <cell r="E273">
            <v>2</v>
          </cell>
          <cell r="F273" t="str">
            <v>0</v>
          </cell>
          <cell r="G273">
            <v>5</v>
          </cell>
          <cell r="H273">
            <v>1</v>
          </cell>
          <cell r="I273" t="str">
            <v>0</v>
          </cell>
          <cell r="J273" t="str">
            <v>0</v>
          </cell>
          <cell r="K273">
            <v>4</v>
          </cell>
          <cell r="L273" t="str">
            <v>0</v>
          </cell>
          <cell r="M273">
            <v>1</v>
          </cell>
          <cell r="N273" t="str">
            <v>0</v>
          </cell>
          <cell r="O273" t="str">
            <v>0</v>
          </cell>
          <cell r="P273" t="str">
            <v>0</v>
          </cell>
          <cell r="Q273" t="str">
            <v>0</v>
          </cell>
          <cell r="R273" t="str">
            <v>0</v>
          </cell>
          <cell r="S273">
            <v>3853</v>
          </cell>
          <cell r="T273" t="str">
            <v>0</v>
          </cell>
          <cell r="U273">
            <v>18528</v>
          </cell>
          <cell r="V273">
            <v>2888</v>
          </cell>
          <cell r="W273" t="str">
            <v>0</v>
          </cell>
          <cell r="X273" t="str">
            <v>0</v>
          </cell>
          <cell r="Y273">
            <v>3879</v>
          </cell>
          <cell r="Z273" t="str">
            <v>0</v>
          </cell>
          <cell r="AA273">
            <v>332</v>
          </cell>
          <cell r="AB273" t="str">
            <v>0</v>
          </cell>
          <cell r="AC273" t="str">
            <v>0</v>
          </cell>
          <cell r="AD273" t="str">
            <v>0</v>
          </cell>
          <cell r="AE273" t="str">
            <v>0</v>
          </cell>
        </row>
        <row r="274">
          <cell r="D274" t="str">
            <v>24-Sep</v>
          </cell>
          <cell r="E274" t="str">
            <v>0</v>
          </cell>
          <cell r="F274" t="str">
            <v>0</v>
          </cell>
          <cell r="G274">
            <v>2</v>
          </cell>
          <cell r="H274" t="str">
            <v>0</v>
          </cell>
          <cell r="I274">
            <v>1</v>
          </cell>
          <cell r="J274" t="str">
            <v>0</v>
          </cell>
          <cell r="K274">
            <v>2</v>
          </cell>
          <cell r="L274" t="str">
            <v>0</v>
          </cell>
          <cell r="M274" t="str">
            <v>0</v>
          </cell>
          <cell r="N274" t="str">
            <v>0</v>
          </cell>
          <cell r="O274" t="str">
            <v>0</v>
          </cell>
          <cell r="P274" t="str">
            <v>0</v>
          </cell>
          <cell r="Q274" t="str">
            <v>0</v>
          </cell>
          <cell r="R274" t="str">
            <v>0</v>
          </cell>
          <cell r="S274" t="str">
            <v>0</v>
          </cell>
          <cell r="T274" t="str">
            <v>0</v>
          </cell>
          <cell r="U274">
            <v>3263</v>
          </cell>
          <cell r="V274" t="str">
            <v>0</v>
          </cell>
          <cell r="W274">
            <v>419</v>
          </cell>
          <cell r="X274" t="str">
            <v>0</v>
          </cell>
          <cell r="Y274">
            <v>5092</v>
          </cell>
          <cell r="Z274" t="str">
            <v>0</v>
          </cell>
          <cell r="AA274" t="str">
            <v>0</v>
          </cell>
          <cell r="AB274" t="str">
            <v>0</v>
          </cell>
          <cell r="AC274" t="str">
            <v>0</v>
          </cell>
          <cell r="AD274" t="str">
            <v>0</v>
          </cell>
          <cell r="AE274" t="str">
            <v>0</v>
          </cell>
        </row>
        <row r="275">
          <cell r="D275" t="str">
            <v>25-Sep</v>
          </cell>
          <cell r="E275">
            <v>2</v>
          </cell>
          <cell r="F275" t="str">
            <v>0</v>
          </cell>
          <cell r="G275">
            <v>8</v>
          </cell>
          <cell r="H275">
            <v>2</v>
          </cell>
          <cell r="I275" t="str">
            <v>0</v>
          </cell>
          <cell r="J275">
            <v>2</v>
          </cell>
          <cell r="K275">
            <v>3</v>
          </cell>
          <cell r="L275" t="str">
            <v>0</v>
          </cell>
          <cell r="M275" t="str">
            <v>0</v>
          </cell>
          <cell r="N275" t="str">
            <v>0</v>
          </cell>
          <cell r="O275" t="str">
            <v>0</v>
          </cell>
          <cell r="P275" t="str">
            <v>0</v>
          </cell>
          <cell r="Q275" t="str">
            <v>0</v>
          </cell>
          <cell r="R275" t="str">
            <v>0</v>
          </cell>
          <cell r="S275">
            <v>3648</v>
          </cell>
          <cell r="T275" t="str">
            <v>0</v>
          </cell>
          <cell r="U275">
            <v>22859</v>
          </cell>
          <cell r="V275">
            <v>4231</v>
          </cell>
          <cell r="W275" t="str">
            <v>0</v>
          </cell>
          <cell r="X275">
            <v>3517</v>
          </cell>
          <cell r="Y275">
            <v>2344</v>
          </cell>
          <cell r="Z275" t="str">
            <v>0</v>
          </cell>
          <cell r="AA275" t="str">
            <v>0</v>
          </cell>
          <cell r="AB275" t="str">
            <v>0</v>
          </cell>
          <cell r="AC275" t="str">
            <v>0</v>
          </cell>
          <cell r="AD275" t="str">
            <v>0</v>
          </cell>
          <cell r="AE275" t="str">
            <v>0</v>
          </cell>
        </row>
        <row r="276">
          <cell r="D276" t="str">
            <v>26-Sep</v>
          </cell>
          <cell r="E276">
            <v>2</v>
          </cell>
          <cell r="F276" t="str">
            <v>0</v>
          </cell>
          <cell r="G276">
            <v>7</v>
          </cell>
          <cell r="H276" t="str">
            <v>0</v>
          </cell>
          <cell r="I276">
            <v>4</v>
          </cell>
          <cell r="J276" t="str">
            <v>0</v>
          </cell>
          <cell r="K276" t="str">
            <v>0</v>
          </cell>
          <cell r="L276" t="str">
            <v>0</v>
          </cell>
          <cell r="M276">
            <v>2</v>
          </cell>
          <cell r="N276" t="str">
            <v>0</v>
          </cell>
          <cell r="O276" t="str">
            <v>0</v>
          </cell>
          <cell r="P276" t="str">
            <v>0</v>
          </cell>
          <cell r="Q276" t="str">
            <v>0</v>
          </cell>
          <cell r="R276" t="str">
            <v>0</v>
          </cell>
          <cell r="S276">
            <v>1784</v>
          </cell>
          <cell r="T276" t="str">
            <v>0</v>
          </cell>
          <cell r="U276">
            <v>12734</v>
          </cell>
          <cell r="V276" t="str">
            <v>0</v>
          </cell>
          <cell r="W276">
            <v>8286</v>
          </cell>
          <cell r="X276" t="str">
            <v>0</v>
          </cell>
          <cell r="Y276" t="str">
            <v>0</v>
          </cell>
          <cell r="Z276" t="str">
            <v>0</v>
          </cell>
          <cell r="AA276">
            <v>1824</v>
          </cell>
          <cell r="AB276" t="str">
            <v>0</v>
          </cell>
          <cell r="AC276" t="str">
            <v>0</v>
          </cell>
          <cell r="AD276" t="str">
            <v>0</v>
          </cell>
          <cell r="AE276" t="str">
            <v>0</v>
          </cell>
        </row>
        <row r="277">
          <cell r="D277" t="str">
            <v>27-Sep</v>
          </cell>
          <cell r="E277" t="str">
            <v>0</v>
          </cell>
          <cell r="F277" t="str">
            <v>0</v>
          </cell>
          <cell r="G277">
            <v>2</v>
          </cell>
          <cell r="H277">
            <v>5</v>
          </cell>
          <cell r="I277">
            <v>1</v>
          </cell>
          <cell r="J277" t="str">
            <v>0</v>
          </cell>
          <cell r="K277">
            <v>1</v>
          </cell>
          <cell r="L277" t="str">
            <v>0</v>
          </cell>
          <cell r="M277">
            <v>2</v>
          </cell>
          <cell r="N277" t="str">
            <v>0</v>
          </cell>
          <cell r="O277" t="str">
            <v>0</v>
          </cell>
          <cell r="P277" t="str">
            <v>0</v>
          </cell>
          <cell r="Q277" t="str">
            <v>0</v>
          </cell>
          <cell r="R277" t="str">
            <v>0</v>
          </cell>
          <cell r="S277" t="str">
            <v>0</v>
          </cell>
          <cell r="T277" t="str">
            <v>0</v>
          </cell>
          <cell r="U277">
            <v>4387</v>
          </cell>
          <cell r="V277">
            <v>21677</v>
          </cell>
          <cell r="W277">
            <v>722</v>
          </cell>
          <cell r="X277" t="str">
            <v>0</v>
          </cell>
          <cell r="Y277">
            <v>1108</v>
          </cell>
          <cell r="Z277" t="str">
            <v>0</v>
          </cell>
          <cell r="AA277">
            <v>8445</v>
          </cell>
          <cell r="AB277" t="str">
            <v>0</v>
          </cell>
          <cell r="AC277" t="str">
            <v>0</v>
          </cell>
          <cell r="AD277" t="str">
            <v>0</v>
          </cell>
          <cell r="AE277" t="str">
            <v>0</v>
          </cell>
        </row>
        <row r="278">
          <cell r="D278" t="str">
            <v>28-Sep</v>
          </cell>
          <cell r="E278" t="str">
            <v>0</v>
          </cell>
          <cell r="F278" t="str">
            <v>0</v>
          </cell>
          <cell r="G278">
            <v>6</v>
          </cell>
          <cell r="H278">
            <v>3</v>
          </cell>
          <cell r="I278">
            <v>1</v>
          </cell>
          <cell r="J278">
            <v>1</v>
          </cell>
          <cell r="K278">
            <v>1</v>
          </cell>
          <cell r="L278" t="str">
            <v>0</v>
          </cell>
          <cell r="M278" t="str">
            <v>0</v>
          </cell>
          <cell r="N278" t="str">
            <v>0</v>
          </cell>
          <cell r="O278" t="str">
            <v>0</v>
          </cell>
          <cell r="P278" t="str">
            <v>0</v>
          </cell>
          <cell r="Q278" t="str">
            <v>0</v>
          </cell>
          <cell r="R278" t="str">
            <v>0</v>
          </cell>
          <cell r="S278" t="str">
            <v>0</v>
          </cell>
          <cell r="T278" t="str">
            <v>0</v>
          </cell>
          <cell r="U278">
            <v>7304</v>
          </cell>
          <cell r="V278">
            <v>8777</v>
          </cell>
          <cell r="W278">
            <v>2850</v>
          </cell>
          <cell r="X278">
            <v>744</v>
          </cell>
          <cell r="Y278">
            <v>1984</v>
          </cell>
          <cell r="Z278" t="str">
            <v>0</v>
          </cell>
          <cell r="AA278" t="str">
            <v>0</v>
          </cell>
          <cell r="AB278" t="str">
            <v>0</v>
          </cell>
          <cell r="AC278" t="str">
            <v>0</v>
          </cell>
          <cell r="AD278" t="str">
            <v>0</v>
          </cell>
          <cell r="AE278" t="str">
            <v>0</v>
          </cell>
        </row>
        <row r="279">
          <cell r="D279" t="str">
            <v>29-Sep</v>
          </cell>
          <cell r="E279" t="str">
            <v>0</v>
          </cell>
          <cell r="F279" t="str">
            <v>0</v>
          </cell>
          <cell r="G279">
            <v>2</v>
          </cell>
          <cell r="H279">
            <v>4</v>
          </cell>
          <cell r="I279">
            <v>3</v>
          </cell>
          <cell r="J279" t="str">
            <v>0</v>
          </cell>
          <cell r="K279">
            <v>2</v>
          </cell>
          <cell r="L279" t="str">
            <v>0</v>
          </cell>
          <cell r="M279" t="str">
            <v>0</v>
          </cell>
          <cell r="N279" t="str">
            <v>0</v>
          </cell>
          <cell r="O279" t="str">
            <v>0</v>
          </cell>
          <cell r="P279" t="str">
            <v>0</v>
          </cell>
          <cell r="Q279" t="str">
            <v>0</v>
          </cell>
          <cell r="R279" t="str">
            <v>0</v>
          </cell>
          <cell r="S279" t="str">
            <v>0</v>
          </cell>
          <cell r="T279" t="str">
            <v>0</v>
          </cell>
          <cell r="U279">
            <v>3206</v>
          </cell>
          <cell r="V279">
            <v>3924</v>
          </cell>
          <cell r="W279">
            <v>2894</v>
          </cell>
          <cell r="X279" t="str">
            <v>0</v>
          </cell>
          <cell r="Y279">
            <v>702</v>
          </cell>
          <cell r="Z279" t="str">
            <v>0</v>
          </cell>
          <cell r="AA279" t="str">
            <v>0</v>
          </cell>
          <cell r="AB279" t="str">
            <v>0</v>
          </cell>
          <cell r="AC279" t="str">
            <v>0</v>
          </cell>
          <cell r="AD279" t="str">
            <v>0</v>
          </cell>
          <cell r="AE279" t="str">
            <v>0</v>
          </cell>
        </row>
        <row r="280">
          <cell r="D280" t="str">
            <v>30-Sep</v>
          </cell>
          <cell r="E280" t="str">
            <v>0</v>
          </cell>
          <cell r="F280" t="str">
            <v>0</v>
          </cell>
          <cell r="G280">
            <v>2</v>
          </cell>
          <cell r="H280" t="str">
            <v>0</v>
          </cell>
          <cell r="I280">
            <v>1</v>
          </cell>
          <cell r="J280" t="str">
            <v>0</v>
          </cell>
          <cell r="K280">
            <v>1</v>
          </cell>
          <cell r="L280" t="str">
            <v>0</v>
          </cell>
          <cell r="M280" t="str">
            <v>0</v>
          </cell>
          <cell r="N280" t="str">
            <v>0</v>
          </cell>
          <cell r="O280" t="str">
            <v>0</v>
          </cell>
          <cell r="P280" t="str">
            <v>0</v>
          </cell>
          <cell r="Q280" t="str">
            <v>0</v>
          </cell>
          <cell r="R280" t="str">
            <v>0</v>
          </cell>
          <cell r="S280" t="str">
            <v>0</v>
          </cell>
          <cell r="T280" t="str">
            <v>0</v>
          </cell>
          <cell r="U280">
            <v>880</v>
          </cell>
          <cell r="V280" t="str">
            <v>0</v>
          </cell>
          <cell r="W280">
            <v>484</v>
          </cell>
          <cell r="X280" t="str">
            <v>0</v>
          </cell>
          <cell r="Y280">
            <v>2126</v>
          </cell>
          <cell r="Z280" t="str">
            <v>0</v>
          </cell>
          <cell r="AA280" t="str">
            <v>0</v>
          </cell>
          <cell r="AB280" t="str">
            <v>0</v>
          </cell>
          <cell r="AC280" t="str">
            <v>0</v>
          </cell>
          <cell r="AD280" t="str">
            <v>0</v>
          </cell>
          <cell r="AE280" t="str">
            <v>0</v>
          </cell>
        </row>
        <row r="281">
          <cell r="D281" t="str">
            <v>01-Oct</v>
          </cell>
          <cell r="E281">
            <v>1</v>
          </cell>
          <cell r="F281" t="str">
            <v>0</v>
          </cell>
          <cell r="G281">
            <v>3</v>
          </cell>
          <cell r="H281">
            <v>1</v>
          </cell>
          <cell r="I281">
            <v>1</v>
          </cell>
          <cell r="J281" t="str">
            <v>0</v>
          </cell>
          <cell r="K281" t="str">
            <v>0</v>
          </cell>
          <cell r="L281" t="str">
            <v>0</v>
          </cell>
          <cell r="M281" t="str">
            <v>0</v>
          </cell>
          <cell r="N281" t="str">
            <v>0</v>
          </cell>
          <cell r="O281" t="str">
            <v>0</v>
          </cell>
          <cell r="P281" t="str">
            <v>0</v>
          </cell>
          <cell r="Q281" t="str">
            <v>0</v>
          </cell>
          <cell r="R281" t="str">
            <v>0</v>
          </cell>
          <cell r="S281">
            <v>616</v>
          </cell>
          <cell r="T281" t="str">
            <v>0</v>
          </cell>
          <cell r="U281">
            <v>6314</v>
          </cell>
          <cell r="V281">
            <v>532</v>
          </cell>
          <cell r="W281">
            <v>376</v>
          </cell>
          <cell r="X281" t="str">
            <v>0</v>
          </cell>
          <cell r="Y281" t="str">
            <v>0</v>
          </cell>
          <cell r="Z281" t="str">
            <v>0</v>
          </cell>
          <cell r="AA281" t="str">
            <v>0</v>
          </cell>
          <cell r="AB281" t="str">
            <v>0</v>
          </cell>
          <cell r="AC281" t="str">
            <v>0</v>
          </cell>
          <cell r="AD281" t="str">
            <v>0</v>
          </cell>
          <cell r="AE281" t="str">
            <v>0</v>
          </cell>
        </row>
        <row r="282">
          <cell r="D282" t="str">
            <v>02-Oct</v>
          </cell>
          <cell r="E282">
            <v>1</v>
          </cell>
          <cell r="F282" t="str">
            <v>0</v>
          </cell>
          <cell r="G282">
            <v>10</v>
          </cell>
          <cell r="H282">
            <v>7</v>
          </cell>
          <cell r="I282" t="str">
            <v>0</v>
          </cell>
          <cell r="J282">
            <v>2</v>
          </cell>
          <cell r="K282">
            <v>6</v>
          </cell>
          <cell r="L282" t="str">
            <v>0</v>
          </cell>
          <cell r="M282" t="str">
            <v>0</v>
          </cell>
          <cell r="N282" t="str">
            <v>0</v>
          </cell>
          <cell r="O282" t="str">
            <v>0</v>
          </cell>
          <cell r="P282" t="str">
            <v>0</v>
          </cell>
          <cell r="Q282" t="str">
            <v>0</v>
          </cell>
          <cell r="R282" t="str">
            <v>0</v>
          </cell>
          <cell r="S282">
            <v>680</v>
          </cell>
          <cell r="T282" t="str">
            <v>0</v>
          </cell>
          <cell r="U282">
            <v>19362</v>
          </cell>
          <cell r="V282">
            <v>12916</v>
          </cell>
          <cell r="W282" t="str">
            <v>0</v>
          </cell>
          <cell r="X282">
            <v>2638</v>
          </cell>
          <cell r="Y282">
            <v>6775</v>
          </cell>
          <cell r="Z282" t="str">
            <v>0</v>
          </cell>
          <cell r="AA282" t="str">
            <v>0</v>
          </cell>
          <cell r="AB282" t="str">
            <v>0</v>
          </cell>
          <cell r="AC282" t="str">
            <v>0</v>
          </cell>
          <cell r="AD282" t="str">
            <v>0</v>
          </cell>
          <cell r="AE282" t="str">
            <v>0</v>
          </cell>
        </row>
        <row r="283">
          <cell r="D283" t="str">
            <v>03-Oct</v>
          </cell>
          <cell r="E283">
            <v>1</v>
          </cell>
          <cell r="F283" t="str">
            <v>0</v>
          </cell>
          <cell r="G283">
            <v>6</v>
          </cell>
          <cell r="H283">
            <v>2</v>
          </cell>
          <cell r="I283">
            <v>1</v>
          </cell>
          <cell r="J283">
            <v>2</v>
          </cell>
          <cell r="K283">
            <v>2</v>
          </cell>
          <cell r="L283" t="str">
            <v>0</v>
          </cell>
          <cell r="M283" t="str">
            <v>0</v>
          </cell>
          <cell r="N283" t="str">
            <v>0</v>
          </cell>
          <cell r="O283" t="str">
            <v>0</v>
          </cell>
          <cell r="P283" t="str">
            <v>0</v>
          </cell>
          <cell r="Q283" t="str">
            <v>0</v>
          </cell>
          <cell r="R283" t="str">
            <v>0</v>
          </cell>
          <cell r="S283">
            <v>1500</v>
          </cell>
          <cell r="T283" t="str">
            <v>0</v>
          </cell>
          <cell r="U283">
            <v>9882</v>
          </cell>
          <cell r="V283">
            <v>5224</v>
          </cell>
          <cell r="W283">
            <v>1140</v>
          </cell>
          <cell r="X283">
            <v>3638</v>
          </cell>
          <cell r="Y283">
            <v>2296</v>
          </cell>
          <cell r="Z283" t="str">
            <v>0</v>
          </cell>
          <cell r="AA283" t="str">
            <v>0</v>
          </cell>
          <cell r="AB283" t="str">
            <v>0</v>
          </cell>
          <cell r="AC283" t="str">
            <v>0</v>
          </cell>
          <cell r="AD283" t="str">
            <v>0</v>
          </cell>
          <cell r="AE283" t="str">
            <v>0</v>
          </cell>
        </row>
        <row r="284">
          <cell r="D284" t="str">
            <v>04-Oct</v>
          </cell>
          <cell r="E284">
            <v>1</v>
          </cell>
          <cell r="F284" t="str">
            <v>0</v>
          </cell>
          <cell r="G284">
            <v>13</v>
          </cell>
          <cell r="H284">
            <v>5</v>
          </cell>
          <cell r="I284">
            <v>2</v>
          </cell>
          <cell r="J284" t="str">
            <v>0</v>
          </cell>
          <cell r="K284" t="str">
            <v>0</v>
          </cell>
          <cell r="L284" t="str">
            <v>0</v>
          </cell>
          <cell r="M284" t="str">
            <v>0</v>
          </cell>
          <cell r="N284" t="str">
            <v>0</v>
          </cell>
          <cell r="O284" t="str">
            <v>0</v>
          </cell>
          <cell r="P284" t="str">
            <v>0</v>
          </cell>
          <cell r="Q284" t="str">
            <v>0</v>
          </cell>
          <cell r="R284" t="str">
            <v>0</v>
          </cell>
          <cell r="S284">
            <v>1444</v>
          </cell>
          <cell r="T284" t="str">
            <v>0</v>
          </cell>
          <cell r="U284">
            <v>20263</v>
          </cell>
          <cell r="V284">
            <v>11546</v>
          </cell>
          <cell r="W284">
            <v>1164</v>
          </cell>
          <cell r="X284" t="str">
            <v>0</v>
          </cell>
          <cell r="Y284" t="str">
            <v>0</v>
          </cell>
          <cell r="Z284" t="str">
            <v>0</v>
          </cell>
          <cell r="AA284" t="str">
            <v>0</v>
          </cell>
          <cell r="AB284" t="str">
            <v>0</v>
          </cell>
          <cell r="AC284" t="str">
            <v>0</v>
          </cell>
          <cell r="AD284" t="str">
            <v>0</v>
          </cell>
          <cell r="AE284" t="str">
            <v>0</v>
          </cell>
        </row>
        <row r="285">
          <cell r="D285" t="str">
            <v>05-Oct</v>
          </cell>
          <cell r="E285" t="str">
            <v>0</v>
          </cell>
          <cell r="F285" t="str">
            <v>0</v>
          </cell>
          <cell r="G285">
            <v>4</v>
          </cell>
          <cell r="H285">
            <v>2</v>
          </cell>
          <cell r="I285">
            <v>2</v>
          </cell>
          <cell r="J285" t="str">
            <v>0</v>
          </cell>
          <cell r="K285">
            <v>2</v>
          </cell>
          <cell r="L285" t="str">
            <v>0</v>
          </cell>
          <cell r="M285" t="str">
            <v>0</v>
          </cell>
          <cell r="N285" t="str">
            <v>0</v>
          </cell>
          <cell r="O285" t="str">
            <v>0</v>
          </cell>
          <cell r="P285" t="str">
            <v>0</v>
          </cell>
          <cell r="Q285" t="str">
            <v>0</v>
          </cell>
          <cell r="R285" t="str">
            <v>0</v>
          </cell>
          <cell r="S285" t="str">
            <v>0</v>
          </cell>
          <cell r="T285" t="str">
            <v>0</v>
          </cell>
          <cell r="U285">
            <v>10827</v>
          </cell>
          <cell r="V285">
            <v>2499</v>
          </cell>
          <cell r="W285">
            <v>10699</v>
          </cell>
          <cell r="X285" t="str">
            <v>0</v>
          </cell>
          <cell r="Y285">
            <v>4231</v>
          </cell>
          <cell r="Z285" t="str">
            <v>0</v>
          </cell>
          <cell r="AA285" t="str">
            <v>0</v>
          </cell>
          <cell r="AB285" t="str">
            <v>0</v>
          </cell>
          <cell r="AC285" t="str">
            <v>0</v>
          </cell>
          <cell r="AD285" t="str">
            <v>0</v>
          </cell>
          <cell r="AE285" t="str">
            <v>0</v>
          </cell>
        </row>
        <row r="286">
          <cell r="D286" t="str">
            <v>06-Oct</v>
          </cell>
          <cell r="E286" t="str">
            <v>0</v>
          </cell>
          <cell r="F286" t="str">
            <v>0</v>
          </cell>
          <cell r="G286">
            <v>7</v>
          </cell>
          <cell r="H286">
            <v>5</v>
          </cell>
          <cell r="I286">
            <v>1</v>
          </cell>
          <cell r="J286">
            <v>2</v>
          </cell>
          <cell r="K286">
            <v>2</v>
          </cell>
          <cell r="L286" t="str">
            <v>0</v>
          </cell>
          <cell r="M286">
            <v>1</v>
          </cell>
          <cell r="N286" t="str">
            <v>0</v>
          </cell>
          <cell r="O286" t="str">
            <v>0</v>
          </cell>
          <cell r="P286" t="str">
            <v>0</v>
          </cell>
          <cell r="Q286" t="str">
            <v>0</v>
          </cell>
          <cell r="R286" t="str">
            <v>0</v>
          </cell>
          <cell r="S286" t="str">
            <v>0</v>
          </cell>
          <cell r="T286" t="str">
            <v>0</v>
          </cell>
          <cell r="U286">
            <v>9616</v>
          </cell>
          <cell r="V286">
            <v>10797</v>
          </cell>
          <cell r="W286">
            <v>630</v>
          </cell>
          <cell r="X286">
            <v>1604</v>
          </cell>
          <cell r="Y286">
            <v>2146</v>
          </cell>
          <cell r="Z286" t="str">
            <v>0</v>
          </cell>
          <cell r="AA286">
            <v>1140</v>
          </cell>
          <cell r="AB286" t="str">
            <v>0</v>
          </cell>
          <cell r="AC286" t="str">
            <v>0</v>
          </cell>
          <cell r="AD286" t="str">
            <v>0</v>
          </cell>
          <cell r="AE286" t="str">
            <v>0</v>
          </cell>
        </row>
        <row r="287">
          <cell r="D287" t="str">
            <v>07-Oct</v>
          </cell>
          <cell r="E287" t="str">
            <v>0</v>
          </cell>
          <cell r="F287" t="str">
            <v>0</v>
          </cell>
          <cell r="G287">
            <v>3</v>
          </cell>
          <cell r="H287" t="str">
            <v>0</v>
          </cell>
          <cell r="I287">
            <v>1</v>
          </cell>
          <cell r="J287">
            <v>2</v>
          </cell>
          <cell r="K287">
            <v>1</v>
          </cell>
          <cell r="L287" t="str">
            <v>0</v>
          </cell>
          <cell r="M287" t="str">
            <v>0</v>
          </cell>
          <cell r="N287" t="str">
            <v>0</v>
          </cell>
          <cell r="O287" t="str">
            <v>0</v>
          </cell>
          <cell r="P287" t="str">
            <v>0</v>
          </cell>
          <cell r="Q287" t="str">
            <v>0</v>
          </cell>
          <cell r="R287" t="str">
            <v>0</v>
          </cell>
          <cell r="S287" t="str">
            <v>0</v>
          </cell>
          <cell r="T287" t="str">
            <v>0</v>
          </cell>
          <cell r="U287">
            <v>8672</v>
          </cell>
          <cell r="V287" t="str">
            <v>0</v>
          </cell>
          <cell r="W287">
            <v>1027</v>
          </cell>
          <cell r="X287">
            <v>1625</v>
          </cell>
          <cell r="Y287">
            <v>1276</v>
          </cell>
          <cell r="Z287" t="str">
            <v>0</v>
          </cell>
          <cell r="AA287" t="str">
            <v>0</v>
          </cell>
          <cell r="AB287" t="str">
            <v>0</v>
          </cell>
          <cell r="AC287" t="str">
            <v>0</v>
          </cell>
          <cell r="AD287" t="str">
            <v>0</v>
          </cell>
          <cell r="AE287" t="str">
            <v>0</v>
          </cell>
        </row>
        <row r="288">
          <cell r="D288" t="str">
            <v>08-Oct</v>
          </cell>
          <cell r="E288">
            <v>2</v>
          </cell>
          <cell r="F288" t="str">
            <v>0</v>
          </cell>
          <cell r="G288">
            <v>3</v>
          </cell>
          <cell r="H288">
            <v>3</v>
          </cell>
          <cell r="I288">
            <v>1</v>
          </cell>
          <cell r="J288">
            <v>2</v>
          </cell>
          <cell r="K288">
            <v>6</v>
          </cell>
          <cell r="L288" t="str">
            <v>0</v>
          </cell>
          <cell r="M288" t="str">
            <v>0</v>
          </cell>
          <cell r="N288" t="str">
            <v>0</v>
          </cell>
          <cell r="O288" t="str">
            <v>0</v>
          </cell>
          <cell r="P288" t="str">
            <v>0</v>
          </cell>
          <cell r="Q288" t="str">
            <v>0</v>
          </cell>
          <cell r="R288" t="str">
            <v>0</v>
          </cell>
          <cell r="S288">
            <v>3456</v>
          </cell>
          <cell r="T288" t="str">
            <v>0</v>
          </cell>
          <cell r="U288">
            <v>7268</v>
          </cell>
          <cell r="V288">
            <v>3457</v>
          </cell>
          <cell r="W288">
            <v>2503</v>
          </cell>
          <cell r="X288">
            <v>3534</v>
          </cell>
          <cell r="Y288">
            <v>4934</v>
          </cell>
          <cell r="Z288" t="str">
            <v>0</v>
          </cell>
          <cell r="AA288" t="str">
            <v>0</v>
          </cell>
          <cell r="AB288" t="str">
            <v>0</v>
          </cell>
          <cell r="AC288" t="str">
            <v>0</v>
          </cell>
          <cell r="AD288" t="str">
            <v>0</v>
          </cell>
          <cell r="AE288" t="str">
            <v>0</v>
          </cell>
        </row>
        <row r="289">
          <cell r="D289" t="str">
            <v>09-Oct</v>
          </cell>
          <cell r="E289">
            <v>1</v>
          </cell>
          <cell r="F289" t="str">
            <v>0</v>
          </cell>
          <cell r="G289">
            <v>6</v>
          </cell>
          <cell r="H289">
            <v>1</v>
          </cell>
          <cell r="I289">
            <v>1</v>
          </cell>
          <cell r="J289">
            <v>3</v>
          </cell>
          <cell r="K289">
            <v>3</v>
          </cell>
          <cell r="L289">
            <v>1</v>
          </cell>
          <cell r="M289" t="str">
            <v>0</v>
          </cell>
          <cell r="N289" t="str">
            <v>0</v>
          </cell>
          <cell r="O289" t="str">
            <v>0</v>
          </cell>
          <cell r="P289" t="str">
            <v>0</v>
          </cell>
          <cell r="Q289" t="str">
            <v>0</v>
          </cell>
          <cell r="R289" t="str">
            <v>0</v>
          </cell>
          <cell r="S289">
            <v>830</v>
          </cell>
          <cell r="T289" t="str">
            <v>0</v>
          </cell>
          <cell r="U289">
            <v>12564</v>
          </cell>
          <cell r="V289">
            <v>1195</v>
          </cell>
          <cell r="W289">
            <v>2912</v>
          </cell>
          <cell r="X289">
            <v>3057</v>
          </cell>
          <cell r="Y289">
            <v>6703</v>
          </cell>
          <cell r="Z289">
            <v>3074</v>
          </cell>
          <cell r="AA289" t="str">
            <v>0</v>
          </cell>
          <cell r="AB289" t="str">
            <v>0</v>
          </cell>
          <cell r="AC289" t="str">
            <v>0</v>
          </cell>
          <cell r="AD289" t="str">
            <v>0</v>
          </cell>
          <cell r="AE289" t="str">
            <v>0</v>
          </cell>
        </row>
        <row r="290">
          <cell r="D290" t="str">
            <v>10-Oct</v>
          </cell>
          <cell r="E290">
            <v>7</v>
          </cell>
          <cell r="F290" t="str">
            <v>0</v>
          </cell>
          <cell r="G290">
            <v>14</v>
          </cell>
          <cell r="H290">
            <v>1</v>
          </cell>
          <cell r="I290">
            <v>1</v>
          </cell>
          <cell r="J290">
            <v>2</v>
          </cell>
          <cell r="K290">
            <v>1</v>
          </cell>
          <cell r="L290" t="str">
            <v>0</v>
          </cell>
          <cell r="M290" t="str">
            <v>0</v>
          </cell>
          <cell r="N290" t="str">
            <v>0</v>
          </cell>
          <cell r="O290" t="str">
            <v>0</v>
          </cell>
          <cell r="P290" t="str">
            <v>0</v>
          </cell>
          <cell r="Q290" t="str">
            <v>0</v>
          </cell>
          <cell r="R290" t="str">
            <v>0</v>
          </cell>
          <cell r="S290">
            <v>13175</v>
          </cell>
          <cell r="T290" t="str">
            <v>0</v>
          </cell>
          <cell r="U290">
            <v>62165</v>
          </cell>
          <cell r="V290">
            <v>1064</v>
          </cell>
          <cell r="W290">
            <v>1318</v>
          </cell>
          <cell r="X290">
            <v>2041</v>
          </cell>
          <cell r="Y290">
            <v>1606</v>
          </cell>
          <cell r="Z290" t="str">
            <v>0</v>
          </cell>
          <cell r="AA290" t="str">
            <v>0</v>
          </cell>
          <cell r="AB290" t="str">
            <v>0</v>
          </cell>
          <cell r="AC290" t="str">
            <v>0</v>
          </cell>
          <cell r="AD290" t="str">
            <v>0</v>
          </cell>
          <cell r="AE290" t="str">
            <v>0</v>
          </cell>
        </row>
        <row r="291">
          <cell r="D291" t="str">
            <v>11-Oct</v>
          </cell>
          <cell r="E291">
            <v>1</v>
          </cell>
          <cell r="F291" t="str">
            <v>0</v>
          </cell>
          <cell r="G291">
            <v>3</v>
          </cell>
          <cell r="H291" t="str">
            <v>0</v>
          </cell>
          <cell r="I291">
            <v>1</v>
          </cell>
          <cell r="J291" t="str">
            <v>0</v>
          </cell>
          <cell r="K291" t="str">
            <v>0</v>
          </cell>
          <cell r="L291" t="str">
            <v>0</v>
          </cell>
          <cell r="M291" t="str">
            <v>0</v>
          </cell>
          <cell r="N291" t="str">
            <v>0</v>
          </cell>
          <cell r="O291" t="str">
            <v>0</v>
          </cell>
          <cell r="P291" t="str">
            <v>0</v>
          </cell>
          <cell r="Q291" t="str">
            <v>0</v>
          </cell>
          <cell r="R291" t="str">
            <v>0</v>
          </cell>
          <cell r="S291">
            <v>2026</v>
          </cell>
          <cell r="T291" t="str">
            <v>0</v>
          </cell>
          <cell r="U291">
            <v>6869</v>
          </cell>
          <cell r="V291" t="str">
            <v>0</v>
          </cell>
          <cell r="W291">
            <v>2888</v>
          </cell>
          <cell r="X291" t="str">
            <v>0</v>
          </cell>
          <cell r="Y291" t="str">
            <v>0</v>
          </cell>
          <cell r="Z291" t="str">
            <v>0</v>
          </cell>
          <cell r="AA291" t="str">
            <v>0</v>
          </cell>
          <cell r="AB291" t="str">
            <v>0</v>
          </cell>
          <cell r="AC291" t="str">
            <v>0</v>
          </cell>
          <cell r="AD291" t="str">
            <v>0</v>
          </cell>
          <cell r="AE291" t="str">
            <v>0</v>
          </cell>
        </row>
        <row r="292">
          <cell r="D292" t="str">
            <v>12-Oct</v>
          </cell>
          <cell r="E292">
            <v>2</v>
          </cell>
          <cell r="F292" t="str">
            <v>0</v>
          </cell>
          <cell r="G292">
            <v>1</v>
          </cell>
          <cell r="H292">
            <v>1</v>
          </cell>
          <cell r="I292" t="str">
            <v>0</v>
          </cell>
          <cell r="J292" t="str">
            <v>0</v>
          </cell>
          <cell r="K292">
            <v>10</v>
          </cell>
          <cell r="L292" t="str">
            <v>0</v>
          </cell>
          <cell r="M292" t="str">
            <v>0</v>
          </cell>
          <cell r="N292" t="str">
            <v>0</v>
          </cell>
          <cell r="O292" t="str">
            <v>0</v>
          </cell>
          <cell r="P292" t="str">
            <v>0</v>
          </cell>
          <cell r="Q292" t="str">
            <v>0</v>
          </cell>
          <cell r="R292" t="str">
            <v>0</v>
          </cell>
          <cell r="S292">
            <v>3158</v>
          </cell>
          <cell r="T292" t="str">
            <v>0</v>
          </cell>
          <cell r="U292">
            <v>1181</v>
          </cell>
          <cell r="V292">
            <v>1276</v>
          </cell>
          <cell r="W292" t="str">
            <v>0</v>
          </cell>
          <cell r="X292" t="str">
            <v>0</v>
          </cell>
          <cell r="Y292">
            <v>9692</v>
          </cell>
          <cell r="Z292" t="str">
            <v>0</v>
          </cell>
          <cell r="AA292" t="str">
            <v>0</v>
          </cell>
          <cell r="AB292" t="str">
            <v>0</v>
          </cell>
          <cell r="AC292" t="str">
            <v>0</v>
          </cell>
          <cell r="AD292" t="str">
            <v>0</v>
          </cell>
          <cell r="AE292" t="str">
            <v>0</v>
          </cell>
        </row>
        <row r="293">
          <cell r="D293" t="str">
            <v>13-Oct</v>
          </cell>
          <cell r="E293">
            <v>3</v>
          </cell>
          <cell r="F293" t="str">
            <v>0</v>
          </cell>
          <cell r="G293">
            <v>6</v>
          </cell>
          <cell r="H293">
            <v>10</v>
          </cell>
          <cell r="I293">
            <v>1</v>
          </cell>
          <cell r="J293" t="str">
            <v>0</v>
          </cell>
          <cell r="K293" t="str">
            <v>0</v>
          </cell>
          <cell r="L293" t="str">
            <v>0</v>
          </cell>
          <cell r="M293" t="str">
            <v>0</v>
          </cell>
          <cell r="N293" t="str">
            <v>0</v>
          </cell>
          <cell r="O293" t="str">
            <v>0</v>
          </cell>
          <cell r="P293" t="str">
            <v>0</v>
          </cell>
          <cell r="Q293" t="str">
            <v>0</v>
          </cell>
          <cell r="R293" t="str">
            <v>0</v>
          </cell>
          <cell r="S293">
            <v>4471</v>
          </cell>
          <cell r="T293" t="str">
            <v>0</v>
          </cell>
          <cell r="U293">
            <v>9313</v>
          </cell>
          <cell r="V293">
            <v>13668</v>
          </cell>
          <cell r="W293">
            <v>1772</v>
          </cell>
          <cell r="X293" t="str">
            <v>0</v>
          </cell>
          <cell r="Y293" t="str">
            <v>0</v>
          </cell>
          <cell r="Z293" t="str">
            <v>0</v>
          </cell>
          <cell r="AA293" t="str">
            <v>0</v>
          </cell>
          <cell r="AB293" t="str">
            <v>0</v>
          </cell>
          <cell r="AC293" t="str">
            <v>0</v>
          </cell>
          <cell r="AD293" t="str">
            <v>0</v>
          </cell>
          <cell r="AE293" t="str">
            <v>0</v>
          </cell>
        </row>
        <row r="294">
          <cell r="D294" t="str">
            <v>14-Oct</v>
          </cell>
          <cell r="E294">
            <v>4</v>
          </cell>
          <cell r="F294" t="str">
            <v>0</v>
          </cell>
          <cell r="G294">
            <v>8</v>
          </cell>
          <cell r="H294">
            <v>6</v>
          </cell>
          <cell r="I294">
            <v>4</v>
          </cell>
          <cell r="J294">
            <v>3</v>
          </cell>
          <cell r="K294">
            <v>1</v>
          </cell>
          <cell r="L294" t="str">
            <v>0</v>
          </cell>
          <cell r="M294" t="str">
            <v>0</v>
          </cell>
          <cell r="N294" t="str">
            <v>0</v>
          </cell>
          <cell r="O294" t="str">
            <v>0</v>
          </cell>
          <cell r="P294" t="str">
            <v>0</v>
          </cell>
          <cell r="Q294" t="str">
            <v>0</v>
          </cell>
          <cell r="R294" t="str">
            <v>0</v>
          </cell>
          <cell r="S294">
            <v>8440</v>
          </cell>
          <cell r="T294" t="str">
            <v>0</v>
          </cell>
          <cell r="U294">
            <v>15999</v>
          </cell>
          <cell r="V294">
            <v>7107</v>
          </cell>
          <cell r="W294">
            <v>20252</v>
          </cell>
          <cell r="X294">
            <v>13092</v>
          </cell>
          <cell r="Y294">
            <v>940</v>
          </cell>
          <cell r="Z294" t="str">
            <v>0</v>
          </cell>
          <cell r="AA294" t="str">
            <v>0</v>
          </cell>
          <cell r="AB294" t="str">
            <v>0</v>
          </cell>
          <cell r="AC294" t="str">
            <v>0</v>
          </cell>
          <cell r="AD294" t="str">
            <v>0</v>
          </cell>
          <cell r="AE294" t="str">
            <v>0</v>
          </cell>
        </row>
        <row r="295">
          <cell r="D295" t="str">
            <v>15-Oct</v>
          </cell>
          <cell r="E295">
            <v>2</v>
          </cell>
          <cell r="F295" t="str">
            <v>0</v>
          </cell>
          <cell r="G295">
            <v>7</v>
          </cell>
          <cell r="H295">
            <v>6</v>
          </cell>
          <cell r="I295">
            <v>1</v>
          </cell>
          <cell r="J295">
            <v>1</v>
          </cell>
          <cell r="K295">
            <v>2</v>
          </cell>
          <cell r="L295" t="str">
            <v>0</v>
          </cell>
          <cell r="M295" t="str">
            <v>0</v>
          </cell>
          <cell r="N295" t="str">
            <v>0</v>
          </cell>
          <cell r="O295" t="str">
            <v>0</v>
          </cell>
          <cell r="P295" t="str">
            <v>0</v>
          </cell>
          <cell r="Q295" t="str">
            <v>0</v>
          </cell>
          <cell r="R295" t="str">
            <v>0</v>
          </cell>
          <cell r="S295">
            <v>2508</v>
          </cell>
          <cell r="T295" t="str">
            <v>0</v>
          </cell>
          <cell r="U295">
            <v>8622</v>
          </cell>
          <cell r="V295">
            <v>9139</v>
          </cell>
          <cell r="W295">
            <v>1386</v>
          </cell>
          <cell r="X295">
            <v>492</v>
          </cell>
          <cell r="Y295">
            <v>6840</v>
          </cell>
          <cell r="Z295" t="str">
            <v>0</v>
          </cell>
          <cell r="AA295" t="str">
            <v>0</v>
          </cell>
          <cell r="AB295" t="str">
            <v>0</v>
          </cell>
          <cell r="AC295" t="str">
            <v>0</v>
          </cell>
          <cell r="AD295" t="str">
            <v>0</v>
          </cell>
          <cell r="AE295" t="str">
            <v>0</v>
          </cell>
        </row>
        <row r="296">
          <cell r="D296" t="str">
            <v>16-Oct</v>
          </cell>
          <cell r="E296" t="str">
            <v>0</v>
          </cell>
          <cell r="F296" t="str">
            <v>0</v>
          </cell>
          <cell r="G296">
            <v>4</v>
          </cell>
          <cell r="H296">
            <v>3</v>
          </cell>
          <cell r="I296">
            <v>3</v>
          </cell>
          <cell r="J296">
            <v>2</v>
          </cell>
          <cell r="K296">
            <v>10</v>
          </cell>
          <cell r="L296" t="str">
            <v>0</v>
          </cell>
          <cell r="M296" t="str">
            <v>0</v>
          </cell>
          <cell r="N296" t="str">
            <v>0</v>
          </cell>
          <cell r="O296" t="str">
            <v>0</v>
          </cell>
          <cell r="P296" t="str">
            <v>0</v>
          </cell>
          <cell r="Q296" t="str">
            <v>0</v>
          </cell>
          <cell r="R296" t="str">
            <v>0</v>
          </cell>
          <cell r="S296" t="str">
            <v>0</v>
          </cell>
          <cell r="T296" t="str">
            <v>0</v>
          </cell>
          <cell r="U296">
            <v>11882</v>
          </cell>
          <cell r="V296">
            <v>1344</v>
          </cell>
          <cell r="W296">
            <v>6292</v>
          </cell>
          <cell r="X296">
            <v>2072</v>
          </cell>
          <cell r="Y296">
            <v>17633</v>
          </cell>
          <cell r="Z296" t="str">
            <v>0</v>
          </cell>
          <cell r="AA296" t="str">
            <v>0</v>
          </cell>
          <cell r="AB296" t="str">
            <v>0</v>
          </cell>
          <cell r="AC296" t="str">
            <v>0</v>
          </cell>
          <cell r="AD296" t="str">
            <v>0</v>
          </cell>
          <cell r="AE296" t="str">
            <v>0</v>
          </cell>
        </row>
        <row r="297">
          <cell r="D297" t="str">
            <v>17-Oct</v>
          </cell>
          <cell r="E297">
            <v>9</v>
          </cell>
          <cell r="F297" t="str">
            <v>0</v>
          </cell>
          <cell r="G297">
            <v>6</v>
          </cell>
          <cell r="H297">
            <v>14</v>
          </cell>
          <cell r="I297">
            <v>6</v>
          </cell>
          <cell r="J297">
            <v>2</v>
          </cell>
          <cell r="K297">
            <v>17</v>
          </cell>
          <cell r="L297" t="str">
            <v>0</v>
          </cell>
          <cell r="M297">
            <v>4</v>
          </cell>
          <cell r="N297" t="str">
            <v>0</v>
          </cell>
          <cell r="O297" t="str">
            <v>0</v>
          </cell>
          <cell r="P297" t="str">
            <v>0</v>
          </cell>
          <cell r="Q297" t="str">
            <v>0</v>
          </cell>
          <cell r="R297" t="str">
            <v>0</v>
          </cell>
          <cell r="S297">
            <v>76916</v>
          </cell>
          <cell r="T297" t="str">
            <v>0</v>
          </cell>
          <cell r="U297">
            <v>11911</v>
          </cell>
          <cell r="V297">
            <v>42656</v>
          </cell>
          <cell r="W297">
            <v>8543</v>
          </cell>
          <cell r="X297">
            <v>2432</v>
          </cell>
          <cell r="Y297">
            <v>25564</v>
          </cell>
          <cell r="Z297" t="str">
            <v>0</v>
          </cell>
          <cell r="AA297">
            <v>7151</v>
          </cell>
          <cell r="AB297" t="str">
            <v>0</v>
          </cell>
          <cell r="AC297" t="str">
            <v>0</v>
          </cell>
          <cell r="AD297" t="str">
            <v>0</v>
          </cell>
          <cell r="AE297" t="str">
            <v>0</v>
          </cell>
        </row>
        <row r="298">
          <cell r="D298" t="str">
            <v>18-Oct</v>
          </cell>
          <cell r="E298">
            <v>1</v>
          </cell>
          <cell r="F298" t="str">
            <v>0</v>
          </cell>
          <cell r="G298">
            <v>4</v>
          </cell>
          <cell r="H298">
            <v>5</v>
          </cell>
          <cell r="I298">
            <v>2</v>
          </cell>
          <cell r="J298">
            <v>1</v>
          </cell>
          <cell r="K298">
            <v>6</v>
          </cell>
          <cell r="L298" t="str">
            <v>0</v>
          </cell>
          <cell r="M298" t="str">
            <v>0</v>
          </cell>
          <cell r="N298" t="str">
            <v>0</v>
          </cell>
          <cell r="O298" t="str">
            <v>0</v>
          </cell>
          <cell r="P298" t="str">
            <v>0</v>
          </cell>
          <cell r="Q298" t="str">
            <v>0</v>
          </cell>
          <cell r="R298" t="str">
            <v>0</v>
          </cell>
          <cell r="S298">
            <v>774</v>
          </cell>
          <cell r="T298" t="str">
            <v>0</v>
          </cell>
          <cell r="U298">
            <v>5760</v>
          </cell>
          <cell r="V298">
            <v>5723</v>
          </cell>
          <cell r="W298">
            <v>3270</v>
          </cell>
          <cell r="X298">
            <v>398</v>
          </cell>
          <cell r="Y298">
            <v>11220</v>
          </cell>
          <cell r="Z298" t="str">
            <v>0</v>
          </cell>
          <cell r="AA298" t="str">
            <v>0</v>
          </cell>
          <cell r="AB298" t="str">
            <v>0</v>
          </cell>
          <cell r="AC298" t="str">
            <v>0</v>
          </cell>
          <cell r="AD298" t="str">
            <v>0</v>
          </cell>
          <cell r="AE298" t="str">
            <v>0</v>
          </cell>
        </row>
        <row r="299">
          <cell r="D299" t="str">
            <v>19-Oct</v>
          </cell>
          <cell r="E299">
            <v>1</v>
          </cell>
          <cell r="F299">
            <v>1</v>
          </cell>
          <cell r="G299">
            <v>6</v>
          </cell>
          <cell r="H299">
            <v>3</v>
          </cell>
          <cell r="I299">
            <v>1</v>
          </cell>
          <cell r="J299">
            <v>4</v>
          </cell>
          <cell r="K299">
            <v>2</v>
          </cell>
          <cell r="L299" t="str">
            <v>0</v>
          </cell>
          <cell r="M299">
            <v>4</v>
          </cell>
          <cell r="N299" t="str">
            <v>0</v>
          </cell>
          <cell r="O299" t="str">
            <v>0</v>
          </cell>
          <cell r="P299" t="str">
            <v>0</v>
          </cell>
          <cell r="Q299" t="str">
            <v>0</v>
          </cell>
          <cell r="R299" t="str">
            <v>0</v>
          </cell>
          <cell r="S299">
            <v>2520</v>
          </cell>
          <cell r="T299">
            <v>2475</v>
          </cell>
          <cell r="U299">
            <v>9642</v>
          </cell>
          <cell r="V299">
            <v>4941</v>
          </cell>
          <cell r="W299">
            <v>1910</v>
          </cell>
          <cell r="X299">
            <v>6765</v>
          </cell>
          <cell r="Y299">
            <v>1401</v>
          </cell>
          <cell r="Z299" t="str">
            <v>0</v>
          </cell>
          <cell r="AA299">
            <v>13705</v>
          </cell>
          <cell r="AB299" t="str">
            <v>0</v>
          </cell>
          <cell r="AC299" t="str">
            <v>0</v>
          </cell>
          <cell r="AD299" t="str">
            <v>0</v>
          </cell>
          <cell r="AE299" t="str">
            <v>0</v>
          </cell>
        </row>
        <row r="300">
          <cell r="D300" t="str">
            <v>20-Oct</v>
          </cell>
          <cell r="E300">
            <v>1</v>
          </cell>
          <cell r="F300" t="str">
            <v>0</v>
          </cell>
          <cell r="G300">
            <v>5</v>
          </cell>
          <cell r="H300">
            <v>2</v>
          </cell>
          <cell r="I300">
            <v>1</v>
          </cell>
          <cell r="J300">
            <v>1</v>
          </cell>
          <cell r="K300" t="str">
            <v>0</v>
          </cell>
          <cell r="L300" t="str">
            <v>0</v>
          </cell>
          <cell r="M300" t="str">
            <v>0</v>
          </cell>
          <cell r="N300" t="str">
            <v>0</v>
          </cell>
          <cell r="O300" t="str">
            <v>0</v>
          </cell>
          <cell r="P300" t="str">
            <v>0</v>
          </cell>
          <cell r="Q300" t="str">
            <v>0</v>
          </cell>
          <cell r="R300" t="str">
            <v>0</v>
          </cell>
          <cell r="S300">
            <v>275</v>
          </cell>
          <cell r="T300" t="str">
            <v>0</v>
          </cell>
          <cell r="U300">
            <v>7160</v>
          </cell>
          <cell r="V300">
            <v>2079</v>
          </cell>
          <cell r="W300">
            <v>478</v>
          </cell>
          <cell r="X300">
            <v>1457</v>
          </cell>
          <cell r="Y300" t="str">
            <v>0</v>
          </cell>
          <cell r="Z300" t="str">
            <v>0</v>
          </cell>
          <cell r="AA300" t="str">
            <v>0</v>
          </cell>
          <cell r="AB300" t="str">
            <v>0</v>
          </cell>
          <cell r="AC300" t="str">
            <v>0</v>
          </cell>
          <cell r="AD300" t="str">
            <v>0</v>
          </cell>
          <cell r="AE300" t="str">
            <v>0</v>
          </cell>
        </row>
        <row r="301">
          <cell r="D301" t="str">
            <v>21-Oct</v>
          </cell>
          <cell r="E301" t="str">
            <v>0</v>
          </cell>
          <cell r="F301">
            <v>3</v>
          </cell>
          <cell r="G301">
            <v>3</v>
          </cell>
          <cell r="H301">
            <v>4</v>
          </cell>
          <cell r="I301">
            <v>2</v>
          </cell>
          <cell r="J301">
            <v>4</v>
          </cell>
          <cell r="K301">
            <v>4</v>
          </cell>
          <cell r="L301" t="str">
            <v>0</v>
          </cell>
          <cell r="M301" t="str">
            <v>0</v>
          </cell>
          <cell r="N301" t="str">
            <v>0</v>
          </cell>
          <cell r="O301" t="str">
            <v>0</v>
          </cell>
          <cell r="P301" t="str">
            <v>0</v>
          </cell>
          <cell r="Q301" t="str">
            <v>0</v>
          </cell>
          <cell r="R301" t="str">
            <v>0</v>
          </cell>
          <cell r="S301" t="str">
            <v>0</v>
          </cell>
          <cell r="T301">
            <v>4682</v>
          </cell>
          <cell r="U301">
            <v>2454</v>
          </cell>
          <cell r="V301">
            <v>4903</v>
          </cell>
          <cell r="W301">
            <v>883</v>
          </cell>
          <cell r="X301">
            <v>5795</v>
          </cell>
          <cell r="Y301">
            <v>6314</v>
          </cell>
          <cell r="Z301" t="str">
            <v>0</v>
          </cell>
          <cell r="AA301" t="str">
            <v>0</v>
          </cell>
          <cell r="AB301" t="str">
            <v>0</v>
          </cell>
          <cell r="AC301" t="str">
            <v>0</v>
          </cell>
          <cell r="AD301" t="str">
            <v>0</v>
          </cell>
          <cell r="AE301" t="str">
            <v>0</v>
          </cell>
        </row>
        <row r="302">
          <cell r="D302" t="str">
            <v>22-Oct</v>
          </cell>
          <cell r="E302">
            <v>3</v>
          </cell>
          <cell r="F302">
            <v>2</v>
          </cell>
          <cell r="G302">
            <v>15</v>
          </cell>
          <cell r="H302" t="str">
            <v>0</v>
          </cell>
          <cell r="I302">
            <v>1</v>
          </cell>
          <cell r="J302" t="str">
            <v>0</v>
          </cell>
          <cell r="K302">
            <v>2</v>
          </cell>
          <cell r="L302" t="str">
            <v>0</v>
          </cell>
          <cell r="M302" t="str">
            <v>0</v>
          </cell>
          <cell r="N302" t="str">
            <v>0</v>
          </cell>
          <cell r="O302" t="str">
            <v>0</v>
          </cell>
          <cell r="P302" t="str">
            <v>0</v>
          </cell>
          <cell r="Q302" t="str">
            <v>0</v>
          </cell>
          <cell r="R302" t="str">
            <v>0</v>
          </cell>
          <cell r="S302">
            <v>3904</v>
          </cell>
          <cell r="T302">
            <v>3196</v>
          </cell>
          <cell r="U302">
            <v>22783</v>
          </cell>
          <cell r="V302" t="str">
            <v>0</v>
          </cell>
          <cell r="W302">
            <v>2584</v>
          </cell>
          <cell r="X302" t="str">
            <v>0</v>
          </cell>
          <cell r="Y302">
            <v>4623</v>
          </cell>
          <cell r="Z302" t="str">
            <v>0</v>
          </cell>
          <cell r="AA302" t="str">
            <v>0</v>
          </cell>
          <cell r="AB302" t="str">
            <v>0</v>
          </cell>
          <cell r="AC302" t="str">
            <v>0</v>
          </cell>
          <cell r="AD302" t="str">
            <v>0</v>
          </cell>
          <cell r="AE302" t="str">
            <v>0</v>
          </cell>
        </row>
        <row r="303">
          <cell r="D303" t="str">
            <v>23-Oct</v>
          </cell>
          <cell r="E303">
            <v>3</v>
          </cell>
          <cell r="F303">
            <v>2</v>
          </cell>
          <cell r="G303">
            <v>6</v>
          </cell>
          <cell r="H303">
            <v>3</v>
          </cell>
          <cell r="I303">
            <v>3</v>
          </cell>
          <cell r="J303">
            <v>2</v>
          </cell>
          <cell r="K303">
            <v>3</v>
          </cell>
          <cell r="L303" t="str">
            <v>0</v>
          </cell>
          <cell r="M303">
            <v>2</v>
          </cell>
          <cell r="N303" t="str">
            <v>0</v>
          </cell>
          <cell r="O303" t="str">
            <v>0</v>
          </cell>
          <cell r="P303" t="str">
            <v>0</v>
          </cell>
          <cell r="Q303" t="str">
            <v>0</v>
          </cell>
          <cell r="R303" t="str">
            <v>0</v>
          </cell>
          <cell r="S303">
            <v>4160</v>
          </cell>
          <cell r="T303">
            <v>1520</v>
          </cell>
          <cell r="U303">
            <v>11441</v>
          </cell>
          <cell r="V303">
            <v>4867</v>
          </cell>
          <cell r="W303">
            <v>4454</v>
          </cell>
          <cell r="X303">
            <v>1331</v>
          </cell>
          <cell r="Y303">
            <v>9191</v>
          </cell>
          <cell r="Z303" t="str">
            <v>0</v>
          </cell>
          <cell r="AA303">
            <v>1815</v>
          </cell>
          <cell r="AB303" t="str">
            <v>0</v>
          </cell>
          <cell r="AC303" t="str">
            <v>0</v>
          </cell>
          <cell r="AD303" t="str">
            <v>0</v>
          </cell>
          <cell r="AE303" t="str">
            <v>0</v>
          </cell>
        </row>
        <row r="304">
          <cell r="D304" t="str">
            <v>24-Oct</v>
          </cell>
          <cell r="E304">
            <v>6</v>
          </cell>
          <cell r="F304">
            <v>1</v>
          </cell>
          <cell r="G304">
            <v>1</v>
          </cell>
          <cell r="H304">
            <v>1</v>
          </cell>
          <cell r="I304" t="str">
            <v>0</v>
          </cell>
          <cell r="J304">
            <v>1</v>
          </cell>
          <cell r="K304">
            <v>8</v>
          </cell>
          <cell r="L304" t="str">
            <v>0</v>
          </cell>
          <cell r="M304" t="str">
            <v>0</v>
          </cell>
          <cell r="N304" t="str">
            <v>0</v>
          </cell>
          <cell r="O304">
            <v>2</v>
          </cell>
          <cell r="P304" t="str">
            <v>0</v>
          </cell>
          <cell r="Q304" t="str">
            <v>0</v>
          </cell>
          <cell r="R304" t="str">
            <v>0</v>
          </cell>
          <cell r="S304">
            <v>6829</v>
          </cell>
          <cell r="T304">
            <v>2039</v>
          </cell>
          <cell r="U304">
            <v>2204</v>
          </cell>
          <cell r="V304">
            <v>1373</v>
          </cell>
          <cell r="W304" t="str">
            <v>0</v>
          </cell>
          <cell r="X304">
            <v>622</v>
          </cell>
          <cell r="Y304">
            <v>8592</v>
          </cell>
          <cell r="Z304" t="str">
            <v>0</v>
          </cell>
          <cell r="AA304" t="str">
            <v>0</v>
          </cell>
          <cell r="AB304" t="str">
            <v>0</v>
          </cell>
          <cell r="AC304">
            <v>3387</v>
          </cell>
          <cell r="AD304" t="str">
            <v>0</v>
          </cell>
          <cell r="AE304" t="str">
            <v>0</v>
          </cell>
        </row>
        <row r="305">
          <cell r="D305" t="str">
            <v>25-Oct</v>
          </cell>
          <cell r="E305" t="str">
            <v>0</v>
          </cell>
          <cell r="F305">
            <v>1</v>
          </cell>
          <cell r="G305">
            <v>8</v>
          </cell>
          <cell r="H305">
            <v>8</v>
          </cell>
          <cell r="I305">
            <v>1</v>
          </cell>
          <cell r="J305" t="str">
            <v>0</v>
          </cell>
          <cell r="K305">
            <v>3</v>
          </cell>
          <cell r="L305" t="str">
            <v>0</v>
          </cell>
          <cell r="M305" t="str">
            <v>0</v>
          </cell>
          <cell r="N305" t="str">
            <v>0</v>
          </cell>
          <cell r="O305">
            <v>1</v>
          </cell>
          <cell r="P305" t="str">
            <v>0</v>
          </cell>
          <cell r="Q305" t="str">
            <v>0</v>
          </cell>
          <cell r="R305" t="str">
            <v>0</v>
          </cell>
          <cell r="S305" t="str">
            <v>0</v>
          </cell>
          <cell r="T305">
            <v>433</v>
          </cell>
          <cell r="U305">
            <v>13998</v>
          </cell>
          <cell r="V305">
            <v>11353</v>
          </cell>
          <cell r="W305">
            <v>781</v>
          </cell>
          <cell r="X305" t="str">
            <v>0</v>
          </cell>
          <cell r="Y305">
            <v>10441</v>
          </cell>
          <cell r="Z305" t="str">
            <v>0</v>
          </cell>
          <cell r="AA305" t="str">
            <v>0</v>
          </cell>
          <cell r="AB305" t="str">
            <v>0</v>
          </cell>
          <cell r="AC305">
            <v>448</v>
          </cell>
          <cell r="AD305" t="str">
            <v>0</v>
          </cell>
          <cell r="AE305" t="str">
            <v>0</v>
          </cell>
        </row>
        <row r="306">
          <cell r="D306" t="str">
            <v>26-Oct</v>
          </cell>
          <cell r="E306" t="str">
            <v>0</v>
          </cell>
          <cell r="F306">
            <v>3</v>
          </cell>
          <cell r="G306" t="str">
            <v>0</v>
          </cell>
          <cell r="H306" t="str">
            <v>0</v>
          </cell>
          <cell r="I306" t="str">
            <v>0</v>
          </cell>
          <cell r="J306" t="str">
            <v>0</v>
          </cell>
          <cell r="K306">
            <v>5</v>
          </cell>
          <cell r="L306" t="str">
            <v>0</v>
          </cell>
          <cell r="M306" t="str">
            <v>0</v>
          </cell>
          <cell r="N306">
            <v>6</v>
          </cell>
          <cell r="O306">
            <v>1</v>
          </cell>
          <cell r="P306" t="str">
            <v>0</v>
          </cell>
          <cell r="Q306" t="str">
            <v>0</v>
          </cell>
          <cell r="R306" t="str">
            <v>0</v>
          </cell>
          <cell r="S306" t="str">
            <v>0</v>
          </cell>
          <cell r="T306">
            <v>3391</v>
          </cell>
          <cell r="U306" t="str">
            <v>0</v>
          </cell>
          <cell r="V306" t="str">
            <v>0</v>
          </cell>
          <cell r="W306" t="str">
            <v>0</v>
          </cell>
          <cell r="X306" t="str">
            <v>0</v>
          </cell>
          <cell r="Y306">
            <v>12495</v>
          </cell>
          <cell r="Z306" t="str">
            <v>0</v>
          </cell>
          <cell r="AA306" t="str">
            <v>0</v>
          </cell>
          <cell r="AB306">
            <v>6916</v>
          </cell>
          <cell r="AC306">
            <v>3420</v>
          </cell>
          <cell r="AD306" t="str">
            <v>0</v>
          </cell>
          <cell r="AE306" t="str">
            <v>0</v>
          </cell>
        </row>
        <row r="307">
          <cell r="D307" t="str">
            <v>27-Oct</v>
          </cell>
          <cell r="E307" t="str">
            <v>0</v>
          </cell>
          <cell r="F307">
            <v>2</v>
          </cell>
          <cell r="G307">
            <v>4</v>
          </cell>
          <cell r="H307">
            <v>4</v>
          </cell>
          <cell r="I307">
            <v>3</v>
          </cell>
          <cell r="J307">
            <v>1</v>
          </cell>
          <cell r="K307">
            <v>14</v>
          </cell>
          <cell r="L307" t="str">
            <v>0</v>
          </cell>
          <cell r="M307" t="str">
            <v>0</v>
          </cell>
          <cell r="N307" t="str">
            <v>0</v>
          </cell>
          <cell r="O307">
            <v>4</v>
          </cell>
          <cell r="P307" t="str">
            <v>0</v>
          </cell>
          <cell r="Q307" t="str">
            <v>0</v>
          </cell>
          <cell r="R307" t="str">
            <v>0</v>
          </cell>
          <cell r="S307" t="str">
            <v>0</v>
          </cell>
          <cell r="T307">
            <v>1900</v>
          </cell>
          <cell r="U307">
            <v>11658</v>
          </cell>
          <cell r="V307">
            <v>4611</v>
          </cell>
          <cell r="W307">
            <v>4140</v>
          </cell>
          <cell r="X307">
            <v>1386</v>
          </cell>
          <cell r="Y307">
            <v>13842</v>
          </cell>
          <cell r="Z307" t="str">
            <v>0</v>
          </cell>
          <cell r="AA307" t="str">
            <v>0</v>
          </cell>
          <cell r="AB307" t="str">
            <v>0</v>
          </cell>
          <cell r="AC307">
            <v>3432</v>
          </cell>
          <cell r="AD307" t="str">
            <v>0</v>
          </cell>
          <cell r="AE307" t="str">
            <v>0</v>
          </cell>
        </row>
        <row r="308">
          <cell r="D308" t="str">
            <v>28-Oct</v>
          </cell>
          <cell r="E308">
            <v>2</v>
          </cell>
          <cell r="F308" t="str">
            <v>0</v>
          </cell>
          <cell r="G308">
            <v>4</v>
          </cell>
          <cell r="H308">
            <v>4</v>
          </cell>
          <cell r="I308">
            <v>2</v>
          </cell>
          <cell r="J308" t="str">
            <v>0</v>
          </cell>
          <cell r="K308">
            <v>9</v>
          </cell>
          <cell r="L308" t="str">
            <v>0</v>
          </cell>
          <cell r="M308" t="str">
            <v>0</v>
          </cell>
          <cell r="N308" t="str">
            <v>0</v>
          </cell>
          <cell r="O308">
            <v>1</v>
          </cell>
          <cell r="P308" t="str">
            <v>0</v>
          </cell>
          <cell r="Q308" t="str">
            <v>0</v>
          </cell>
          <cell r="R308" t="str">
            <v>0</v>
          </cell>
          <cell r="S308">
            <v>4194</v>
          </cell>
          <cell r="T308" t="str">
            <v>0</v>
          </cell>
          <cell r="U308">
            <v>3674</v>
          </cell>
          <cell r="V308">
            <v>5169</v>
          </cell>
          <cell r="W308">
            <v>3913</v>
          </cell>
          <cell r="X308" t="str">
            <v>0</v>
          </cell>
          <cell r="Y308">
            <v>20699</v>
          </cell>
          <cell r="Z308" t="str">
            <v>0</v>
          </cell>
          <cell r="AA308" t="str">
            <v>0</v>
          </cell>
          <cell r="AB308" t="str">
            <v>0</v>
          </cell>
          <cell r="AC308">
            <v>2351</v>
          </cell>
          <cell r="AD308" t="str">
            <v>0</v>
          </cell>
          <cell r="AE308" t="str">
            <v>0</v>
          </cell>
        </row>
        <row r="309">
          <cell r="D309" t="str">
            <v>29-Oct</v>
          </cell>
          <cell r="E309" t="str">
            <v>0</v>
          </cell>
          <cell r="F309">
            <v>6</v>
          </cell>
          <cell r="G309">
            <v>8</v>
          </cell>
          <cell r="H309" t="str">
            <v>0</v>
          </cell>
          <cell r="I309">
            <v>4</v>
          </cell>
          <cell r="J309" t="str">
            <v>0</v>
          </cell>
          <cell r="K309">
            <v>13</v>
          </cell>
          <cell r="L309" t="str">
            <v>0</v>
          </cell>
          <cell r="M309" t="str">
            <v>0</v>
          </cell>
          <cell r="N309" t="str">
            <v>0</v>
          </cell>
          <cell r="O309">
            <v>2</v>
          </cell>
          <cell r="P309" t="str">
            <v>0</v>
          </cell>
          <cell r="Q309" t="str">
            <v>0</v>
          </cell>
          <cell r="R309" t="str">
            <v>0</v>
          </cell>
          <cell r="S309" t="str">
            <v>0</v>
          </cell>
          <cell r="T309">
            <v>8103</v>
          </cell>
          <cell r="U309">
            <v>11774</v>
          </cell>
          <cell r="V309" t="str">
            <v>0</v>
          </cell>
          <cell r="W309">
            <v>9024</v>
          </cell>
          <cell r="X309" t="str">
            <v>0</v>
          </cell>
          <cell r="Y309">
            <v>13919</v>
          </cell>
          <cell r="Z309" t="str">
            <v>0</v>
          </cell>
          <cell r="AA309" t="str">
            <v>0</v>
          </cell>
          <cell r="AB309" t="str">
            <v>0</v>
          </cell>
          <cell r="AC309">
            <v>2067</v>
          </cell>
          <cell r="AD309" t="str">
            <v>0</v>
          </cell>
          <cell r="AE309" t="str">
            <v>0</v>
          </cell>
        </row>
        <row r="310">
          <cell r="D310" t="str">
            <v>30-Oct</v>
          </cell>
          <cell r="E310" t="str">
            <v>0</v>
          </cell>
          <cell r="F310">
            <v>1</v>
          </cell>
          <cell r="G310">
            <v>3</v>
          </cell>
          <cell r="H310">
            <v>3</v>
          </cell>
          <cell r="I310">
            <v>3</v>
          </cell>
          <cell r="J310">
            <v>1</v>
          </cell>
          <cell r="K310">
            <v>15</v>
          </cell>
          <cell r="L310" t="str">
            <v>0</v>
          </cell>
          <cell r="M310" t="str">
            <v>0</v>
          </cell>
          <cell r="N310" t="str">
            <v>0</v>
          </cell>
          <cell r="O310">
            <v>3</v>
          </cell>
          <cell r="P310" t="str">
            <v>0</v>
          </cell>
          <cell r="Q310" t="str">
            <v>0</v>
          </cell>
          <cell r="R310" t="str">
            <v>0</v>
          </cell>
          <cell r="S310" t="str">
            <v>0</v>
          </cell>
          <cell r="T310">
            <v>1121</v>
          </cell>
          <cell r="U310">
            <v>1306</v>
          </cell>
          <cell r="V310">
            <v>1017</v>
          </cell>
          <cell r="W310">
            <v>3306</v>
          </cell>
          <cell r="X310">
            <v>903</v>
          </cell>
          <cell r="Y310">
            <v>19698</v>
          </cell>
          <cell r="Z310" t="str">
            <v>0</v>
          </cell>
          <cell r="AA310" t="str">
            <v>0</v>
          </cell>
          <cell r="AB310" t="str">
            <v>0</v>
          </cell>
          <cell r="AC310">
            <v>2736</v>
          </cell>
          <cell r="AD310" t="str">
            <v>0</v>
          </cell>
          <cell r="AE310" t="str">
            <v>0</v>
          </cell>
        </row>
        <row r="311">
          <cell r="D311" t="str">
            <v>31-Oct</v>
          </cell>
          <cell r="E311">
            <v>2</v>
          </cell>
          <cell r="F311">
            <v>7</v>
          </cell>
          <cell r="G311">
            <v>7</v>
          </cell>
          <cell r="H311">
            <v>4</v>
          </cell>
          <cell r="I311">
            <v>5</v>
          </cell>
          <cell r="J311" t="str">
            <v>0</v>
          </cell>
          <cell r="K311">
            <v>30</v>
          </cell>
          <cell r="L311" t="str">
            <v>0</v>
          </cell>
          <cell r="M311" t="str">
            <v>0</v>
          </cell>
          <cell r="N311">
            <v>1</v>
          </cell>
          <cell r="O311">
            <v>2</v>
          </cell>
          <cell r="P311" t="str">
            <v>0</v>
          </cell>
          <cell r="Q311" t="str">
            <v>0</v>
          </cell>
          <cell r="R311" t="str">
            <v>0</v>
          </cell>
          <cell r="S311">
            <v>5654</v>
          </cell>
          <cell r="T311">
            <v>14603</v>
          </cell>
          <cell r="U311">
            <v>13710</v>
          </cell>
          <cell r="V311">
            <v>4774</v>
          </cell>
          <cell r="W311">
            <v>21572</v>
          </cell>
          <cell r="X311" t="str">
            <v>0</v>
          </cell>
          <cell r="Y311">
            <v>43344</v>
          </cell>
          <cell r="Z311" t="str">
            <v>0</v>
          </cell>
          <cell r="AA311" t="str">
            <v>0</v>
          </cell>
          <cell r="AB311">
            <v>402</v>
          </cell>
          <cell r="AC311">
            <v>5570</v>
          </cell>
          <cell r="AD311" t="str">
            <v>0</v>
          </cell>
          <cell r="AE311" t="str">
            <v>0</v>
          </cell>
        </row>
        <row r="312">
          <cell r="D312" t="str">
            <v>01-Nov</v>
          </cell>
          <cell r="E312" t="str">
            <v>0</v>
          </cell>
          <cell r="F312">
            <v>1</v>
          </cell>
          <cell r="G312">
            <v>5</v>
          </cell>
          <cell r="H312">
            <v>1</v>
          </cell>
          <cell r="I312">
            <v>1</v>
          </cell>
          <cell r="J312" t="str">
            <v>0</v>
          </cell>
          <cell r="K312" t="str">
            <v>0</v>
          </cell>
          <cell r="L312" t="str">
            <v>0</v>
          </cell>
          <cell r="M312" t="str">
            <v>0</v>
          </cell>
          <cell r="N312" t="str">
            <v>0</v>
          </cell>
          <cell r="O312" t="str">
            <v>0</v>
          </cell>
          <cell r="P312" t="str">
            <v>0</v>
          </cell>
          <cell r="Q312" t="str">
            <v>0</v>
          </cell>
          <cell r="R312" t="str">
            <v>0</v>
          </cell>
          <cell r="S312" t="str">
            <v>0</v>
          </cell>
          <cell r="T312">
            <v>912</v>
          </cell>
          <cell r="U312">
            <v>12443</v>
          </cell>
          <cell r="V312">
            <v>1453</v>
          </cell>
          <cell r="W312">
            <v>912</v>
          </cell>
          <cell r="X312" t="str">
            <v>0</v>
          </cell>
          <cell r="Y312" t="str">
            <v>0</v>
          </cell>
          <cell r="Z312" t="str">
            <v>0</v>
          </cell>
          <cell r="AA312" t="str">
            <v>0</v>
          </cell>
          <cell r="AB312" t="str">
            <v>0</v>
          </cell>
          <cell r="AC312" t="str">
            <v>0</v>
          </cell>
          <cell r="AD312" t="str">
            <v>0</v>
          </cell>
          <cell r="AE312" t="str">
            <v>0</v>
          </cell>
        </row>
        <row r="313">
          <cell r="D313" t="str">
            <v>02-Nov</v>
          </cell>
          <cell r="E313">
            <v>1</v>
          </cell>
          <cell r="F313">
            <v>2</v>
          </cell>
          <cell r="G313">
            <v>7</v>
          </cell>
          <cell r="H313">
            <v>14</v>
          </cell>
          <cell r="I313">
            <v>4</v>
          </cell>
          <cell r="J313" t="str">
            <v>0</v>
          </cell>
          <cell r="K313" t="str">
            <v>0</v>
          </cell>
          <cell r="L313" t="str">
            <v>0</v>
          </cell>
          <cell r="M313" t="str">
            <v>0</v>
          </cell>
          <cell r="N313" t="str">
            <v>0</v>
          </cell>
          <cell r="O313">
            <v>1</v>
          </cell>
          <cell r="P313" t="str">
            <v>0</v>
          </cell>
          <cell r="Q313" t="str">
            <v>0</v>
          </cell>
          <cell r="R313" t="str">
            <v>0</v>
          </cell>
          <cell r="S313">
            <v>1956</v>
          </cell>
          <cell r="T313">
            <v>2378</v>
          </cell>
          <cell r="U313">
            <v>19097</v>
          </cell>
          <cell r="V313">
            <v>25115</v>
          </cell>
          <cell r="W313">
            <v>7665</v>
          </cell>
          <cell r="X313" t="str">
            <v>0</v>
          </cell>
          <cell r="Y313" t="str">
            <v>0</v>
          </cell>
          <cell r="Z313" t="str">
            <v>0</v>
          </cell>
          <cell r="AA313" t="str">
            <v>0</v>
          </cell>
          <cell r="AB313" t="str">
            <v>0</v>
          </cell>
          <cell r="AC313">
            <v>416</v>
          </cell>
          <cell r="AD313" t="str">
            <v>0</v>
          </cell>
          <cell r="AE313" t="str">
            <v>0</v>
          </cell>
        </row>
        <row r="314">
          <cell r="D314" t="str">
            <v>03-Nov</v>
          </cell>
          <cell r="E314" t="str">
            <v>0</v>
          </cell>
          <cell r="F314">
            <v>7</v>
          </cell>
          <cell r="G314">
            <v>10</v>
          </cell>
          <cell r="H314">
            <v>4</v>
          </cell>
          <cell r="I314" t="str">
            <v>0</v>
          </cell>
          <cell r="J314">
            <v>1</v>
          </cell>
          <cell r="K314">
            <v>11</v>
          </cell>
          <cell r="L314" t="str">
            <v>0</v>
          </cell>
          <cell r="M314" t="str">
            <v>0</v>
          </cell>
          <cell r="N314">
            <v>1</v>
          </cell>
          <cell r="O314">
            <v>4</v>
          </cell>
          <cell r="P314" t="str">
            <v>0</v>
          </cell>
          <cell r="Q314" t="str">
            <v>0</v>
          </cell>
          <cell r="R314" t="str">
            <v>0</v>
          </cell>
          <cell r="S314" t="str">
            <v>0</v>
          </cell>
          <cell r="T314">
            <v>4517</v>
          </cell>
          <cell r="U314">
            <v>17441</v>
          </cell>
          <cell r="V314">
            <v>8481</v>
          </cell>
          <cell r="W314" t="str">
            <v>0</v>
          </cell>
          <cell r="X314">
            <v>3525</v>
          </cell>
          <cell r="Y314">
            <v>7269</v>
          </cell>
          <cell r="Z314" t="str">
            <v>0</v>
          </cell>
          <cell r="AA314" t="str">
            <v>0</v>
          </cell>
          <cell r="AB314">
            <v>218</v>
          </cell>
          <cell r="AC314">
            <v>4420</v>
          </cell>
          <cell r="AD314" t="str">
            <v>0</v>
          </cell>
          <cell r="AE314" t="str">
            <v>0</v>
          </cell>
        </row>
        <row r="315">
          <cell r="D315" t="str">
            <v>04-Nov</v>
          </cell>
          <cell r="E315">
            <v>1</v>
          </cell>
          <cell r="F315">
            <v>3</v>
          </cell>
          <cell r="G315">
            <v>7</v>
          </cell>
          <cell r="H315">
            <v>3</v>
          </cell>
          <cell r="I315">
            <v>3</v>
          </cell>
          <cell r="J315" t="str">
            <v>0</v>
          </cell>
          <cell r="K315">
            <v>14</v>
          </cell>
          <cell r="L315" t="str">
            <v>0</v>
          </cell>
          <cell r="M315" t="str">
            <v>0</v>
          </cell>
          <cell r="N315" t="str">
            <v>0</v>
          </cell>
          <cell r="O315">
            <v>2</v>
          </cell>
          <cell r="P315" t="str">
            <v>0</v>
          </cell>
          <cell r="Q315">
            <v>1</v>
          </cell>
          <cell r="R315" t="str">
            <v>0</v>
          </cell>
          <cell r="S315">
            <v>1339</v>
          </cell>
          <cell r="T315">
            <v>13259</v>
          </cell>
          <cell r="U315">
            <v>10671</v>
          </cell>
          <cell r="V315">
            <v>4260</v>
          </cell>
          <cell r="W315">
            <v>6022</v>
          </cell>
          <cell r="X315" t="str">
            <v>0</v>
          </cell>
          <cell r="Y315">
            <v>23705</v>
          </cell>
          <cell r="Z315" t="str">
            <v>0</v>
          </cell>
          <cell r="AA315" t="str">
            <v>0</v>
          </cell>
          <cell r="AB315" t="str">
            <v>0</v>
          </cell>
          <cell r="AC315">
            <v>4178</v>
          </cell>
          <cell r="AD315" t="str">
            <v>0</v>
          </cell>
          <cell r="AE315">
            <v>1530</v>
          </cell>
        </row>
        <row r="316">
          <cell r="D316" t="str">
            <v>05-Nov</v>
          </cell>
          <cell r="E316" t="str">
            <v>0</v>
          </cell>
          <cell r="F316">
            <v>5</v>
          </cell>
          <cell r="G316">
            <v>9</v>
          </cell>
          <cell r="H316">
            <v>1</v>
          </cell>
          <cell r="I316">
            <v>3</v>
          </cell>
          <cell r="J316">
            <v>1</v>
          </cell>
          <cell r="K316" t="str">
            <v>0</v>
          </cell>
          <cell r="L316" t="str">
            <v>0</v>
          </cell>
          <cell r="M316" t="str">
            <v>0</v>
          </cell>
          <cell r="N316" t="str">
            <v>0</v>
          </cell>
          <cell r="O316">
            <v>3</v>
          </cell>
          <cell r="P316" t="str">
            <v>0</v>
          </cell>
          <cell r="Q316" t="str">
            <v>0</v>
          </cell>
          <cell r="R316" t="str">
            <v>0</v>
          </cell>
          <cell r="S316" t="str">
            <v>0</v>
          </cell>
          <cell r="T316">
            <v>5791</v>
          </cell>
          <cell r="U316">
            <v>18914</v>
          </cell>
          <cell r="V316">
            <v>1316</v>
          </cell>
          <cell r="W316">
            <v>34938</v>
          </cell>
          <cell r="X316">
            <v>46806</v>
          </cell>
          <cell r="Y316" t="str">
            <v>0</v>
          </cell>
          <cell r="Z316" t="str">
            <v>0</v>
          </cell>
          <cell r="AA316" t="str">
            <v>0</v>
          </cell>
          <cell r="AB316" t="str">
            <v>0</v>
          </cell>
          <cell r="AC316">
            <v>5663</v>
          </cell>
          <cell r="AD316" t="str">
            <v>0</v>
          </cell>
          <cell r="AE316" t="str">
            <v>0</v>
          </cell>
        </row>
        <row r="317">
          <cell r="D317" t="str">
            <v>06-Nov</v>
          </cell>
          <cell r="E317" t="str">
            <v>0</v>
          </cell>
          <cell r="F317">
            <v>11</v>
          </cell>
          <cell r="G317">
            <v>12</v>
          </cell>
          <cell r="H317">
            <v>2</v>
          </cell>
          <cell r="I317">
            <v>1</v>
          </cell>
          <cell r="J317">
            <v>1</v>
          </cell>
          <cell r="K317">
            <v>4</v>
          </cell>
          <cell r="L317" t="str">
            <v>0</v>
          </cell>
          <cell r="M317" t="str">
            <v>0</v>
          </cell>
          <cell r="N317">
            <v>4</v>
          </cell>
          <cell r="O317">
            <v>4</v>
          </cell>
          <cell r="P317" t="str">
            <v>0</v>
          </cell>
          <cell r="Q317" t="str">
            <v>0</v>
          </cell>
          <cell r="R317" t="str">
            <v>0</v>
          </cell>
          <cell r="S317" t="str">
            <v>0</v>
          </cell>
          <cell r="T317">
            <v>29166</v>
          </cell>
          <cell r="U317">
            <v>66421</v>
          </cell>
          <cell r="V317">
            <v>4683</v>
          </cell>
          <cell r="W317">
            <v>1251</v>
          </cell>
          <cell r="X317">
            <v>564</v>
          </cell>
          <cell r="Y317">
            <v>6625</v>
          </cell>
          <cell r="Z317" t="str">
            <v>0</v>
          </cell>
          <cell r="AA317" t="str">
            <v>0</v>
          </cell>
          <cell r="AB317">
            <v>4694</v>
          </cell>
          <cell r="AC317">
            <v>53840</v>
          </cell>
          <cell r="AD317" t="str">
            <v>0</v>
          </cell>
          <cell r="AE317" t="str">
            <v>0</v>
          </cell>
        </row>
        <row r="318">
          <cell r="D318" t="str">
            <v>07-Nov</v>
          </cell>
          <cell r="E318" t="str">
            <v>0</v>
          </cell>
          <cell r="F318">
            <v>6</v>
          </cell>
          <cell r="G318">
            <v>4</v>
          </cell>
          <cell r="H318">
            <v>6</v>
          </cell>
          <cell r="I318">
            <v>4</v>
          </cell>
          <cell r="J318" t="str">
            <v>0</v>
          </cell>
          <cell r="K318">
            <v>2</v>
          </cell>
          <cell r="L318" t="str">
            <v>0</v>
          </cell>
          <cell r="M318" t="str">
            <v>0</v>
          </cell>
          <cell r="N318" t="str">
            <v>0</v>
          </cell>
          <cell r="O318">
            <v>2</v>
          </cell>
          <cell r="P318" t="str">
            <v>0</v>
          </cell>
          <cell r="Q318" t="str">
            <v>0</v>
          </cell>
          <cell r="R318" t="str">
            <v>0</v>
          </cell>
          <cell r="S318" t="str">
            <v>0</v>
          </cell>
          <cell r="T318">
            <v>7585</v>
          </cell>
          <cell r="U318">
            <v>3888</v>
          </cell>
          <cell r="V318">
            <v>6538</v>
          </cell>
          <cell r="W318">
            <v>6891</v>
          </cell>
          <cell r="X318" t="str">
            <v>0</v>
          </cell>
          <cell r="Y318">
            <v>3880</v>
          </cell>
          <cell r="Z318" t="str">
            <v>0</v>
          </cell>
          <cell r="AA318" t="str">
            <v>0</v>
          </cell>
          <cell r="AB318" t="str">
            <v>0</v>
          </cell>
          <cell r="AC318">
            <v>2995</v>
          </cell>
          <cell r="AD318" t="str">
            <v>0</v>
          </cell>
          <cell r="AE318" t="str">
            <v>0</v>
          </cell>
        </row>
        <row r="319">
          <cell r="D319" t="str">
            <v>08-Nov</v>
          </cell>
          <cell r="E319" t="str">
            <v>0</v>
          </cell>
          <cell r="F319">
            <v>5</v>
          </cell>
          <cell r="G319">
            <v>6</v>
          </cell>
          <cell r="H319">
            <v>1</v>
          </cell>
          <cell r="I319">
            <v>3</v>
          </cell>
          <cell r="J319" t="str">
            <v>0</v>
          </cell>
          <cell r="K319">
            <v>5</v>
          </cell>
          <cell r="L319" t="str">
            <v>0</v>
          </cell>
          <cell r="M319" t="str">
            <v>0</v>
          </cell>
          <cell r="N319" t="str">
            <v>0</v>
          </cell>
          <cell r="O319">
            <v>2</v>
          </cell>
          <cell r="P319" t="str">
            <v>0</v>
          </cell>
          <cell r="Q319">
            <v>2</v>
          </cell>
          <cell r="R319" t="str">
            <v>0</v>
          </cell>
          <cell r="S319" t="str">
            <v>0</v>
          </cell>
          <cell r="T319">
            <v>7649</v>
          </cell>
          <cell r="U319">
            <v>26134</v>
          </cell>
          <cell r="V319">
            <v>1444</v>
          </cell>
          <cell r="W319">
            <v>18263</v>
          </cell>
          <cell r="X319" t="str">
            <v>0</v>
          </cell>
          <cell r="Y319">
            <v>4731</v>
          </cell>
          <cell r="Z319" t="str">
            <v>0</v>
          </cell>
          <cell r="AA319" t="str">
            <v>0</v>
          </cell>
          <cell r="AB319" t="str">
            <v>0</v>
          </cell>
          <cell r="AC319">
            <v>10468</v>
          </cell>
          <cell r="AD319" t="str">
            <v>0</v>
          </cell>
          <cell r="AE319">
            <v>912</v>
          </cell>
        </row>
        <row r="320">
          <cell r="D320" t="str">
            <v>09-Nov</v>
          </cell>
          <cell r="E320" t="str">
            <v>0</v>
          </cell>
          <cell r="F320">
            <v>4</v>
          </cell>
          <cell r="G320">
            <v>4</v>
          </cell>
          <cell r="H320">
            <v>7</v>
          </cell>
          <cell r="I320">
            <v>2</v>
          </cell>
          <cell r="J320" t="str">
            <v>0</v>
          </cell>
          <cell r="K320">
            <v>4</v>
          </cell>
          <cell r="L320" t="str">
            <v>0</v>
          </cell>
          <cell r="M320" t="str">
            <v>0</v>
          </cell>
          <cell r="N320" t="str">
            <v>0</v>
          </cell>
          <cell r="O320">
            <v>1</v>
          </cell>
          <cell r="P320" t="str">
            <v>0</v>
          </cell>
          <cell r="Q320" t="str">
            <v>0</v>
          </cell>
          <cell r="R320" t="str">
            <v>0</v>
          </cell>
          <cell r="S320" t="str">
            <v>0</v>
          </cell>
          <cell r="T320">
            <v>5468</v>
          </cell>
          <cell r="U320">
            <v>8653</v>
          </cell>
          <cell r="V320">
            <v>8648</v>
          </cell>
          <cell r="W320">
            <v>4012</v>
          </cell>
          <cell r="X320" t="str">
            <v>0</v>
          </cell>
          <cell r="Y320">
            <v>9118</v>
          </cell>
          <cell r="Z320" t="str">
            <v>0</v>
          </cell>
          <cell r="AA320" t="str">
            <v>0</v>
          </cell>
          <cell r="AB320" t="str">
            <v>0</v>
          </cell>
          <cell r="AC320">
            <v>2204</v>
          </cell>
          <cell r="AD320" t="str">
            <v>0</v>
          </cell>
          <cell r="AE320" t="str">
            <v>0</v>
          </cell>
        </row>
        <row r="321">
          <cell r="D321" t="str">
            <v>10-Nov</v>
          </cell>
          <cell r="E321" t="str">
            <v>0</v>
          </cell>
          <cell r="F321">
            <v>6</v>
          </cell>
          <cell r="G321">
            <v>3</v>
          </cell>
          <cell r="H321">
            <v>1</v>
          </cell>
          <cell r="I321">
            <v>2</v>
          </cell>
          <cell r="J321">
            <v>1</v>
          </cell>
          <cell r="K321">
            <v>7</v>
          </cell>
          <cell r="L321" t="str">
            <v>0</v>
          </cell>
          <cell r="M321" t="str">
            <v>0</v>
          </cell>
          <cell r="N321" t="str">
            <v>0</v>
          </cell>
          <cell r="O321">
            <v>2</v>
          </cell>
          <cell r="P321" t="str">
            <v>0</v>
          </cell>
          <cell r="Q321" t="str">
            <v>0</v>
          </cell>
          <cell r="R321" t="str">
            <v>0</v>
          </cell>
          <cell r="S321" t="str">
            <v>0</v>
          </cell>
          <cell r="T321">
            <v>4019</v>
          </cell>
          <cell r="U321">
            <v>3590</v>
          </cell>
          <cell r="V321">
            <v>2736</v>
          </cell>
          <cell r="W321">
            <v>2584</v>
          </cell>
          <cell r="X321">
            <v>467</v>
          </cell>
          <cell r="Y321">
            <v>8934</v>
          </cell>
          <cell r="Z321" t="str">
            <v>0</v>
          </cell>
          <cell r="AA321" t="str">
            <v>0</v>
          </cell>
          <cell r="AB321" t="str">
            <v>0</v>
          </cell>
          <cell r="AC321">
            <v>917</v>
          </cell>
          <cell r="AD321" t="str">
            <v>0</v>
          </cell>
          <cell r="AE321" t="str">
            <v>0</v>
          </cell>
        </row>
        <row r="322">
          <cell r="D322" t="str">
            <v>11-Nov</v>
          </cell>
          <cell r="E322" t="str">
            <v>0</v>
          </cell>
          <cell r="F322">
            <v>3</v>
          </cell>
          <cell r="G322">
            <v>5</v>
          </cell>
          <cell r="H322">
            <v>5</v>
          </cell>
          <cell r="I322">
            <v>3</v>
          </cell>
          <cell r="J322" t="str">
            <v>0</v>
          </cell>
          <cell r="K322">
            <v>3</v>
          </cell>
          <cell r="L322" t="str">
            <v>0</v>
          </cell>
          <cell r="M322" t="str">
            <v>0</v>
          </cell>
          <cell r="N322" t="str">
            <v>0</v>
          </cell>
          <cell r="O322">
            <v>4</v>
          </cell>
          <cell r="P322" t="str">
            <v>0</v>
          </cell>
          <cell r="Q322" t="str">
            <v>0</v>
          </cell>
          <cell r="R322" t="str">
            <v>0</v>
          </cell>
          <cell r="S322" t="str">
            <v>0</v>
          </cell>
          <cell r="T322">
            <v>5645</v>
          </cell>
          <cell r="U322">
            <v>11792</v>
          </cell>
          <cell r="V322">
            <v>8195</v>
          </cell>
          <cell r="W322">
            <v>7234</v>
          </cell>
          <cell r="X322" t="str">
            <v>0</v>
          </cell>
          <cell r="Y322">
            <v>12284</v>
          </cell>
          <cell r="Z322" t="str">
            <v>0</v>
          </cell>
          <cell r="AA322" t="str">
            <v>0</v>
          </cell>
          <cell r="AB322" t="str">
            <v>0</v>
          </cell>
          <cell r="AC322">
            <v>5059</v>
          </cell>
          <cell r="AD322" t="str">
            <v>0</v>
          </cell>
          <cell r="AE322" t="str">
            <v>0</v>
          </cell>
        </row>
        <row r="323">
          <cell r="D323" t="str">
            <v>12-Nov</v>
          </cell>
          <cell r="E323" t="str">
            <v>0</v>
          </cell>
          <cell r="F323">
            <v>10</v>
          </cell>
          <cell r="G323">
            <v>5</v>
          </cell>
          <cell r="H323">
            <v>4</v>
          </cell>
          <cell r="I323">
            <v>1</v>
          </cell>
          <cell r="J323" t="str">
            <v>0</v>
          </cell>
          <cell r="K323">
            <v>2</v>
          </cell>
          <cell r="L323" t="str">
            <v>0</v>
          </cell>
          <cell r="M323" t="str">
            <v>0</v>
          </cell>
          <cell r="N323" t="str">
            <v>0</v>
          </cell>
          <cell r="O323">
            <v>1</v>
          </cell>
          <cell r="P323" t="str">
            <v>0</v>
          </cell>
          <cell r="Q323" t="str">
            <v>0</v>
          </cell>
          <cell r="R323" t="str">
            <v>0</v>
          </cell>
          <cell r="S323" t="str">
            <v>0</v>
          </cell>
          <cell r="T323">
            <v>14524</v>
          </cell>
          <cell r="U323">
            <v>13676</v>
          </cell>
          <cell r="V323">
            <v>6182</v>
          </cell>
          <cell r="W323">
            <v>844</v>
          </cell>
          <cell r="X323" t="str">
            <v>0</v>
          </cell>
          <cell r="Y323">
            <v>3282</v>
          </cell>
          <cell r="Z323" t="str">
            <v>0</v>
          </cell>
          <cell r="AA323" t="str">
            <v>0</v>
          </cell>
          <cell r="AB323" t="str">
            <v>0</v>
          </cell>
          <cell r="AC323">
            <v>668</v>
          </cell>
          <cell r="AD323" t="str">
            <v>0</v>
          </cell>
          <cell r="AE323" t="str">
            <v>0</v>
          </cell>
        </row>
        <row r="324">
          <cell r="D324" t="str">
            <v>13-Nov</v>
          </cell>
          <cell r="E324" t="str">
            <v>0</v>
          </cell>
          <cell r="F324">
            <v>2</v>
          </cell>
          <cell r="G324">
            <v>4</v>
          </cell>
          <cell r="H324">
            <v>3</v>
          </cell>
          <cell r="I324">
            <v>3</v>
          </cell>
          <cell r="J324" t="str">
            <v>0</v>
          </cell>
          <cell r="K324">
            <v>3</v>
          </cell>
          <cell r="L324" t="str">
            <v>0</v>
          </cell>
          <cell r="M324" t="str">
            <v>0</v>
          </cell>
          <cell r="N324" t="str">
            <v>0</v>
          </cell>
          <cell r="O324">
            <v>4</v>
          </cell>
          <cell r="P324" t="str">
            <v>0</v>
          </cell>
          <cell r="Q324" t="str">
            <v>0</v>
          </cell>
          <cell r="R324" t="str">
            <v>0</v>
          </cell>
          <cell r="S324" t="str">
            <v>0</v>
          </cell>
          <cell r="T324">
            <v>6926</v>
          </cell>
          <cell r="U324">
            <v>17656</v>
          </cell>
          <cell r="V324">
            <v>3380</v>
          </cell>
          <cell r="W324">
            <v>6236</v>
          </cell>
          <cell r="X324" t="str">
            <v>0</v>
          </cell>
          <cell r="Y324">
            <v>10449</v>
          </cell>
          <cell r="Z324" t="str">
            <v>0</v>
          </cell>
          <cell r="AA324" t="str">
            <v>0</v>
          </cell>
          <cell r="AB324" t="str">
            <v>0</v>
          </cell>
          <cell r="AC324">
            <v>7653</v>
          </cell>
          <cell r="AD324" t="str">
            <v>0</v>
          </cell>
          <cell r="AE324" t="str">
            <v>0</v>
          </cell>
        </row>
        <row r="325">
          <cell r="D325" t="str">
            <v>14-Nov</v>
          </cell>
          <cell r="E325" t="str">
            <v>0</v>
          </cell>
          <cell r="F325">
            <v>2</v>
          </cell>
          <cell r="G325">
            <v>5</v>
          </cell>
          <cell r="H325">
            <v>2</v>
          </cell>
          <cell r="I325" t="str">
            <v>0</v>
          </cell>
          <cell r="J325" t="str">
            <v>0</v>
          </cell>
          <cell r="K325">
            <v>7</v>
          </cell>
          <cell r="L325" t="str">
            <v>0</v>
          </cell>
          <cell r="M325" t="str">
            <v>0</v>
          </cell>
          <cell r="N325" t="str">
            <v>0</v>
          </cell>
          <cell r="O325">
            <v>1</v>
          </cell>
          <cell r="P325" t="str">
            <v>0</v>
          </cell>
          <cell r="Q325" t="str">
            <v>0</v>
          </cell>
          <cell r="R325" t="str">
            <v>0</v>
          </cell>
          <cell r="S325" t="str">
            <v>0</v>
          </cell>
          <cell r="T325">
            <v>1824</v>
          </cell>
          <cell r="U325">
            <v>11459</v>
          </cell>
          <cell r="V325">
            <v>2432</v>
          </cell>
          <cell r="W325" t="str">
            <v>0</v>
          </cell>
          <cell r="X325" t="str">
            <v>0</v>
          </cell>
          <cell r="Y325">
            <v>17735</v>
          </cell>
          <cell r="Z325" t="str">
            <v>0</v>
          </cell>
          <cell r="AA325" t="str">
            <v>0</v>
          </cell>
          <cell r="AB325" t="str">
            <v>0</v>
          </cell>
          <cell r="AC325">
            <v>486</v>
          </cell>
          <cell r="AD325" t="str">
            <v>0</v>
          </cell>
          <cell r="AE325" t="str">
            <v>0</v>
          </cell>
        </row>
        <row r="326">
          <cell r="D326" t="str">
            <v>15-Nov</v>
          </cell>
          <cell r="E326" t="str">
            <v>0</v>
          </cell>
          <cell r="F326">
            <v>2</v>
          </cell>
          <cell r="G326">
            <v>5</v>
          </cell>
          <cell r="H326">
            <v>2</v>
          </cell>
          <cell r="I326">
            <v>6</v>
          </cell>
          <cell r="J326" t="str">
            <v>0</v>
          </cell>
          <cell r="K326">
            <v>5</v>
          </cell>
          <cell r="L326" t="str">
            <v>0</v>
          </cell>
          <cell r="M326" t="str">
            <v>0</v>
          </cell>
          <cell r="N326" t="str">
            <v>0</v>
          </cell>
          <cell r="O326" t="str">
            <v>0</v>
          </cell>
          <cell r="P326" t="str">
            <v>0</v>
          </cell>
          <cell r="Q326" t="str">
            <v>0</v>
          </cell>
          <cell r="R326" t="str">
            <v>0</v>
          </cell>
          <cell r="S326" t="str">
            <v>0</v>
          </cell>
          <cell r="T326">
            <v>2569</v>
          </cell>
          <cell r="U326">
            <v>9004</v>
          </cell>
          <cell r="V326">
            <v>2632</v>
          </cell>
          <cell r="W326">
            <v>10402</v>
          </cell>
          <cell r="X326" t="str">
            <v>0</v>
          </cell>
          <cell r="Y326">
            <v>10855</v>
          </cell>
          <cell r="Z326" t="str">
            <v>0</v>
          </cell>
          <cell r="AA326" t="str">
            <v>0</v>
          </cell>
          <cell r="AB326" t="str">
            <v>0</v>
          </cell>
          <cell r="AC326" t="str">
            <v>0</v>
          </cell>
          <cell r="AD326" t="str">
            <v>0</v>
          </cell>
          <cell r="AE326" t="str">
            <v>0</v>
          </cell>
        </row>
        <row r="327">
          <cell r="D327" t="str">
            <v>16-Nov</v>
          </cell>
          <cell r="E327" t="str">
            <v>0</v>
          </cell>
          <cell r="F327">
            <v>2</v>
          </cell>
          <cell r="G327" t="str">
            <v>0</v>
          </cell>
          <cell r="H327">
            <v>2</v>
          </cell>
          <cell r="I327">
            <v>2</v>
          </cell>
          <cell r="J327" t="str">
            <v>0</v>
          </cell>
          <cell r="K327">
            <v>1</v>
          </cell>
          <cell r="L327" t="str">
            <v>0</v>
          </cell>
          <cell r="M327" t="str">
            <v>0</v>
          </cell>
          <cell r="N327" t="str">
            <v>0</v>
          </cell>
          <cell r="O327">
            <v>1</v>
          </cell>
          <cell r="P327" t="str">
            <v>0</v>
          </cell>
          <cell r="Q327" t="str">
            <v>0</v>
          </cell>
          <cell r="R327" t="str">
            <v>0</v>
          </cell>
          <cell r="S327" t="str">
            <v>0</v>
          </cell>
          <cell r="T327">
            <v>1070</v>
          </cell>
          <cell r="U327" t="str">
            <v>0</v>
          </cell>
          <cell r="V327">
            <v>3344</v>
          </cell>
          <cell r="W327">
            <v>9934</v>
          </cell>
          <cell r="X327" t="str">
            <v>0</v>
          </cell>
          <cell r="Y327">
            <v>3600</v>
          </cell>
          <cell r="Z327" t="str">
            <v>0</v>
          </cell>
          <cell r="AA327" t="str">
            <v>0</v>
          </cell>
          <cell r="AB327" t="str">
            <v>0</v>
          </cell>
          <cell r="AC327">
            <v>1748</v>
          </cell>
          <cell r="AD327" t="str">
            <v>0</v>
          </cell>
          <cell r="AE327" t="str">
            <v>0</v>
          </cell>
        </row>
        <row r="328">
          <cell r="D328" t="str">
            <v>17-Nov</v>
          </cell>
          <cell r="E328" t="str">
            <v>0</v>
          </cell>
          <cell r="F328">
            <v>7</v>
          </cell>
          <cell r="G328">
            <v>5</v>
          </cell>
          <cell r="H328">
            <v>2</v>
          </cell>
          <cell r="I328">
            <v>9</v>
          </cell>
          <cell r="J328" t="str">
            <v>0</v>
          </cell>
          <cell r="K328">
            <v>3</v>
          </cell>
          <cell r="L328" t="str">
            <v>0</v>
          </cell>
          <cell r="M328" t="str">
            <v>0</v>
          </cell>
          <cell r="N328" t="str">
            <v>0</v>
          </cell>
          <cell r="O328">
            <v>5</v>
          </cell>
          <cell r="P328" t="str">
            <v>0</v>
          </cell>
          <cell r="Q328" t="str">
            <v>0</v>
          </cell>
          <cell r="R328" t="str">
            <v>0</v>
          </cell>
          <cell r="S328" t="str">
            <v>0</v>
          </cell>
          <cell r="T328">
            <v>13474</v>
          </cell>
          <cell r="U328">
            <v>8353</v>
          </cell>
          <cell r="V328">
            <v>4844</v>
          </cell>
          <cell r="W328">
            <v>17431</v>
          </cell>
          <cell r="X328" t="str">
            <v>0</v>
          </cell>
          <cell r="Y328">
            <v>5665</v>
          </cell>
          <cell r="Z328" t="str">
            <v>0</v>
          </cell>
          <cell r="AA328" t="str">
            <v>0</v>
          </cell>
          <cell r="AB328" t="str">
            <v>0</v>
          </cell>
          <cell r="AC328">
            <v>6086</v>
          </cell>
          <cell r="AD328" t="str">
            <v>0</v>
          </cell>
          <cell r="AE328" t="str">
            <v>0</v>
          </cell>
        </row>
        <row r="329">
          <cell r="D329" t="str">
            <v>18-Nov</v>
          </cell>
          <cell r="E329" t="str">
            <v>0</v>
          </cell>
          <cell r="F329">
            <v>2</v>
          </cell>
          <cell r="G329">
            <v>3</v>
          </cell>
          <cell r="H329">
            <v>2</v>
          </cell>
          <cell r="I329">
            <v>4</v>
          </cell>
          <cell r="J329" t="str">
            <v>0</v>
          </cell>
          <cell r="K329">
            <v>6</v>
          </cell>
          <cell r="L329" t="str">
            <v>0</v>
          </cell>
          <cell r="M329" t="str">
            <v>0</v>
          </cell>
          <cell r="N329" t="str">
            <v>0</v>
          </cell>
          <cell r="O329">
            <v>1</v>
          </cell>
          <cell r="P329" t="str">
            <v>0</v>
          </cell>
          <cell r="Q329" t="str">
            <v>0</v>
          </cell>
          <cell r="R329" t="str">
            <v>0</v>
          </cell>
          <cell r="S329" t="str">
            <v>0</v>
          </cell>
          <cell r="T329">
            <v>2151</v>
          </cell>
          <cell r="U329">
            <v>12704</v>
          </cell>
          <cell r="V329">
            <v>3490</v>
          </cell>
          <cell r="W329">
            <v>16923</v>
          </cell>
          <cell r="X329" t="str">
            <v>0</v>
          </cell>
          <cell r="Y329">
            <v>4313</v>
          </cell>
          <cell r="Z329" t="str">
            <v>0</v>
          </cell>
          <cell r="AA329" t="str">
            <v>0</v>
          </cell>
          <cell r="AB329" t="str">
            <v>0</v>
          </cell>
          <cell r="AC329">
            <v>1748</v>
          </cell>
          <cell r="AD329" t="str">
            <v>0</v>
          </cell>
          <cell r="AE329" t="str">
            <v>0</v>
          </cell>
        </row>
        <row r="330">
          <cell r="D330" t="str">
            <v>19-Nov</v>
          </cell>
          <cell r="E330" t="str">
            <v>0</v>
          </cell>
          <cell r="F330">
            <v>6</v>
          </cell>
          <cell r="G330">
            <v>11</v>
          </cell>
          <cell r="H330">
            <v>3</v>
          </cell>
          <cell r="I330">
            <v>11</v>
          </cell>
          <cell r="J330" t="str">
            <v>0</v>
          </cell>
          <cell r="K330">
            <v>5</v>
          </cell>
          <cell r="L330" t="str">
            <v>0</v>
          </cell>
          <cell r="M330" t="str">
            <v>0</v>
          </cell>
          <cell r="N330" t="str">
            <v>0</v>
          </cell>
          <cell r="O330">
            <v>2</v>
          </cell>
          <cell r="P330" t="str">
            <v>0</v>
          </cell>
          <cell r="Q330" t="str">
            <v>0</v>
          </cell>
          <cell r="R330" t="str">
            <v>0</v>
          </cell>
          <cell r="S330" t="str">
            <v>0</v>
          </cell>
          <cell r="T330">
            <v>15600</v>
          </cell>
          <cell r="U330">
            <v>36835</v>
          </cell>
          <cell r="V330">
            <v>7302</v>
          </cell>
          <cell r="W330">
            <v>85975</v>
          </cell>
          <cell r="X330" t="str">
            <v>0</v>
          </cell>
          <cell r="Y330">
            <v>8126</v>
          </cell>
          <cell r="Z330" t="str">
            <v>0</v>
          </cell>
          <cell r="AA330" t="str">
            <v>0</v>
          </cell>
          <cell r="AB330" t="str">
            <v>0</v>
          </cell>
          <cell r="AC330">
            <v>2999</v>
          </cell>
          <cell r="AD330" t="str">
            <v>0</v>
          </cell>
          <cell r="AE330" t="str">
            <v>0</v>
          </cell>
        </row>
        <row r="331">
          <cell r="D331" t="str">
            <v>20-Nov</v>
          </cell>
          <cell r="E331" t="str">
            <v>0</v>
          </cell>
          <cell r="F331">
            <v>3</v>
          </cell>
          <cell r="G331">
            <v>5</v>
          </cell>
          <cell r="H331">
            <v>4</v>
          </cell>
          <cell r="I331">
            <v>8</v>
          </cell>
          <cell r="J331" t="str">
            <v>0</v>
          </cell>
          <cell r="K331">
            <v>13</v>
          </cell>
          <cell r="L331" t="str">
            <v>0</v>
          </cell>
          <cell r="M331" t="str">
            <v>0</v>
          </cell>
          <cell r="N331" t="str">
            <v>0</v>
          </cell>
          <cell r="O331" t="str">
            <v>0</v>
          </cell>
          <cell r="P331" t="str">
            <v>0</v>
          </cell>
          <cell r="Q331" t="str">
            <v>0</v>
          </cell>
          <cell r="R331" t="str">
            <v>0</v>
          </cell>
          <cell r="S331" t="str">
            <v>0</v>
          </cell>
          <cell r="T331">
            <v>5453</v>
          </cell>
          <cell r="U331">
            <v>8217</v>
          </cell>
          <cell r="V331">
            <v>3796</v>
          </cell>
          <cell r="W331">
            <v>50077</v>
          </cell>
          <cell r="X331" t="str">
            <v>0</v>
          </cell>
          <cell r="Y331">
            <v>33661</v>
          </cell>
          <cell r="Z331" t="str">
            <v>0</v>
          </cell>
          <cell r="AA331" t="str">
            <v>0</v>
          </cell>
          <cell r="AB331" t="str">
            <v>0</v>
          </cell>
          <cell r="AC331" t="str">
            <v>0</v>
          </cell>
          <cell r="AD331" t="str">
            <v>0</v>
          </cell>
          <cell r="AE331" t="str">
            <v>0</v>
          </cell>
        </row>
        <row r="332">
          <cell r="D332" t="str">
            <v>21-Nov</v>
          </cell>
          <cell r="E332" t="str">
            <v>0</v>
          </cell>
          <cell r="F332">
            <v>5</v>
          </cell>
          <cell r="G332">
            <v>5</v>
          </cell>
          <cell r="H332">
            <v>4</v>
          </cell>
          <cell r="I332">
            <v>5</v>
          </cell>
          <cell r="J332" t="str">
            <v>0</v>
          </cell>
          <cell r="K332">
            <v>4</v>
          </cell>
          <cell r="L332" t="str">
            <v>0</v>
          </cell>
          <cell r="M332" t="str">
            <v>0</v>
          </cell>
          <cell r="N332" t="str">
            <v>0</v>
          </cell>
          <cell r="O332">
            <v>3</v>
          </cell>
          <cell r="P332" t="str">
            <v>0</v>
          </cell>
          <cell r="Q332" t="str">
            <v>0</v>
          </cell>
          <cell r="R332" t="str">
            <v>0</v>
          </cell>
          <cell r="S332" t="str">
            <v>0</v>
          </cell>
          <cell r="T332">
            <v>8115</v>
          </cell>
          <cell r="U332">
            <v>8133</v>
          </cell>
          <cell r="V332">
            <v>4109</v>
          </cell>
          <cell r="W332">
            <v>7986</v>
          </cell>
          <cell r="X332" t="str">
            <v>0</v>
          </cell>
          <cell r="Y332">
            <v>5016</v>
          </cell>
          <cell r="Z332" t="str">
            <v>0</v>
          </cell>
          <cell r="AA332" t="str">
            <v>0</v>
          </cell>
          <cell r="AB332" t="str">
            <v>0</v>
          </cell>
          <cell r="AC332">
            <v>5930</v>
          </cell>
          <cell r="AD332" t="str">
            <v>0</v>
          </cell>
          <cell r="AE332" t="str">
            <v>0</v>
          </cell>
        </row>
        <row r="333">
          <cell r="D333" t="str">
            <v>22-Nov</v>
          </cell>
          <cell r="E333" t="str">
            <v>0</v>
          </cell>
          <cell r="F333">
            <v>3</v>
          </cell>
          <cell r="G333">
            <v>5</v>
          </cell>
          <cell r="H333">
            <v>4</v>
          </cell>
          <cell r="I333">
            <v>2</v>
          </cell>
          <cell r="J333" t="str">
            <v>0</v>
          </cell>
          <cell r="K333">
            <v>6</v>
          </cell>
          <cell r="L333" t="str">
            <v>0</v>
          </cell>
          <cell r="M333" t="str">
            <v>0</v>
          </cell>
          <cell r="N333" t="str">
            <v>0</v>
          </cell>
          <cell r="O333" t="str">
            <v>0</v>
          </cell>
          <cell r="P333" t="str">
            <v>0</v>
          </cell>
          <cell r="Q333" t="str">
            <v>0</v>
          </cell>
          <cell r="R333" t="str">
            <v>0</v>
          </cell>
          <cell r="S333" t="str">
            <v>0</v>
          </cell>
          <cell r="T333">
            <v>3412</v>
          </cell>
          <cell r="U333">
            <v>22512</v>
          </cell>
          <cell r="V333">
            <v>10760</v>
          </cell>
          <cell r="W333">
            <v>1484</v>
          </cell>
          <cell r="X333" t="str">
            <v>0</v>
          </cell>
          <cell r="Y333">
            <v>7653</v>
          </cell>
          <cell r="Z333" t="str">
            <v>0</v>
          </cell>
          <cell r="AA333" t="str">
            <v>0</v>
          </cell>
          <cell r="AB333" t="str">
            <v>0</v>
          </cell>
          <cell r="AC333" t="str">
            <v>0</v>
          </cell>
          <cell r="AD333" t="str">
            <v>0</v>
          </cell>
          <cell r="AE333" t="str">
            <v>0</v>
          </cell>
        </row>
        <row r="334">
          <cell r="D334" t="str">
            <v>23-Nov</v>
          </cell>
          <cell r="E334" t="str">
            <v>0</v>
          </cell>
          <cell r="F334">
            <v>6</v>
          </cell>
          <cell r="G334">
            <v>11</v>
          </cell>
          <cell r="H334">
            <v>5</v>
          </cell>
          <cell r="I334">
            <v>4</v>
          </cell>
          <cell r="J334" t="str">
            <v>0</v>
          </cell>
          <cell r="K334" t="str">
            <v>0</v>
          </cell>
          <cell r="L334" t="str">
            <v>0</v>
          </cell>
          <cell r="M334" t="str">
            <v>0</v>
          </cell>
          <cell r="N334" t="str">
            <v>0</v>
          </cell>
          <cell r="O334">
            <v>4</v>
          </cell>
          <cell r="P334" t="str">
            <v>0</v>
          </cell>
          <cell r="Q334" t="str">
            <v>0</v>
          </cell>
          <cell r="R334" t="str">
            <v>0</v>
          </cell>
          <cell r="S334" t="str">
            <v>0</v>
          </cell>
          <cell r="T334">
            <v>10925</v>
          </cell>
          <cell r="U334">
            <v>17188</v>
          </cell>
          <cell r="V334">
            <v>10520</v>
          </cell>
          <cell r="W334">
            <v>5226</v>
          </cell>
          <cell r="X334" t="str">
            <v>0</v>
          </cell>
          <cell r="Y334" t="str">
            <v>0</v>
          </cell>
          <cell r="Z334" t="str">
            <v>0</v>
          </cell>
          <cell r="AA334" t="str">
            <v>0</v>
          </cell>
          <cell r="AB334" t="str">
            <v>0</v>
          </cell>
          <cell r="AC334">
            <v>4796</v>
          </cell>
          <cell r="AD334" t="str">
            <v>0</v>
          </cell>
          <cell r="AE334" t="str">
            <v>0</v>
          </cell>
        </row>
        <row r="335">
          <cell r="D335" t="str">
            <v>24-Nov</v>
          </cell>
          <cell r="E335" t="str">
            <v>0</v>
          </cell>
          <cell r="F335">
            <v>1</v>
          </cell>
          <cell r="G335">
            <v>1</v>
          </cell>
          <cell r="H335">
            <v>4</v>
          </cell>
          <cell r="I335">
            <v>3</v>
          </cell>
          <cell r="J335" t="str">
            <v>0</v>
          </cell>
          <cell r="K335">
            <v>5</v>
          </cell>
          <cell r="L335" t="str">
            <v>0</v>
          </cell>
          <cell r="M335" t="str">
            <v>0</v>
          </cell>
          <cell r="N335" t="str">
            <v>0</v>
          </cell>
          <cell r="O335">
            <v>2</v>
          </cell>
          <cell r="P335" t="str">
            <v>0</v>
          </cell>
          <cell r="Q335" t="str">
            <v>0</v>
          </cell>
          <cell r="R335" t="str">
            <v>0</v>
          </cell>
          <cell r="S335" t="str">
            <v>0</v>
          </cell>
          <cell r="T335">
            <v>608</v>
          </cell>
          <cell r="U335">
            <v>1918</v>
          </cell>
          <cell r="V335">
            <v>6337</v>
          </cell>
          <cell r="W335">
            <v>3618</v>
          </cell>
          <cell r="X335" t="str">
            <v>0</v>
          </cell>
          <cell r="Y335">
            <v>9512</v>
          </cell>
          <cell r="Z335" t="str">
            <v>0</v>
          </cell>
          <cell r="AA335" t="str">
            <v>0</v>
          </cell>
          <cell r="AB335" t="str">
            <v>0</v>
          </cell>
          <cell r="AC335">
            <v>4560</v>
          </cell>
          <cell r="AD335" t="str">
            <v>0</v>
          </cell>
          <cell r="AE335" t="str">
            <v>0</v>
          </cell>
        </row>
        <row r="336">
          <cell r="D336" t="str">
            <v>25-Nov</v>
          </cell>
          <cell r="E336" t="str">
            <v>0</v>
          </cell>
          <cell r="F336">
            <v>7</v>
          </cell>
          <cell r="G336">
            <v>7</v>
          </cell>
          <cell r="H336">
            <v>2</v>
          </cell>
          <cell r="I336">
            <v>4</v>
          </cell>
          <cell r="J336" t="str">
            <v>0</v>
          </cell>
          <cell r="K336">
            <v>9</v>
          </cell>
          <cell r="L336" t="str">
            <v>0</v>
          </cell>
          <cell r="M336" t="str">
            <v>0</v>
          </cell>
          <cell r="N336" t="str">
            <v>0</v>
          </cell>
          <cell r="O336">
            <v>1</v>
          </cell>
          <cell r="P336" t="str">
            <v>0</v>
          </cell>
          <cell r="Q336" t="str">
            <v>0</v>
          </cell>
          <cell r="R336" t="str">
            <v>0</v>
          </cell>
          <cell r="S336" t="str">
            <v>0</v>
          </cell>
          <cell r="T336">
            <v>26848</v>
          </cell>
          <cell r="U336">
            <v>15968</v>
          </cell>
          <cell r="V336">
            <v>4161</v>
          </cell>
          <cell r="W336">
            <v>7161</v>
          </cell>
          <cell r="X336" t="str">
            <v>0</v>
          </cell>
          <cell r="Y336">
            <v>8540</v>
          </cell>
          <cell r="Z336" t="str">
            <v>0</v>
          </cell>
          <cell r="AA336" t="str">
            <v>0</v>
          </cell>
          <cell r="AB336" t="str">
            <v>0</v>
          </cell>
          <cell r="AC336">
            <v>2250</v>
          </cell>
          <cell r="AD336" t="str">
            <v>0</v>
          </cell>
          <cell r="AE336" t="str">
            <v>0</v>
          </cell>
        </row>
        <row r="337">
          <cell r="D337" t="str">
            <v>26-Nov</v>
          </cell>
          <cell r="E337" t="str">
            <v>0</v>
          </cell>
          <cell r="F337">
            <v>1</v>
          </cell>
          <cell r="G337">
            <v>4</v>
          </cell>
          <cell r="H337" t="str">
            <v>0</v>
          </cell>
          <cell r="I337">
            <v>5</v>
          </cell>
          <cell r="J337" t="str">
            <v>0</v>
          </cell>
          <cell r="K337">
            <v>9</v>
          </cell>
          <cell r="L337" t="str">
            <v>0</v>
          </cell>
          <cell r="M337" t="str">
            <v>0</v>
          </cell>
          <cell r="N337" t="str">
            <v>0</v>
          </cell>
          <cell r="O337" t="str">
            <v>0</v>
          </cell>
          <cell r="P337">
            <v>8</v>
          </cell>
          <cell r="Q337" t="str">
            <v>0</v>
          </cell>
          <cell r="R337" t="str">
            <v>0</v>
          </cell>
          <cell r="S337" t="str">
            <v>0</v>
          </cell>
          <cell r="T337">
            <v>4143</v>
          </cell>
          <cell r="U337">
            <v>15129</v>
          </cell>
          <cell r="V337" t="str">
            <v>0</v>
          </cell>
          <cell r="W337">
            <v>18803</v>
          </cell>
          <cell r="X337" t="str">
            <v>0</v>
          </cell>
          <cell r="Y337">
            <v>2443</v>
          </cell>
          <cell r="Z337" t="str">
            <v>0</v>
          </cell>
          <cell r="AA337" t="str">
            <v>0</v>
          </cell>
          <cell r="AB337" t="str">
            <v>0</v>
          </cell>
          <cell r="AC337" t="str">
            <v>0</v>
          </cell>
          <cell r="AD337">
            <v>10476</v>
          </cell>
          <cell r="AE337" t="str">
            <v>0</v>
          </cell>
        </row>
        <row r="338">
          <cell r="D338" t="str">
            <v>27-Nov</v>
          </cell>
          <cell r="E338" t="str">
            <v>0</v>
          </cell>
          <cell r="F338">
            <v>5</v>
          </cell>
          <cell r="G338">
            <v>14</v>
          </cell>
          <cell r="H338">
            <v>1</v>
          </cell>
          <cell r="I338">
            <v>4</v>
          </cell>
          <cell r="J338">
            <v>2</v>
          </cell>
          <cell r="K338" t="str">
            <v>0</v>
          </cell>
          <cell r="L338" t="str">
            <v>0</v>
          </cell>
          <cell r="M338" t="str">
            <v>0</v>
          </cell>
          <cell r="N338" t="str">
            <v>0</v>
          </cell>
          <cell r="O338">
            <v>1</v>
          </cell>
          <cell r="P338" t="str">
            <v>0</v>
          </cell>
          <cell r="Q338" t="str">
            <v>0</v>
          </cell>
          <cell r="R338" t="str">
            <v>0</v>
          </cell>
          <cell r="S338" t="str">
            <v>0</v>
          </cell>
          <cell r="T338">
            <v>9618</v>
          </cell>
          <cell r="U338">
            <v>24571</v>
          </cell>
          <cell r="V338">
            <v>1574</v>
          </cell>
          <cell r="W338">
            <v>17560</v>
          </cell>
          <cell r="X338">
            <v>5642</v>
          </cell>
          <cell r="Y338" t="str">
            <v>0</v>
          </cell>
          <cell r="Z338" t="str">
            <v>0</v>
          </cell>
          <cell r="AA338" t="str">
            <v>0</v>
          </cell>
          <cell r="AB338" t="str">
            <v>0</v>
          </cell>
          <cell r="AC338">
            <v>1444</v>
          </cell>
          <cell r="AD338" t="str">
            <v>0</v>
          </cell>
          <cell r="AE338" t="str">
            <v>0</v>
          </cell>
        </row>
        <row r="339">
          <cell r="D339" t="str">
            <v>28-Nov</v>
          </cell>
          <cell r="E339" t="str">
            <v>0</v>
          </cell>
          <cell r="F339">
            <v>5</v>
          </cell>
          <cell r="G339">
            <v>6</v>
          </cell>
          <cell r="H339">
            <v>6</v>
          </cell>
          <cell r="I339">
            <v>11</v>
          </cell>
          <cell r="J339" t="str">
            <v>0</v>
          </cell>
          <cell r="K339">
            <v>3</v>
          </cell>
          <cell r="L339" t="str">
            <v>0</v>
          </cell>
          <cell r="M339" t="str">
            <v>0</v>
          </cell>
          <cell r="N339" t="str">
            <v>0</v>
          </cell>
          <cell r="O339">
            <v>3</v>
          </cell>
          <cell r="P339" t="str">
            <v>0</v>
          </cell>
          <cell r="Q339" t="str">
            <v>0</v>
          </cell>
          <cell r="R339" t="str">
            <v>0</v>
          </cell>
          <cell r="S339" t="str">
            <v>0</v>
          </cell>
          <cell r="T339">
            <v>8459</v>
          </cell>
          <cell r="U339">
            <v>7153</v>
          </cell>
          <cell r="V339">
            <v>8901</v>
          </cell>
          <cell r="W339">
            <v>14857</v>
          </cell>
          <cell r="X339" t="str">
            <v>0</v>
          </cell>
          <cell r="Y339">
            <v>14052</v>
          </cell>
          <cell r="Z339" t="str">
            <v>0</v>
          </cell>
          <cell r="AA339" t="str">
            <v>0</v>
          </cell>
          <cell r="AB339" t="str">
            <v>0</v>
          </cell>
          <cell r="AC339">
            <v>2446</v>
          </cell>
          <cell r="AD339" t="str">
            <v>0</v>
          </cell>
          <cell r="AE339" t="str">
            <v>0</v>
          </cell>
        </row>
        <row r="340">
          <cell r="D340" t="str">
            <v>29-Nov</v>
          </cell>
          <cell r="E340" t="str">
            <v>0</v>
          </cell>
          <cell r="F340">
            <v>2</v>
          </cell>
          <cell r="G340">
            <v>5</v>
          </cell>
          <cell r="H340">
            <v>2</v>
          </cell>
          <cell r="I340">
            <v>2</v>
          </cell>
          <cell r="J340" t="str">
            <v>0</v>
          </cell>
          <cell r="K340">
            <v>4</v>
          </cell>
          <cell r="L340" t="str">
            <v>0</v>
          </cell>
          <cell r="M340" t="str">
            <v>0</v>
          </cell>
          <cell r="N340" t="str">
            <v>0</v>
          </cell>
          <cell r="O340">
            <v>2</v>
          </cell>
          <cell r="P340" t="str">
            <v>0</v>
          </cell>
          <cell r="Q340" t="str">
            <v>0</v>
          </cell>
          <cell r="R340" t="str">
            <v>0</v>
          </cell>
          <cell r="S340" t="str">
            <v>0</v>
          </cell>
          <cell r="T340">
            <v>8040</v>
          </cell>
          <cell r="U340">
            <v>18914</v>
          </cell>
          <cell r="V340">
            <v>3527</v>
          </cell>
          <cell r="W340">
            <v>1723</v>
          </cell>
          <cell r="X340" t="str">
            <v>0</v>
          </cell>
          <cell r="Y340">
            <v>8679</v>
          </cell>
          <cell r="Z340" t="str">
            <v>0</v>
          </cell>
          <cell r="AA340" t="str">
            <v>0</v>
          </cell>
          <cell r="AB340" t="str">
            <v>0</v>
          </cell>
          <cell r="AC340">
            <v>3316</v>
          </cell>
          <cell r="AD340" t="str">
            <v>0</v>
          </cell>
          <cell r="AE340" t="str">
            <v>0</v>
          </cell>
        </row>
        <row r="341">
          <cell r="D341" t="str">
            <v>30-Nov</v>
          </cell>
          <cell r="E341" t="str">
            <v>0</v>
          </cell>
          <cell r="F341">
            <v>3</v>
          </cell>
          <cell r="G341">
            <v>4</v>
          </cell>
          <cell r="H341">
            <v>3</v>
          </cell>
          <cell r="I341">
            <v>2</v>
          </cell>
          <cell r="J341" t="str">
            <v>0</v>
          </cell>
          <cell r="K341">
            <v>8</v>
          </cell>
          <cell r="L341" t="str">
            <v>0</v>
          </cell>
          <cell r="M341" t="str">
            <v>0</v>
          </cell>
          <cell r="N341" t="str">
            <v>0</v>
          </cell>
          <cell r="O341" t="str">
            <v>0</v>
          </cell>
          <cell r="P341" t="str">
            <v>0</v>
          </cell>
          <cell r="Q341" t="str">
            <v>0</v>
          </cell>
          <cell r="R341" t="str">
            <v>0</v>
          </cell>
          <cell r="S341" t="str">
            <v>0</v>
          </cell>
          <cell r="T341">
            <v>2755</v>
          </cell>
          <cell r="U341">
            <v>21596</v>
          </cell>
          <cell r="V341">
            <v>5175</v>
          </cell>
          <cell r="W341">
            <v>5636</v>
          </cell>
          <cell r="X341" t="str">
            <v>0</v>
          </cell>
          <cell r="Y341">
            <v>12407</v>
          </cell>
          <cell r="Z341" t="str">
            <v>0</v>
          </cell>
          <cell r="AA341" t="str">
            <v>0</v>
          </cell>
          <cell r="AB341" t="str">
            <v>0</v>
          </cell>
          <cell r="AC341" t="str">
            <v>0</v>
          </cell>
          <cell r="AD341" t="str">
            <v>0</v>
          </cell>
          <cell r="AE341" t="str">
            <v>0</v>
          </cell>
        </row>
        <row r="342">
          <cell r="D342" t="str">
            <v>01-Dec</v>
          </cell>
          <cell r="E342" t="str">
            <v>0</v>
          </cell>
          <cell r="F342">
            <v>6</v>
          </cell>
          <cell r="G342">
            <v>7</v>
          </cell>
          <cell r="H342">
            <v>4</v>
          </cell>
          <cell r="I342">
            <v>5</v>
          </cell>
          <cell r="J342">
            <v>2</v>
          </cell>
          <cell r="K342">
            <v>3</v>
          </cell>
          <cell r="L342" t="str">
            <v>0</v>
          </cell>
          <cell r="M342" t="str">
            <v>0</v>
          </cell>
          <cell r="N342" t="str">
            <v>0</v>
          </cell>
          <cell r="O342" t="str">
            <v>0</v>
          </cell>
          <cell r="P342" t="str">
            <v>0</v>
          </cell>
          <cell r="Q342" t="str">
            <v>0</v>
          </cell>
          <cell r="R342" t="str">
            <v>0</v>
          </cell>
          <cell r="S342" t="str">
            <v>0</v>
          </cell>
          <cell r="T342">
            <v>10369</v>
          </cell>
          <cell r="U342">
            <v>11329</v>
          </cell>
          <cell r="V342">
            <v>4055</v>
          </cell>
          <cell r="W342">
            <v>8364</v>
          </cell>
          <cell r="X342">
            <v>1172</v>
          </cell>
          <cell r="Y342">
            <v>8290</v>
          </cell>
          <cell r="Z342" t="str">
            <v>0</v>
          </cell>
          <cell r="AA342" t="str">
            <v>0</v>
          </cell>
          <cell r="AB342" t="str">
            <v>0</v>
          </cell>
          <cell r="AC342" t="str">
            <v>0</v>
          </cell>
          <cell r="AD342" t="str">
            <v>0</v>
          </cell>
          <cell r="AE342" t="str">
            <v>0</v>
          </cell>
        </row>
        <row r="343">
          <cell r="D343" t="str">
            <v>02-Dec</v>
          </cell>
          <cell r="E343" t="str">
            <v>0</v>
          </cell>
          <cell r="F343">
            <v>1</v>
          </cell>
          <cell r="G343">
            <v>8</v>
          </cell>
          <cell r="H343">
            <v>2</v>
          </cell>
          <cell r="I343">
            <v>7</v>
          </cell>
          <cell r="J343" t="str">
            <v>0</v>
          </cell>
          <cell r="K343">
            <v>1</v>
          </cell>
          <cell r="L343" t="str">
            <v>0</v>
          </cell>
          <cell r="M343" t="str">
            <v>0</v>
          </cell>
          <cell r="N343" t="str">
            <v>0</v>
          </cell>
          <cell r="O343">
            <v>2</v>
          </cell>
          <cell r="P343" t="str">
            <v>0</v>
          </cell>
          <cell r="Q343">
            <v>1</v>
          </cell>
          <cell r="R343" t="str">
            <v>0</v>
          </cell>
          <cell r="S343" t="str">
            <v>0</v>
          </cell>
          <cell r="T343">
            <v>1216</v>
          </cell>
          <cell r="U343">
            <v>35120</v>
          </cell>
          <cell r="V343">
            <v>1935</v>
          </cell>
          <cell r="W343">
            <v>26066</v>
          </cell>
          <cell r="X343" t="str">
            <v>0</v>
          </cell>
          <cell r="Y343">
            <v>1331</v>
          </cell>
          <cell r="Z343" t="str">
            <v>0</v>
          </cell>
          <cell r="AA343" t="str">
            <v>0</v>
          </cell>
          <cell r="AB343" t="str">
            <v>0</v>
          </cell>
          <cell r="AC343">
            <v>1592</v>
          </cell>
          <cell r="AD343" t="str">
            <v>0</v>
          </cell>
          <cell r="AE343">
            <v>1529</v>
          </cell>
        </row>
        <row r="344">
          <cell r="D344" t="str">
            <v>03-Dec</v>
          </cell>
          <cell r="E344" t="str">
            <v>0</v>
          </cell>
          <cell r="F344" t="str">
            <v>0</v>
          </cell>
          <cell r="G344">
            <v>6</v>
          </cell>
          <cell r="H344">
            <v>6</v>
          </cell>
          <cell r="I344">
            <v>4</v>
          </cell>
          <cell r="J344" t="str">
            <v>0</v>
          </cell>
          <cell r="K344">
            <v>5</v>
          </cell>
          <cell r="L344" t="str">
            <v>0</v>
          </cell>
          <cell r="M344" t="str">
            <v>0</v>
          </cell>
          <cell r="N344" t="str">
            <v>0</v>
          </cell>
          <cell r="O344">
            <v>3</v>
          </cell>
          <cell r="P344" t="str">
            <v>0</v>
          </cell>
          <cell r="Q344" t="str">
            <v>0</v>
          </cell>
          <cell r="R344" t="str">
            <v>0</v>
          </cell>
          <cell r="S344" t="str">
            <v>0</v>
          </cell>
          <cell r="T344" t="str">
            <v>0</v>
          </cell>
          <cell r="U344">
            <v>14409</v>
          </cell>
          <cell r="V344">
            <v>10871</v>
          </cell>
          <cell r="W344">
            <v>4388</v>
          </cell>
          <cell r="X344" t="str">
            <v>0</v>
          </cell>
          <cell r="Y344">
            <v>10560</v>
          </cell>
          <cell r="Z344" t="str">
            <v>0</v>
          </cell>
          <cell r="AA344" t="str">
            <v>0</v>
          </cell>
          <cell r="AB344" t="str">
            <v>0</v>
          </cell>
          <cell r="AC344">
            <v>3153</v>
          </cell>
          <cell r="AD344" t="str">
            <v>0</v>
          </cell>
          <cell r="AE344" t="str">
            <v>0</v>
          </cell>
        </row>
        <row r="345">
          <cell r="D345" t="str">
            <v>04-Dec</v>
          </cell>
          <cell r="E345" t="str">
            <v>0</v>
          </cell>
          <cell r="F345">
            <v>4</v>
          </cell>
          <cell r="G345">
            <v>7</v>
          </cell>
          <cell r="H345">
            <v>6</v>
          </cell>
          <cell r="I345">
            <v>3</v>
          </cell>
          <cell r="J345" t="str">
            <v>0</v>
          </cell>
          <cell r="K345" t="str">
            <v>0</v>
          </cell>
          <cell r="L345" t="str">
            <v>0</v>
          </cell>
          <cell r="M345" t="str">
            <v>0</v>
          </cell>
          <cell r="N345" t="str">
            <v>0</v>
          </cell>
          <cell r="O345">
            <v>2</v>
          </cell>
          <cell r="P345" t="str">
            <v>0</v>
          </cell>
          <cell r="Q345" t="str">
            <v>0</v>
          </cell>
          <cell r="R345" t="str">
            <v>0</v>
          </cell>
          <cell r="S345" t="str">
            <v>0</v>
          </cell>
          <cell r="T345">
            <v>5154</v>
          </cell>
          <cell r="U345">
            <v>11361</v>
          </cell>
          <cell r="V345">
            <v>7516</v>
          </cell>
          <cell r="W345">
            <v>3070</v>
          </cell>
          <cell r="X345" t="str">
            <v>0</v>
          </cell>
          <cell r="Y345" t="str">
            <v>0</v>
          </cell>
          <cell r="Z345" t="str">
            <v>0</v>
          </cell>
          <cell r="AA345" t="str">
            <v>0</v>
          </cell>
          <cell r="AB345" t="str">
            <v>0</v>
          </cell>
          <cell r="AC345">
            <v>2781</v>
          </cell>
          <cell r="AD345" t="str">
            <v>0</v>
          </cell>
          <cell r="AE345" t="str">
            <v>0</v>
          </cell>
        </row>
        <row r="346">
          <cell r="D346" t="str">
            <v>05-Dec</v>
          </cell>
          <cell r="E346" t="str">
            <v>0</v>
          </cell>
          <cell r="F346">
            <v>5</v>
          </cell>
          <cell r="G346">
            <v>8</v>
          </cell>
          <cell r="H346">
            <v>8</v>
          </cell>
          <cell r="I346">
            <v>3</v>
          </cell>
          <cell r="J346">
            <v>2</v>
          </cell>
          <cell r="K346">
            <v>1</v>
          </cell>
          <cell r="L346" t="str">
            <v>0</v>
          </cell>
          <cell r="M346" t="str">
            <v>0</v>
          </cell>
          <cell r="N346" t="str">
            <v>0</v>
          </cell>
          <cell r="O346">
            <v>2</v>
          </cell>
          <cell r="P346" t="str">
            <v>0</v>
          </cell>
          <cell r="Q346" t="str">
            <v>0</v>
          </cell>
          <cell r="R346" t="str">
            <v>0</v>
          </cell>
          <cell r="S346" t="str">
            <v>0</v>
          </cell>
          <cell r="T346">
            <v>7862</v>
          </cell>
          <cell r="U346">
            <v>20026</v>
          </cell>
          <cell r="V346">
            <v>20280</v>
          </cell>
          <cell r="W346">
            <v>4866</v>
          </cell>
          <cell r="X346">
            <v>2128</v>
          </cell>
          <cell r="Y346">
            <v>1323</v>
          </cell>
          <cell r="Z346" t="str">
            <v>0</v>
          </cell>
          <cell r="AA346" t="str">
            <v>0</v>
          </cell>
          <cell r="AB346" t="str">
            <v>0</v>
          </cell>
          <cell r="AC346">
            <v>2568</v>
          </cell>
          <cell r="AD346" t="str">
            <v>0</v>
          </cell>
          <cell r="AE346" t="str">
            <v>0</v>
          </cell>
        </row>
        <row r="347">
          <cell r="D347" t="str">
            <v>06-Dec</v>
          </cell>
          <cell r="E347" t="str">
            <v>0</v>
          </cell>
          <cell r="F347">
            <v>3</v>
          </cell>
          <cell r="G347">
            <v>5</v>
          </cell>
          <cell r="H347">
            <v>2</v>
          </cell>
          <cell r="I347">
            <v>3</v>
          </cell>
          <cell r="J347" t="str">
            <v>0</v>
          </cell>
          <cell r="K347">
            <v>8</v>
          </cell>
          <cell r="L347" t="str">
            <v>0</v>
          </cell>
          <cell r="M347" t="str">
            <v>0</v>
          </cell>
          <cell r="N347" t="str">
            <v>0</v>
          </cell>
          <cell r="O347">
            <v>1</v>
          </cell>
          <cell r="P347" t="str">
            <v>0</v>
          </cell>
          <cell r="Q347" t="str">
            <v>0</v>
          </cell>
          <cell r="R347" t="str">
            <v>0</v>
          </cell>
          <cell r="S347" t="str">
            <v>0</v>
          </cell>
          <cell r="T347">
            <v>4246</v>
          </cell>
          <cell r="U347">
            <v>7901</v>
          </cell>
          <cell r="V347">
            <v>2976</v>
          </cell>
          <cell r="W347">
            <v>3560</v>
          </cell>
          <cell r="X347" t="str">
            <v>0</v>
          </cell>
          <cell r="Y347">
            <v>13325</v>
          </cell>
          <cell r="Z347" t="str">
            <v>0</v>
          </cell>
          <cell r="AA347" t="str">
            <v>0</v>
          </cell>
          <cell r="AB347" t="str">
            <v>0</v>
          </cell>
          <cell r="AC347">
            <v>501</v>
          </cell>
          <cell r="AD347" t="str">
            <v>0</v>
          </cell>
          <cell r="AE347" t="str">
            <v>0</v>
          </cell>
        </row>
        <row r="348">
          <cell r="D348" t="str">
            <v>07-Dec</v>
          </cell>
          <cell r="E348" t="str">
            <v>0</v>
          </cell>
          <cell r="F348">
            <v>2</v>
          </cell>
          <cell r="G348">
            <v>7</v>
          </cell>
          <cell r="H348">
            <v>1</v>
          </cell>
          <cell r="I348">
            <v>3</v>
          </cell>
          <cell r="J348" t="str">
            <v>0</v>
          </cell>
          <cell r="K348">
            <v>1</v>
          </cell>
          <cell r="L348" t="str">
            <v>0</v>
          </cell>
          <cell r="M348" t="str">
            <v>0</v>
          </cell>
          <cell r="N348" t="str">
            <v>0</v>
          </cell>
          <cell r="O348" t="str">
            <v>0</v>
          </cell>
          <cell r="P348" t="str">
            <v>0</v>
          </cell>
          <cell r="Q348" t="str">
            <v>0</v>
          </cell>
          <cell r="R348" t="str">
            <v>0</v>
          </cell>
          <cell r="S348" t="str">
            <v>0</v>
          </cell>
          <cell r="T348">
            <v>1809</v>
          </cell>
          <cell r="U348">
            <v>10445</v>
          </cell>
          <cell r="V348">
            <v>3428</v>
          </cell>
          <cell r="W348">
            <v>11498</v>
          </cell>
          <cell r="X348" t="str">
            <v>0</v>
          </cell>
          <cell r="Y348">
            <v>1140</v>
          </cell>
          <cell r="Z348" t="str">
            <v>0</v>
          </cell>
          <cell r="AA348" t="str">
            <v>0</v>
          </cell>
          <cell r="AB348" t="str">
            <v>0</v>
          </cell>
          <cell r="AC348" t="str">
            <v>0</v>
          </cell>
          <cell r="AD348" t="str">
            <v>0</v>
          </cell>
          <cell r="AE348" t="str">
            <v>0</v>
          </cell>
        </row>
        <row r="349">
          <cell r="D349" t="str">
            <v>08-Dec</v>
          </cell>
          <cell r="E349" t="str">
            <v>0</v>
          </cell>
          <cell r="F349" t="str">
            <v>0</v>
          </cell>
          <cell r="G349">
            <v>5</v>
          </cell>
          <cell r="H349">
            <v>2</v>
          </cell>
          <cell r="I349">
            <v>9</v>
          </cell>
          <cell r="J349">
            <v>1</v>
          </cell>
          <cell r="K349">
            <v>2</v>
          </cell>
          <cell r="L349" t="str">
            <v>0</v>
          </cell>
          <cell r="M349" t="str">
            <v>0</v>
          </cell>
          <cell r="N349" t="str">
            <v>0</v>
          </cell>
          <cell r="O349">
            <v>1</v>
          </cell>
          <cell r="P349" t="str">
            <v>0</v>
          </cell>
          <cell r="Q349" t="str">
            <v>0</v>
          </cell>
          <cell r="R349" t="str">
            <v>0</v>
          </cell>
          <cell r="S349" t="str">
            <v>0</v>
          </cell>
          <cell r="T349" t="str">
            <v>0</v>
          </cell>
          <cell r="U349">
            <v>8227</v>
          </cell>
          <cell r="V349">
            <v>1474</v>
          </cell>
          <cell r="W349">
            <v>13414</v>
          </cell>
          <cell r="X349">
            <v>1520</v>
          </cell>
          <cell r="Y349">
            <v>766</v>
          </cell>
          <cell r="Z349" t="str">
            <v>0</v>
          </cell>
          <cell r="AA349" t="str">
            <v>0</v>
          </cell>
          <cell r="AB349" t="str">
            <v>0</v>
          </cell>
          <cell r="AC349">
            <v>1185</v>
          </cell>
          <cell r="AD349" t="str">
            <v>0</v>
          </cell>
          <cell r="AE349" t="str">
            <v>0</v>
          </cell>
        </row>
        <row r="350">
          <cell r="D350" t="str">
            <v>09-Dec</v>
          </cell>
          <cell r="E350" t="str">
            <v>0</v>
          </cell>
          <cell r="F350">
            <v>2</v>
          </cell>
          <cell r="G350">
            <v>2</v>
          </cell>
          <cell r="H350">
            <v>12</v>
          </cell>
          <cell r="I350">
            <v>2</v>
          </cell>
          <cell r="J350" t="str">
            <v>0</v>
          </cell>
          <cell r="K350">
            <v>4</v>
          </cell>
          <cell r="L350" t="str">
            <v>0</v>
          </cell>
          <cell r="M350" t="str">
            <v>0</v>
          </cell>
          <cell r="N350" t="str">
            <v>0</v>
          </cell>
          <cell r="O350">
            <v>2</v>
          </cell>
          <cell r="P350" t="str">
            <v>0</v>
          </cell>
          <cell r="Q350" t="str">
            <v>0</v>
          </cell>
          <cell r="R350" t="str">
            <v>0</v>
          </cell>
          <cell r="S350" t="str">
            <v>0</v>
          </cell>
          <cell r="T350">
            <v>2684</v>
          </cell>
          <cell r="U350">
            <v>6924</v>
          </cell>
          <cell r="V350">
            <v>16116</v>
          </cell>
          <cell r="W350">
            <v>3952</v>
          </cell>
          <cell r="X350" t="str">
            <v>0</v>
          </cell>
          <cell r="Y350">
            <v>10906</v>
          </cell>
          <cell r="Z350" t="str">
            <v>0</v>
          </cell>
          <cell r="AA350" t="str">
            <v>0</v>
          </cell>
          <cell r="AB350" t="str">
            <v>0</v>
          </cell>
          <cell r="AC350">
            <v>3123</v>
          </cell>
          <cell r="AD350" t="str">
            <v>0</v>
          </cell>
          <cell r="AE350" t="str">
            <v>0</v>
          </cell>
        </row>
        <row r="351">
          <cell r="D351" t="str">
            <v>10-Dec</v>
          </cell>
          <cell r="E351" t="str">
            <v>0</v>
          </cell>
          <cell r="F351">
            <v>3</v>
          </cell>
          <cell r="G351">
            <v>3</v>
          </cell>
          <cell r="H351" t="str">
            <v>0</v>
          </cell>
          <cell r="I351">
            <v>3</v>
          </cell>
          <cell r="J351">
            <v>2</v>
          </cell>
          <cell r="K351">
            <v>4</v>
          </cell>
          <cell r="L351" t="str">
            <v>0</v>
          </cell>
          <cell r="M351" t="str">
            <v>0</v>
          </cell>
          <cell r="N351" t="str">
            <v>0</v>
          </cell>
          <cell r="O351">
            <v>2</v>
          </cell>
          <cell r="P351" t="str">
            <v>0</v>
          </cell>
          <cell r="Q351" t="str">
            <v>0</v>
          </cell>
          <cell r="R351" t="str">
            <v>0</v>
          </cell>
          <cell r="S351" t="str">
            <v>0</v>
          </cell>
          <cell r="T351">
            <v>1791</v>
          </cell>
          <cell r="U351">
            <v>3205</v>
          </cell>
          <cell r="V351" t="str">
            <v>0</v>
          </cell>
          <cell r="W351">
            <v>17664</v>
          </cell>
          <cell r="X351">
            <v>1523</v>
          </cell>
          <cell r="Y351">
            <v>8689</v>
          </cell>
          <cell r="Z351" t="str">
            <v>0</v>
          </cell>
          <cell r="AA351" t="str">
            <v>0</v>
          </cell>
          <cell r="AB351" t="str">
            <v>0</v>
          </cell>
          <cell r="AC351">
            <v>3632</v>
          </cell>
          <cell r="AD351" t="str">
            <v>0</v>
          </cell>
          <cell r="AE351" t="str">
            <v>0</v>
          </cell>
        </row>
        <row r="352">
          <cell r="D352" t="str">
            <v>11-Dec</v>
          </cell>
          <cell r="E352" t="str">
            <v>0</v>
          </cell>
          <cell r="F352">
            <v>5</v>
          </cell>
          <cell r="G352">
            <v>6</v>
          </cell>
          <cell r="H352">
            <v>3</v>
          </cell>
          <cell r="I352">
            <v>4</v>
          </cell>
          <cell r="J352" t="str">
            <v>0</v>
          </cell>
          <cell r="K352">
            <v>3</v>
          </cell>
          <cell r="L352" t="str">
            <v>0</v>
          </cell>
          <cell r="M352" t="str">
            <v>0</v>
          </cell>
          <cell r="N352" t="str">
            <v>0</v>
          </cell>
          <cell r="O352">
            <v>2</v>
          </cell>
          <cell r="P352" t="str">
            <v>0</v>
          </cell>
          <cell r="Q352" t="str">
            <v>0</v>
          </cell>
          <cell r="R352" t="str">
            <v>0</v>
          </cell>
          <cell r="S352" t="str">
            <v>0</v>
          </cell>
          <cell r="T352">
            <v>6824</v>
          </cell>
          <cell r="U352">
            <v>12322</v>
          </cell>
          <cell r="V352">
            <v>5483</v>
          </cell>
          <cell r="W352">
            <v>7722</v>
          </cell>
          <cell r="X352" t="str">
            <v>0</v>
          </cell>
          <cell r="Y352">
            <v>10050</v>
          </cell>
          <cell r="Z352" t="str">
            <v>0</v>
          </cell>
          <cell r="AA352" t="str">
            <v>0</v>
          </cell>
          <cell r="AB352" t="str">
            <v>0</v>
          </cell>
          <cell r="AC352">
            <v>4752</v>
          </cell>
          <cell r="AD352" t="str">
            <v>0</v>
          </cell>
          <cell r="AE352" t="str">
            <v>0</v>
          </cell>
        </row>
        <row r="353">
          <cell r="D353" t="str">
            <v>12-Dec</v>
          </cell>
          <cell r="E353" t="str">
            <v>0</v>
          </cell>
          <cell r="F353">
            <v>5</v>
          </cell>
          <cell r="G353">
            <v>11</v>
          </cell>
          <cell r="H353">
            <v>5</v>
          </cell>
          <cell r="I353">
            <v>4</v>
          </cell>
          <cell r="J353" t="str">
            <v>0</v>
          </cell>
          <cell r="K353">
            <v>2</v>
          </cell>
          <cell r="L353" t="str">
            <v>0</v>
          </cell>
          <cell r="M353" t="str">
            <v>0</v>
          </cell>
          <cell r="N353" t="str">
            <v>0</v>
          </cell>
          <cell r="O353">
            <v>1</v>
          </cell>
          <cell r="P353" t="str">
            <v>0</v>
          </cell>
          <cell r="Q353" t="str">
            <v>0</v>
          </cell>
          <cell r="R353" t="str">
            <v>0</v>
          </cell>
          <cell r="S353" t="str">
            <v>0</v>
          </cell>
          <cell r="T353">
            <v>8598</v>
          </cell>
          <cell r="U353">
            <v>87918</v>
          </cell>
          <cell r="V353">
            <v>5414</v>
          </cell>
          <cell r="W353">
            <v>6320</v>
          </cell>
          <cell r="X353" t="str">
            <v>0</v>
          </cell>
          <cell r="Y353">
            <v>3016</v>
          </cell>
          <cell r="Z353" t="str">
            <v>0</v>
          </cell>
          <cell r="AA353" t="str">
            <v>0</v>
          </cell>
          <cell r="AB353" t="str">
            <v>0</v>
          </cell>
          <cell r="AC353">
            <v>760</v>
          </cell>
          <cell r="AD353" t="str">
            <v>0</v>
          </cell>
          <cell r="AE353" t="str">
            <v>0</v>
          </cell>
        </row>
        <row r="354">
          <cell r="D354" t="str">
            <v>13-Dec</v>
          </cell>
          <cell r="E354" t="str">
            <v>0</v>
          </cell>
          <cell r="F354">
            <v>5</v>
          </cell>
          <cell r="G354">
            <v>13</v>
          </cell>
          <cell r="H354">
            <v>9</v>
          </cell>
          <cell r="I354">
            <v>2</v>
          </cell>
          <cell r="J354">
            <v>1</v>
          </cell>
          <cell r="K354">
            <v>3</v>
          </cell>
          <cell r="L354" t="str">
            <v>0</v>
          </cell>
          <cell r="M354" t="str">
            <v>0</v>
          </cell>
          <cell r="N354" t="str">
            <v>0</v>
          </cell>
          <cell r="O354" t="str">
            <v>0</v>
          </cell>
          <cell r="P354" t="str">
            <v>0</v>
          </cell>
          <cell r="Q354" t="str">
            <v>0</v>
          </cell>
          <cell r="R354" t="str">
            <v>0</v>
          </cell>
          <cell r="S354" t="str">
            <v>0</v>
          </cell>
          <cell r="T354">
            <v>6319</v>
          </cell>
          <cell r="U354">
            <v>16450</v>
          </cell>
          <cell r="V354">
            <v>12545</v>
          </cell>
          <cell r="W354">
            <v>149100</v>
          </cell>
          <cell r="X354">
            <v>23800</v>
          </cell>
          <cell r="Y354">
            <v>8112</v>
          </cell>
          <cell r="Z354" t="str">
            <v>0</v>
          </cell>
          <cell r="AA354" t="str">
            <v>0</v>
          </cell>
          <cell r="AB354" t="str">
            <v>0</v>
          </cell>
          <cell r="AC354" t="str">
            <v>0</v>
          </cell>
          <cell r="AD354" t="str">
            <v>0</v>
          </cell>
          <cell r="AE354" t="str">
            <v>0</v>
          </cell>
        </row>
        <row r="355">
          <cell r="D355" t="str">
            <v>14-Dec</v>
          </cell>
          <cell r="E355" t="str">
            <v>0</v>
          </cell>
          <cell r="F355">
            <v>2</v>
          </cell>
          <cell r="G355">
            <v>8</v>
          </cell>
          <cell r="H355">
            <v>4</v>
          </cell>
          <cell r="I355">
            <v>3</v>
          </cell>
          <cell r="J355" t="str">
            <v>0</v>
          </cell>
          <cell r="K355" t="str">
            <v>0</v>
          </cell>
          <cell r="L355" t="str">
            <v>0</v>
          </cell>
          <cell r="M355" t="str">
            <v>0</v>
          </cell>
          <cell r="N355" t="str">
            <v>0</v>
          </cell>
          <cell r="O355" t="str">
            <v>0</v>
          </cell>
          <cell r="P355" t="str">
            <v>0</v>
          </cell>
          <cell r="Q355" t="str">
            <v>0</v>
          </cell>
          <cell r="R355" t="str">
            <v>0</v>
          </cell>
          <cell r="S355" t="str">
            <v>0</v>
          </cell>
          <cell r="T355">
            <v>6012</v>
          </cell>
          <cell r="U355">
            <v>16477</v>
          </cell>
          <cell r="V355">
            <v>40171</v>
          </cell>
          <cell r="W355">
            <v>8947</v>
          </cell>
          <cell r="X355" t="str">
            <v>0</v>
          </cell>
          <cell r="Y355" t="str">
            <v>0</v>
          </cell>
          <cell r="Z355" t="str">
            <v>0</v>
          </cell>
          <cell r="AA355" t="str">
            <v>0</v>
          </cell>
          <cell r="AB355" t="str">
            <v>0</v>
          </cell>
          <cell r="AC355" t="str">
            <v>0</v>
          </cell>
          <cell r="AD355" t="str">
            <v>0</v>
          </cell>
          <cell r="AE355" t="str">
            <v>0</v>
          </cell>
        </row>
        <row r="356">
          <cell r="D356" t="str">
            <v>15-Dec</v>
          </cell>
          <cell r="E356" t="str">
            <v>0</v>
          </cell>
          <cell r="F356">
            <v>4</v>
          </cell>
          <cell r="G356">
            <v>5</v>
          </cell>
          <cell r="H356">
            <v>3</v>
          </cell>
          <cell r="I356">
            <v>8</v>
          </cell>
          <cell r="J356">
            <v>1</v>
          </cell>
          <cell r="K356">
            <v>2</v>
          </cell>
          <cell r="L356" t="str">
            <v>0</v>
          </cell>
          <cell r="M356" t="str">
            <v>0</v>
          </cell>
          <cell r="N356" t="str">
            <v>0</v>
          </cell>
          <cell r="O356">
            <v>1</v>
          </cell>
          <cell r="P356" t="str">
            <v>0</v>
          </cell>
          <cell r="Q356" t="str">
            <v>0</v>
          </cell>
          <cell r="R356" t="str">
            <v>0</v>
          </cell>
          <cell r="S356" t="str">
            <v>0</v>
          </cell>
          <cell r="T356">
            <v>7369</v>
          </cell>
          <cell r="U356">
            <v>5844</v>
          </cell>
          <cell r="V356">
            <v>8373</v>
          </cell>
          <cell r="W356">
            <v>17523</v>
          </cell>
          <cell r="X356">
            <v>2850</v>
          </cell>
          <cell r="Y356">
            <v>2850</v>
          </cell>
          <cell r="Z356" t="str">
            <v>0</v>
          </cell>
          <cell r="AA356" t="str">
            <v>0</v>
          </cell>
          <cell r="AB356" t="str">
            <v>0</v>
          </cell>
          <cell r="AC356">
            <v>2888</v>
          </cell>
          <cell r="AD356" t="str">
            <v>0</v>
          </cell>
          <cell r="AE356" t="str">
            <v>0</v>
          </cell>
        </row>
        <row r="357">
          <cell r="D357" t="str">
            <v>16-Dec</v>
          </cell>
          <cell r="E357" t="str">
            <v>0</v>
          </cell>
          <cell r="F357" t="str">
            <v>0</v>
          </cell>
          <cell r="G357">
            <v>6</v>
          </cell>
          <cell r="H357">
            <v>1</v>
          </cell>
          <cell r="I357">
            <v>3</v>
          </cell>
          <cell r="J357">
            <v>1</v>
          </cell>
          <cell r="K357">
            <v>1</v>
          </cell>
          <cell r="L357" t="str">
            <v>0</v>
          </cell>
          <cell r="M357" t="str">
            <v>0</v>
          </cell>
          <cell r="N357" t="str">
            <v>0</v>
          </cell>
          <cell r="O357" t="str">
            <v>0</v>
          </cell>
          <cell r="P357" t="str">
            <v>0</v>
          </cell>
          <cell r="Q357" t="str">
            <v>0</v>
          </cell>
          <cell r="R357" t="str">
            <v>0</v>
          </cell>
          <cell r="S357" t="str">
            <v>0</v>
          </cell>
          <cell r="T357" t="str">
            <v>0</v>
          </cell>
          <cell r="U357">
            <v>16718</v>
          </cell>
          <cell r="V357">
            <v>2100</v>
          </cell>
          <cell r="W357">
            <v>4549</v>
          </cell>
          <cell r="X357">
            <v>3150</v>
          </cell>
          <cell r="Y357">
            <v>532</v>
          </cell>
          <cell r="Z357" t="str">
            <v>0</v>
          </cell>
          <cell r="AA357" t="str">
            <v>0</v>
          </cell>
          <cell r="AB357" t="str">
            <v>0</v>
          </cell>
          <cell r="AC357" t="str">
            <v>0</v>
          </cell>
          <cell r="AD357" t="str">
            <v>0</v>
          </cell>
          <cell r="AE357" t="str">
            <v>0</v>
          </cell>
        </row>
        <row r="358">
          <cell r="D358" t="str">
            <v>17-Dec</v>
          </cell>
          <cell r="E358" t="str">
            <v>0</v>
          </cell>
          <cell r="F358">
            <v>1</v>
          </cell>
          <cell r="G358">
            <v>14</v>
          </cell>
          <cell r="H358">
            <v>5</v>
          </cell>
          <cell r="I358">
            <v>1</v>
          </cell>
          <cell r="J358" t="str">
            <v>0</v>
          </cell>
          <cell r="K358">
            <v>6</v>
          </cell>
          <cell r="L358" t="str">
            <v>0</v>
          </cell>
          <cell r="M358" t="str">
            <v>0</v>
          </cell>
          <cell r="N358" t="str">
            <v>0</v>
          </cell>
          <cell r="O358">
            <v>1</v>
          </cell>
          <cell r="P358" t="str">
            <v>0</v>
          </cell>
          <cell r="Q358" t="str">
            <v>0</v>
          </cell>
          <cell r="R358" t="str">
            <v>0</v>
          </cell>
          <cell r="S358" t="str">
            <v>0</v>
          </cell>
          <cell r="T358">
            <v>988</v>
          </cell>
          <cell r="U358">
            <v>28929</v>
          </cell>
          <cell r="V358">
            <v>5148</v>
          </cell>
          <cell r="W358">
            <v>9000</v>
          </cell>
          <cell r="X358" t="str">
            <v>0</v>
          </cell>
          <cell r="Y358">
            <v>19540</v>
          </cell>
          <cell r="Z358" t="str">
            <v>0</v>
          </cell>
          <cell r="AA358" t="str">
            <v>0</v>
          </cell>
          <cell r="AB358" t="str">
            <v>0</v>
          </cell>
          <cell r="AC358">
            <v>304</v>
          </cell>
          <cell r="AD358" t="str">
            <v>0</v>
          </cell>
          <cell r="AE358" t="str">
            <v>0</v>
          </cell>
        </row>
        <row r="359">
          <cell r="D359" t="str">
            <v>18-Dec</v>
          </cell>
          <cell r="E359" t="str">
            <v>0</v>
          </cell>
          <cell r="F359">
            <v>2</v>
          </cell>
          <cell r="G359">
            <v>12</v>
          </cell>
          <cell r="H359">
            <v>4</v>
          </cell>
          <cell r="I359">
            <v>1</v>
          </cell>
          <cell r="J359" t="str">
            <v>0</v>
          </cell>
          <cell r="K359">
            <v>3</v>
          </cell>
          <cell r="L359" t="str">
            <v>0</v>
          </cell>
          <cell r="M359" t="str">
            <v>0</v>
          </cell>
          <cell r="N359" t="str">
            <v>0</v>
          </cell>
          <cell r="O359">
            <v>1</v>
          </cell>
          <cell r="P359" t="str">
            <v>0</v>
          </cell>
          <cell r="Q359">
            <v>2</v>
          </cell>
          <cell r="R359" t="str">
            <v>0</v>
          </cell>
          <cell r="S359" t="str">
            <v>0</v>
          </cell>
          <cell r="T359">
            <v>2848</v>
          </cell>
          <cell r="U359">
            <v>26029</v>
          </cell>
          <cell r="V359">
            <v>8741</v>
          </cell>
          <cell r="W359">
            <v>5610</v>
          </cell>
          <cell r="X359" t="str">
            <v>0</v>
          </cell>
          <cell r="Y359">
            <v>4718</v>
          </cell>
          <cell r="Z359" t="str">
            <v>0</v>
          </cell>
          <cell r="AA359" t="str">
            <v>0</v>
          </cell>
          <cell r="AB359" t="str">
            <v>0</v>
          </cell>
          <cell r="AC359">
            <v>1368</v>
          </cell>
          <cell r="AD359" t="str">
            <v>0</v>
          </cell>
          <cell r="AE359">
            <v>608</v>
          </cell>
        </row>
        <row r="360">
          <cell r="D360" t="str">
            <v>19-Dec</v>
          </cell>
          <cell r="E360" t="str">
            <v>0</v>
          </cell>
          <cell r="F360">
            <v>10</v>
          </cell>
          <cell r="G360">
            <v>8</v>
          </cell>
          <cell r="H360">
            <v>4</v>
          </cell>
          <cell r="I360">
            <v>3</v>
          </cell>
          <cell r="J360" t="str">
            <v>0</v>
          </cell>
          <cell r="K360">
            <v>1</v>
          </cell>
          <cell r="L360" t="str">
            <v>0</v>
          </cell>
          <cell r="M360" t="str">
            <v>0</v>
          </cell>
          <cell r="N360" t="str">
            <v>0</v>
          </cell>
          <cell r="O360">
            <v>3</v>
          </cell>
          <cell r="P360" t="str">
            <v>0</v>
          </cell>
          <cell r="Q360" t="str">
            <v>0</v>
          </cell>
          <cell r="R360" t="str">
            <v>0</v>
          </cell>
          <cell r="S360" t="str">
            <v>0</v>
          </cell>
          <cell r="T360">
            <v>13974</v>
          </cell>
          <cell r="U360">
            <v>13309</v>
          </cell>
          <cell r="V360">
            <v>6901</v>
          </cell>
          <cell r="W360">
            <v>12767</v>
          </cell>
          <cell r="X360" t="str">
            <v>0</v>
          </cell>
          <cell r="Y360">
            <v>790</v>
          </cell>
          <cell r="Z360" t="str">
            <v>0</v>
          </cell>
          <cell r="AA360" t="str">
            <v>0</v>
          </cell>
          <cell r="AB360" t="str">
            <v>0</v>
          </cell>
          <cell r="AC360">
            <v>33946</v>
          </cell>
          <cell r="AD360" t="str">
            <v>0</v>
          </cell>
          <cell r="AE360" t="str">
            <v>0</v>
          </cell>
        </row>
        <row r="361">
          <cell r="D361" t="str">
            <v>20-Dec</v>
          </cell>
          <cell r="E361" t="str">
            <v>0</v>
          </cell>
          <cell r="F361" t="str">
            <v>0</v>
          </cell>
          <cell r="G361">
            <v>6</v>
          </cell>
          <cell r="H361">
            <v>5</v>
          </cell>
          <cell r="I361">
            <v>4</v>
          </cell>
          <cell r="J361" t="str">
            <v>0</v>
          </cell>
          <cell r="K361">
            <v>7</v>
          </cell>
          <cell r="L361" t="str">
            <v>0</v>
          </cell>
          <cell r="M361" t="str">
            <v>0</v>
          </cell>
          <cell r="N361" t="str">
            <v>0</v>
          </cell>
          <cell r="O361" t="str">
            <v>0</v>
          </cell>
          <cell r="P361" t="str">
            <v>0</v>
          </cell>
          <cell r="Q361" t="str">
            <v>0</v>
          </cell>
          <cell r="R361" t="str">
            <v>0</v>
          </cell>
          <cell r="S361" t="str">
            <v>0</v>
          </cell>
          <cell r="T361" t="str">
            <v>0</v>
          </cell>
          <cell r="U361">
            <v>14985</v>
          </cell>
          <cell r="V361">
            <v>7346</v>
          </cell>
          <cell r="W361">
            <v>11035</v>
          </cell>
          <cell r="X361" t="str">
            <v>0</v>
          </cell>
          <cell r="Y361">
            <v>7135</v>
          </cell>
          <cell r="Z361" t="str">
            <v>0</v>
          </cell>
          <cell r="AA361" t="str">
            <v>0</v>
          </cell>
          <cell r="AB361" t="str">
            <v>0</v>
          </cell>
          <cell r="AC361" t="str">
            <v>0</v>
          </cell>
          <cell r="AD361" t="str">
            <v>0</v>
          </cell>
          <cell r="AE361" t="str">
            <v>0</v>
          </cell>
        </row>
        <row r="362">
          <cell r="D362" t="str">
            <v>21-Dec</v>
          </cell>
          <cell r="E362" t="str">
            <v>0</v>
          </cell>
          <cell r="F362">
            <v>4</v>
          </cell>
          <cell r="G362">
            <v>5</v>
          </cell>
          <cell r="H362">
            <v>7</v>
          </cell>
          <cell r="I362">
            <v>2</v>
          </cell>
          <cell r="J362" t="str">
            <v>0</v>
          </cell>
          <cell r="K362">
            <v>4</v>
          </cell>
          <cell r="L362" t="str">
            <v>0</v>
          </cell>
          <cell r="M362" t="str">
            <v>0</v>
          </cell>
          <cell r="N362" t="str">
            <v>0</v>
          </cell>
          <cell r="O362">
            <v>2</v>
          </cell>
          <cell r="P362" t="str">
            <v>0</v>
          </cell>
          <cell r="Q362" t="str">
            <v>0</v>
          </cell>
          <cell r="R362" t="str">
            <v>0</v>
          </cell>
          <cell r="S362" t="str">
            <v>0</v>
          </cell>
          <cell r="T362">
            <v>6323</v>
          </cell>
          <cell r="U362">
            <v>78167</v>
          </cell>
          <cell r="V362">
            <v>10295</v>
          </cell>
          <cell r="W362">
            <v>7321</v>
          </cell>
          <cell r="X362" t="str">
            <v>0</v>
          </cell>
          <cell r="Y362">
            <v>5037</v>
          </cell>
          <cell r="Z362" t="str">
            <v>0</v>
          </cell>
          <cell r="AA362" t="str">
            <v>0</v>
          </cell>
          <cell r="AB362" t="str">
            <v>0</v>
          </cell>
          <cell r="AC362">
            <v>3699</v>
          </cell>
          <cell r="AD362" t="str">
            <v>0</v>
          </cell>
          <cell r="AE362" t="str">
            <v>0</v>
          </cell>
        </row>
        <row r="363">
          <cell r="D363" t="str">
            <v>22-Dec</v>
          </cell>
          <cell r="E363" t="str">
            <v>0</v>
          </cell>
          <cell r="F363">
            <v>2</v>
          </cell>
          <cell r="G363">
            <v>8</v>
          </cell>
          <cell r="H363">
            <v>7</v>
          </cell>
          <cell r="I363">
            <v>3</v>
          </cell>
          <cell r="J363" t="str">
            <v>0</v>
          </cell>
          <cell r="K363">
            <v>8</v>
          </cell>
          <cell r="L363" t="str">
            <v>0</v>
          </cell>
          <cell r="M363" t="str">
            <v>0</v>
          </cell>
          <cell r="N363" t="str">
            <v>0</v>
          </cell>
          <cell r="O363">
            <v>3</v>
          </cell>
          <cell r="P363" t="str">
            <v>0</v>
          </cell>
          <cell r="Q363" t="str">
            <v>0</v>
          </cell>
          <cell r="R363" t="str">
            <v>0</v>
          </cell>
          <cell r="S363" t="str">
            <v>0</v>
          </cell>
          <cell r="T363">
            <v>2604</v>
          </cell>
          <cell r="U363">
            <v>23784</v>
          </cell>
          <cell r="V363">
            <v>12502</v>
          </cell>
          <cell r="W363">
            <v>3923</v>
          </cell>
          <cell r="X363" t="str">
            <v>0</v>
          </cell>
          <cell r="Y363">
            <v>20512</v>
          </cell>
          <cell r="Z363" t="str">
            <v>0</v>
          </cell>
          <cell r="AA363" t="str">
            <v>0</v>
          </cell>
          <cell r="AB363" t="str">
            <v>0</v>
          </cell>
          <cell r="AC363">
            <v>4008</v>
          </cell>
          <cell r="AD363" t="str">
            <v>0</v>
          </cell>
          <cell r="AE363" t="str">
            <v>0</v>
          </cell>
        </row>
        <row r="364">
          <cell r="D364" t="str">
            <v>23-Dec</v>
          </cell>
          <cell r="E364" t="str">
            <v>0</v>
          </cell>
          <cell r="F364">
            <v>4</v>
          </cell>
          <cell r="G364">
            <v>8</v>
          </cell>
          <cell r="H364">
            <v>1</v>
          </cell>
          <cell r="I364">
            <v>8</v>
          </cell>
          <cell r="J364" t="str">
            <v>0</v>
          </cell>
          <cell r="K364">
            <v>2</v>
          </cell>
          <cell r="L364" t="str">
            <v>0</v>
          </cell>
          <cell r="M364" t="str">
            <v>0</v>
          </cell>
          <cell r="N364" t="str">
            <v>0</v>
          </cell>
          <cell r="O364" t="str">
            <v>0</v>
          </cell>
          <cell r="P364" t="str">
            <v>0</v>
          </cell>
          <cell r="Q364" t="str">
            <v>0</v>
          </cell>
          <cell r="R364" t="str">
            <v>0</v>
          </cell>
          <cell r="S364" t="str">
            <v>0</v>
          </cell>
          <cell r="T364">
            <v>5247</v>
          </cell>
          <cell r="U364">
            <v>18432</v>
          </cell>
          <cell r="V364">
            <v>2128</v>
          </cell>
          <cell r="W364">
            <v>13471</v>
          </cell>
          <cell r="X364" t="str">
            <v>0</v>
          </cell>
          <cell r="Y364">
            <v>7050</v>
          </cell>
          <cell r="Z364" t="str">
            <v>0</v>
          </cell>
          <cell r="AA364" t="str">
            <v>0</v>
          </cell>
          <cell r="AB364" t="str">
            <v>0</v>
          </cell>
          <cell r="AC364" t="str">
            <v>0</v>
          </cell>
          <cell r="AD364" t="str">
            <v>0</v>
          </cell>
          <cell r="AE364" t="str">
            <v>0</v>
          </cell>
        </row>
        <row r="365">
          <cell r="D365" t="str">
            <v>24-Dec</v>
          </cell>
          <cell r="E365" t="str">
            <v>0</v>
          </cell>
          <cell r="F365" t="str">
            <v>0</v>
          </cell>
          <cell r="G365">
            <v>9</v>
          </cell>
          <cell r="H365">
            <v>5</v>
          </cell>
          <cell r="I365">
            <v>5</v>
          </cell>
          <cell r="J365" t="str">
            <v>0</v>
          </cell>
          <cell r="K365">
            <v>2</v>
          </cell>
          <cell r="L365" t="str">
            <v>0</v>
          </cell>
          <cell r="M365" t="str">
            <v>0</v>
          </cell>
          <cell r="N365" t="str">
            <v>0</v>
          </cell>
          <cell r="O365" t="str">
            <v>0</v>
          </cell>
          <cell r="P365" t="str">
            <v>0</v>
          </cell>
          <cell r="Q365" t="str">
            <v>0</v>
          </cell>
          <cell r="R365" t="str">
            <v>0</v>
          </cell>
          <cell r="S365" t="str">
            <v>0</v>
          </cell>
          <cell r="T365" t="str">
            <v>0</v>
          </cell>
          <cell r="U365">
            <v>15905</v>
          </cell>
          <cell r="V365">
            <v>12899</v>
          </cell>
          <cell r="W365">
            <v>8121</v>
          </cell>
          <cell r="X365" t="str">
            <v>0</v>
          </cell>
          <cell r="Y365">
            <v>4050</v>
          </cell>
          <cell r="Z365" t="str">
            <v>0</v>
          </cell>
          <cell r="AA365" t="str">
            <v>0</v>
          </cell>
          <cell r="AB365" t="str">
            <v>0</v>
          </cell>
          <cell r="AC365" t="str">
            <v>0</v>
          </cell>
          <cell r="AD365" t="str">
            <v>0</v>
          </cell>
          <cell r="AE365" t="str">
            <v>0</v>
          </cell>
        </row>
        <row r="366">
          <cell r="D366" t="str">
            <v>25-Dec</v>
          </cell>
          <cell r="E366" t="str">
            <v>0</v>
          </cell>
          <cell r="F366">
            <v>6</v>
          </cell>
          <cell r="G366">
            <v>4</v>
          </cell>
          <cell r="H366">
            <v>2</v>
          </cell>
          <cell r="I366">
            <v>2</v>
          </cell>
          <cell r="J366" t="str">
            <v>0</v>
          </cell>
          <cell r="K366">
            <v>2</v>
          </cell>
          <cell r="L366" t="str">
            <v>0</v>
          </cell>
          <cell r="M366" t="str">
            <v>0</v>
          </cell>
          <cell r="N366" t="str">
            <v>0</v>
          </cell>
          <cell r="O366" t="str">
            <v>0</v>
          </cell>
          <cell r="P366" t="str">
            <v>0</v>
          </cell>
          <cell r="Q366" t="str">
            <v>0</v>
          </cell>
          <cell r="R366" t="str">
            <v>0</v>
          </cell>
          <cell r="S366" t="str">
            <v>0</v>
          </cell>
          <cell r="T366">
            <v>6924</v>
          </cell>
          <cell r="U366">
            <v>6268</v>
          </cell>
          <cell r="V366">
            <v>2497</v>
          </cell>
          <cell r="W366">
            <v>4031</v>
          </cell>
          <cell r="X366" t="str">
            <v>0</v>
          </cell>
          <cell r="Y366">
            <v>5911</v>
          </cell>
          <cell r="Z366" t="str">
            <v>0</v>
          </cell>
          <cell r="AA366" t="str">
            <v>0</v>
          </cell>
          <cell r="AB366" t="str">
            <v>0</v>
          </cell>
          <cell r="AC366" t="str">
            <v>0</v>
          </cell>
          <cell r="AD366" t="str">
            <v>0</v>
          </cell>
          <cell r="AE366" t="str">
            <v>0</v>
          </cell>
        </row>
        <row r="367">
          <cell r="D367" t="str">
            <v>26-Dec</v>
          </cell>
          <cell r="E367" t="str">
            <v>0</v>
          </cell>
          <cell r="F367">
            <v>8</v>
          </cell>
          <cell r="G367">
            <v>10</v>
          </cell>
          <cell r="H367">
            <v>17</v>
          </cell>
          <cell r="I367">
            <v>1</v>
          </cell>
          <cell r="J367">
            <v>3</v>
          </cell>
          <cell r="K367">
            <v>1</v>
          </cell>
          <cell r="L367" t="str">
            <v>0</v>
          </cell>
          <cell r="M367" t="str">
            <v>0</v>
          </cell>
          <cell r="N367" t="str">
            <v>0</v>
          </cell>
          <cell r="O367">
            <v>1</v>
          </cell>
          <cell r="P367" t="str">
            <v>0</v>
          </cell>
          <cell r="Q367" t="str">
            <v>0</v>
          </cell>
          <cell r="R367" t="str">
            <v>0</v>
          </cell>
          <cell r="S367" t="str">
            <v>0</v>
          </cell>
          <cell r="T367">
            <v>11634</v>
          </cell>
          <cell r="U367">
            <v>12225</v>
          </cell>
          <cell r="V367">
            <v>37538</v>
          </cell>
          <cell r="W367">
            <v>2225</v>
          </cell>
          <cell r="X367">
            <v>12135</v>
          </cell>
          <cell r="Y367">
            <v>608</v>
          </cell>
          <cell r="Z367" t="str">
            <v>0</v>
          </cell>
          <cell r="AA367" t="str">
            <v>0</v>
          </cell>
          <cell r="AB367" t="str">
            <v>0</v>
          </cell>
          <cell r="AC367">
            <v>364</v>
          </cell>
          <cell r="AD367" t="str">
            <v>0</v>
          </cell>
          <cell r="AE367" t="str">
            <v>0</v>
          </cell>
        </row>
        <row r="368">
          <cell r="D368" t="str">
            <v>27-Dec</v>
          </cell>
          <cell r="E368" t="str">
            <v>0</v>
          </cell>
          <cell r="F368">
            <v>3</v>
          </cell>
          <cell r="G368">
            <v>25</v>
          </cell>
          <cell r="H368">
            <v>3</v>
          </cell>
          <cell r="I368">
            <v>4</v>
          </cell>
          <cell r="J368" t="str">
            <v>0</v>
          </cell>
          <cell r="K368">
            <v>12</v>
          </cell>
          <cell r="L368" t="str">
            <v>0</v>
          </cell>
          <cell r="M368" t="str">
            <v>0</v>
          </cell>
          <cell r="N368" t="str">
            <v>0</v>
          </cell>
          <cell r="O368">
            <v>1</v>
          </cell>
          <cell r="P368" t="str">
            <v>0</v>
          </cell>
          <cell r="Q368" t="str">
            <v>0</v>
          </cell>
          <cell r="R368" t="str">
            <v>0</v>
          </cell>
          <cell r="S368" t="str">
            <v>0</v>
          </cell>
          <cell r="T368">
            <v>3166</v>
          </cell>
          <cell r="U368">
            <v>70975</v>
          </cell>
          <cell r="V368">
            <v>10506</v>
          </cell>
          <cell r="W368">
            <v>7024</v>
          </cell>
          <cell r="X368" t="str">
            <v>0</v>
          </cell>
          <cell r="Y368">
            <v>19266</v>
          </cell>
          <cell r="Z368" t="str">
            <v>0</v>
          </cell>
          <cell r="AA368" t="str">
            <v>0</v>
          </cell>
          <cell r="AB368" t="str">
            <v>0</v>
          </cell>
          <cell r="AC368">
            <v>1947</v>
          </cell>
          <cell r="AD368" t="str">
            <v>0</v>
          </cell>
          <cell r="AE368" t="str">
            <v>0</v>
          </cell>
        </row>
        <row r="369">
          <cell r="D369" t="str">
            <v>28-Dec</v>
          </cell>
          <cell r="E369" t="str">
            <v>0</v>
          </cell>
          <cell r="F369">
            <v>6</v>
          </cell>
          <cell r="G369">
            <v>4</v>
          </cell>
          <cell r="H369">
            <v>9</v>
          </cell>
          <cell r="I369">
            <v>3</v>
          </cell>
          <cell r="J369" t="str">
            <v>0</v>
          </cell>
          <cell r="K369">
            <v>2</v>
          </cell>
          <cell r="L369" t="str">
            <v>0</v>
          </cell>
          <cell r="M369" t="str">
            <v>0</v>
          </cell>
          <cell r="N369" t="str">
            <v>0</v>
          </cell>
          <cell r="O369">
            <v>1</v>
          </cell>
          <cell r="P369" t="str">
            <v>0</v>
          </cell>
          <cell r="Q369" t="str">
            <v>0</v>
          </cell>
          <cell r="R369" t="str">
            <v>0</v>
          </cell>
          <cell r="S369" t="str">
            <v>0</v>
          </cell>
          <cell r="T369">
            <v>8658</v>
          </cell>
          <cell r="U369">
            <v>8723</v>
          </cell>
          <cell r="V369">
            <v>19290</v>
          </cell>
          <cell r="W369">
            <v>4480</v>
          </cell>
          <cell r="X369" t="str">
            <v>0</v>
          </cell>
          <cell r="Y369">
            <v>1295</v>
          </cell>
          <cell r="Z369" t="str">
            <v>0</v>
          </cell>
          <cell r="AA369" t="str">
            <v>0</v>
          </cell>
          <cell r="AB369" t="str">
            <v>0</v>
          </cell>
          <cell r="AC369">
            <v>17100</v>
          </cell>
          <cell r="AD369" t="str">
            <v>0</v>
          </cell>
          <cell r="AE369" t="str">
            <v>0</v>
          </cell>
        </row>
        <row r="370">
          <cell r="D370" t="str">
            <v>29-Dec</v>
          </cell>
          <cell r="E370" t="str">
            <v>0</v>
          </cell>
          <cell r="F370">
            <v>12</v>
          </cell>
          <cell r="G370">
            <v>3</v>
          </cell>
          <cell r="H370">
            <v>5</v>
          </cell>
          <cell r="I370">
            <v>1</v>
          </cell>
          <cell r="J370">
            <v>2</v>
          </cell>
          <cell r="K370">
            <v>5</v>
          </cell>
          <cell r="L370" t="str">
            <v>0</v>
          </cell>
          <cell r="M370" t="str">
            <v>0</v>
          </cell>
          <cell r="N370" t="str">
            <v>0</v>
          </cell>
          <cell r="O370">
            <v>2</v>
          </cell>
          <cell r="P370" t="str">
            <v>0</v>
          </cell>
          <cell r="Q370" t="str">
            <v>0</v>
          </cell>
          <cell r="R370" t="str">
            <v>0</v>
          </cell>
          <cell r="S370" t="str">
            <v>0</v>
          </cell>
          <cell r="T370">
            <v>14005</v>
          </cell>
          <cell r="U370">
            <v>6197</v>
          </cell>
          <cell r="V370">
            <v>11050</v>
          </cell>
          <cell r="W370">
            <v>2404</v>
          </cell>
          <cell r="X370">
            <v>2128</v>
          </cell>
          <cell r="Y370">
            <v>9667</v>
          </cell>
          <cell r="Z370" t="str">
            <v>0</v>
          </cell>
          <cell r="AA370" t="str">
            <v>0</v>
          </cell>
          <cell r="AB370" t="str">
            <v>0</v>
          </cell>
          <cell r="AC370">
            <v>2082</v>
          </cell>
          <cell r="AD370" t="str">
            <v>0</v>
          </cell>
          <cell r="AE370" t="str">
            <v>0</v>
          </cell>
        </row>
        <row r="371">
          <cell r="D371" t="str">
            <v>30-Dec</v>
          </cell>
          <cell r="E371" t="str">
            <v>0</v>
          </cell>
          <cell r="F371">
            <v>2</v>
          </cell>
          <cell r="G371">
            <v>23</v>
          </cell>
          <cell r="H371">
            <v>5</v>
          </cell>
          <cell r="I371">
            <v>6</v>
          </cell>
          <cell r="J371">
            <v>1</v>
          </cell>
          <cell r="K371">
            <v>6</v>
          </cell>
          <cell r="L371" t="str">
            <v>0</v>
          </cell>
          <cell r="M371" t="str">
            <v>0</v>
          </cell>
          <cell r="N371" t="str">
            <v>0</v>
          </cell>
          <cell r="O371">
            <v>2</v>
          </cell>
          <cell r="P371" t="str">
            <v>0</v>
          </cell>
          <cell r="Q371" t="str">
            <v>0</v>
          </cell>
          <cell r="R371" t="str">
            <v>0</v>
          </cell>
          <cell r="S371" t="str">
            <v>0</v>
          </cell>
          <cell r="T371">
            <v>1884</v>
          </cell>
          <cell r="U371">
            <v>62454</v>
          </cell>
          <cell r="V371">
            <v>11424</v>
          </cell>
          <cell r="W371">
            <v>4995</v>
          </cell>
          <cell r="X371">
            <v>912</v>
          </cell>
          <cell r="Y371">
            <v>10380</v>
          </cell>
          <cell r="Z371" t="str">
            <v>0</v>
          </cell>
          <cell r="AA371" t="str">
            <v>0</v>
          </cell>
          <cell r="AB371" t="str">
            <v>0</v>
          </cell>
          <cell r="AC371">
            <v>4679</v>
          </cell>
          <cell r="AD371" t="str">
            <v>0</v>
          </cell>
          <cell r="AE371" t="str">
            <v>0</v>
          </cell>
        </row>
        <row r="372">
          <cell r="D372" t="str">
            <v>31-Dec</v>
          </cell>
          <cell r="E372" t="str">
            <v>0</v>
          </cell>
          <cell r="F372">
            <v>4</v>
          </cell>
          <cell r="G372">
            <v>7</v>
          </cell>
          <cell r="H372" t="str">
            <v>0</v>
          </cell>
          <cell r="I372">
            <v>2</v>
          </cell>
          <cell r="J372">
            <v>1</v>
          </cell>
          <cell r="K372">
            <v>5</v>
          </cell>
          <cell r="L372" t="str">
            <v>0</v>
          </cell>
          <cell r="M372" t="str">
            <v>0</v>
          </cell>
          <cell r="N372" t="str">
            <v>0</v>
          </cell>
          <cell r="O372">
            <v>1</v>
          </cell>
          <cell r="P372" t="str">
            <v>0</v>
          </cell>
          <cell r="Q372" t="str">
            <v>0</v>
          </cell>
          <cell r="R372" t="str">
            <v>0</v>
          </cell>
          <cell r="S372" t="str">
            <v>0</v>
          </cell>
          <cell r="T372">
            <v>6727</v>
          </cell>
          <cell r="U372">
            <v>13857</v>
          </cell>
          <cell r="V372" t="str">
            <v>0</v>
          </cell>
          <cell r="W372">
            <v>3151</v>
          </cell>
          <cell r="X372">
            <v>1520</v>
          </cell>
          <cell r="Y372">
            <v>5546</v>
          </cell>
          <cell r="Z372" t="str">
            <v>0</v>
          </cell>
          <cell r="AA372" t="str">
            <v>0</v>
          </cell>
          <cell r="AB372" t="str">
            <v>0</v>
          </cell>
          <cell r="AC372">
            <v>1738</v>
          </cell>
          <cell r="AD372" t="str">
            <v>0</v>
          </cell>
          <cell r="AE372" t="str">
            <v>0</v>
          </cell>
        </row>
      </sheetData>
      <sheetData sheetId="7" refreshError="1">
        <row r="1">
          <cell r="C1" t="str">
            <v>All Owners</v>
          </cell>
        </row>
        <row r="2">
          <cell r="C2" t="str">
            <v>USD</v>
          </cell>
        </row>
        <row r="3">
          <cell r="C3" t="str">
            <v>Amazon.co.jp</v>
          </cell>
        </row>
        <row r="4">
          <cell r="C4" t="str">
            <v>Product</v>
          </cell>
        </row>
        <row r="5">
          <cell r="C5" t="str">
            <v>JP DCs</v>
          </cell>
        </row>
        <row r="6">
          <cell r="C6" t="str">
            <v>FY2001</v>
          </cell>
        </row>
        <row r="7">
          <cell r="D7" t="str">
            <v>Units Shipped</v>
          </cell>
        </row>
        <row r="8">
          <cell r="C8" t="str">
            <v>01-Jan</v>
          </cell>
          <cell r="D8" t="str">
            <v>0</v>
          </cell>
        </row>
        <row r="9">
          <cell r="C9" t="str">
            <v>02-Jan</v>
          </cell>
          <cell r="D9" t="str">
            <v>0</v>
          </cell>
        </row>
        <row r="10">
          <cell r="C10" t="str">
            <v>03-Jan</v>
          </cell>
          <cell r="D10">
            <v>6377</v>
          </cell>
        </row>
        <row r="11">
          <cell r="C11" t="str">
            <v>04-Jan</v>
          </cell>
          <cell r="D11">
            <v>2912</v>
          </cell>
        </row>
        <row r="12">
          <cell r="C12" t="str">
            <v>05-Jan</v>
          </cell>
          <cell r="D12">
            <v>8497</v>
          </cell>
        </row>
        <row r="13">
          <cell r="C13" t="str">
            <v>06-Jan</v>
          </cell>
          <cell r="D13">
            <v>6507</v>
          </cell>
        </row>
        <row r="14">
          <cell r="C14" t="str">
            <v>07-Jan</v>
          </cell>
          <cell r="D14">
            <v>4042</v>
          </cell>
        </row>
        <row r="15">
          <cell r="C15" t="str">
            <v>08-Jan</v>
          </cell>
          <cell r="D15">
            <v>6226</v>
          </cell>
        </row>
        <row r="16">
          <cell r="C16" t="str">
            <v>09-Jan</v>
          </cell>
          <cell r="D16">
            <v>6134</v>
          </cell>
        </row>
        <row r="17">
          <cell r="C17" t="str">
            <v>10-Jan</v>
          </cell>
          <cell r="D17">
            <v>5497</v>
          </cell>
        </row>
        <row r="18">
          <cell r="C18" t="str">
            <v>11-Jan</v>
          </cell>
          <cell r="D18">
            <v>5568</v>
          </cell>
        </row>
        <row r="19">
          <cell r="C19" t="str">
            <v>12-Jan</v>
          </cell>
          <cell r="D19">
            <v>7368</v>
          </cell>
        </row>
        <row r="20">
          <cell r="C20" t="str">
            <v>13-Jan</v>
          </cell>
          <cell r="D20">
            <v>6451</v>
          </cell>
        </row>
        <row r="21">
          <cell r="C21" t="str">
            <v>14-Jan</v>
          </cell>
          <cell r="D21">
            <v>6090</v>
          </cell>
        </row>
        <row r="22">
          <cell r="C22" t="str">
            <v>15-Jan</v>
          </cell>
          <cell r="D22">
            <v>5373</v>
          </cell>
        </row>
        <row r="23">
          <cell r="C23" t="str">
            <v>16-Jan</v>
          </cell>
          <cell r="D23">
            <v>6071</v>
          </cell>
        </row>
        <row r="24">
          <cell r="C24" t="str">
            <v>17-Jan</v>
          </cell>
          <cell r="D24">
            <v>6623</v>
          </cell>
        </row>
        <row r="25">
          <cell r="C25" t="str">
            <v>18-Jan</v>
          </cell>
          <cell r="D25">
            <v>8373</v>
          </cell>
        </row>
        <row r="26">
          <cell r="C26" t="str">
            <v>19-Jan</v>
          </cell>
          <cell r="D26">
            <v>8189</v>
          </cell>
        </row>
        <row r="27">
          <cell r="C27" t="str">
            <v>20-Jan</v>
          </cell>
          <cell r="D27">
            <v>8301</v>
          </cell>
        </row>
        <row r="28">
          <cell r="C28" t="str">
            <v>21-Jan</v>
          </cell>
          <cell r="D28">
            <v>5140</v>
          </cell>
        </row>
        <row r="29">
          <cell r="C29" t="str">
            <v>22-Jan</v>
          </cell>
          <cell r="D29">
            <v>6661</v>
          </cell>
        </row>
        <row r="30">
          <cell r="C30" t="str">
            <v>23-Jan</v>
          </cell>
          <cell r="D30">
            <v>6702</v>
          </cell>
        </row>
        <row r="31">
          <cell r="C31" t="str">
            <v>24-Jan</v>
          </cell>
          <cell r="D31">
            <v>9591</v>
          </cell>
        </row>
        <row r="32">
          <cell r="C32" t="str">
            <v>25-Jan</v>
          </cell>
          <cell r="D32">
            <v>6499</v>
          </cell>
        </row>
        <row r="33">
          <cell r="C33" t="str">
            <v>26-Jan</v>
          </cell>
          <cell r="D33">
            <v>7607</v>
          </cell>
        </row>
        <row r="34">
          <cell r="C34" t="str">
            <v>27-Jan</v>
          </cell>
          <cell r="D34">
            <v>6860</v>
          </cell>
        </row>
        <row r="35">
          <cell r="C35" t="str">
            <v>28-Jan</v>
          </cell>
          <cell r="D35">
            <v>8800</v>
          </cell>
        </row>
        <row r="36">
          <cell r="C36" t="str">
            <v>29-Jan</v>
          </cell>
          <cell r="D36">
            <v>5710</v>
          </cell>
        </row>
        <row r="37">
          <cell r="C37" t="str">
            <v>30-Jan</v>
          </cell>
          <cell r="D37">
            <v>8152</v>
          </cell>
        </row>
        <row r="38">
          <cell r="C38" t="str">
            <v>31-Jan</v>
          </cell>
          <cell r="D38">
            <v>8290</v>
          </cell>
        </row>
        <row r="39">
          <cell r="C39" t="str">
            <v>01-Feb</v>
          </cell>
          <cell r="D39">
            <v>9658</v>
          </cell>
        </row>
        <row r="40">
          <cell r="C40" t="str">
            <v>02-Feb</v>
          </cell>
          <cell r="D40">
            <v>9782</v>
          </cell>
        </row>
        <row r="41">
          <cell r="C41" t="str">
            <v>03-Feb</v>
          </cell>
          <cell r="D41">
            <v>7945</v>
          </cell>
        </row>
        <row r="42">
          <cell r="C42" t="str">
            <v>04-Feb</v>
          </cell>
          <cell r="D42">
            <v>7996</v>
          </cell>
        </row>
        <row r="43">
          <cell r="C43" t="str">
            <v>05-Feb</v>
          </cell>
          <cell r="D43">
            <v>7565</v>
          </cell>
        </row>
        <row r="44">
          <cell r="C44" t="str">
            <v>06-Feb</v>
          </cell>
          <cell r="D44">
            <v>7172</v>
          </cell>
        </row>
        <row r="45">
          <cell r="C45" t="str">
            <v>07-Feb</v>
          </cell>
          <cell r="D45">
            <v>3540</v>
          </cell>
        </row>
        <row r="46">
          <cell r="C46" t="str">
            <v>08-Feb</v>
          </cell>
          <cell r="D46">
            <v>10867</v>
          </cell>
        </row>
        <row r="47">
          <cell r="C47" t="str">
            <v>09-Feb</v>
          </cell>
          <cell r="D47">
            <v>8250</v>
          </cell>
        </row>
        <row r="48">
          <cell r="C48" t="str">
            <v>10-Feb</v>
          </cell>
          <cell r="D48">
            <v>8573</v>
          </cell>
        </row>
        <row r="49">
          <cell r="C49" t="str">
            <v>11-Feb</v>
          </cell>
          <cell r="D49">
            <v>8702</v>
          </cell>
        </row>
        <row r="50">
          <cell r="C50" t="str">
            <v>12-Feb</v>
          </cell>
          <cell r="D50">
            <v>7056</v>
          </cell>
        </row>
        <row r="51">
          <cell r="C51" t="str">
            <v>13-Feb</v>
          </cell>
          <cell r="D51">
            <v>4822</v>
          </cell>
        </row>
        <row r="52">
          <cell r="C52" t="str">
            <v>14-Feb</v>
          </cell>
          <cell r="D52">
            <v>6801</v>
          </cell>
        </row>
        <row r="53">
          <cell r="C53" t="str">
            <v>15-Feb</v>
          </cell>
          <cell r="D53">
            <v>6531</v>
          </cell>
        </row>
        <row r="54">
          <cell r="C54" t="str">
            <v>16-Feb</v>
          </cell>
          <cell r="D54">
            <v>8109</v>
          </cell>
        </row>
        <row r="55">
          <cell r="C55" t="str">
            <v>17-Feb</v>
          </cell>
          <cell r="D55">
            <v>8640</v>
          </cell>
        </row>
        <row r="56">
          <cell r="C56" t="str">
            <v>18-Feb</v>
          </cell>
          <cell r="D56">
            <v>8022</v>
          </cell>
        </row>
        <row r="57">
          <cell r="C57" t="str">
            <v>19-Feb</v>
          </cell>
          <cell r="D57">
            <v>3884</v>
          </cell>
        </row>
        <row r="58">
          <cell r="C58" t="str">
            <v>20-Feb</v>
          </cell>
          <cell r="D58">
            <v>8025</v>
          </cell>
        </row>
        <row r="59">
          <cell r="C59" t="str">
            <v>21-Feb</v>
          </cell>
          <cell r="D59">
            <v>8470</v>
          </cell>
        </row>
        <row r="60">
          <cell r="C60" t="str">
            <v>22-Feb</v>
          </cell>
          <cell r="D60">
            <v>6975</v>
          </cell>
        </row>
        <row r="61">
          <cell r="C61" t="str">
            <v>23-Feb</v>
          </cell>
          <cell r="D61">
            <v>5892</v>
          </cell>
        </row>
        <row r="62">
          <cell r="C62" t="str">
            <v>24-Feb</v>
          </cell>
          <cell r="D62">
            <v>8610</v>
          </cell>
        </row>
        <row r="63">
          <cell r="C63" t="str">
            <v>25-Feb</v>
          </cell>
          <cell r="D63">
            <v>7757</v>
          </cell>
        </row>
        <row r="64">
          <cell r="C64" t="str">
            <v>26-Feb</v>
          </cell>
          <cell r="D64">
            <v>4957</v>
          </cell>
        </row>
        <row r="65">
          <cell r="C65" t="str">
            <v>27-Feb</v>
          </cell>
          <cell r="D65">
            <v>7156</v>
          </cell>
        </row>
        <row r="66">
          <cell r="C66" t="str">
            <v>28-Feb</v>
          </cell>
          <cell r="D66">
            <v>6349</v>
          </cell>
        </row>
        <row r="67">
          <cell r="C67" t="str">
            <v>01-Mar</v>
          </cell>
          <cell r="D67">
            <v>7231</v>
          </cell>
        </row>
        <row r="68">
          <cell r="C68" t="str">
            <v>02-Mar</v>
          </cell>
          <cell r="D68">
            <v>7197</v>
          </cell>
        </row>
        <row r="69">
          <cell r="C69" t="str">
            <v>03-Mar</v>
          </cell>
          <cell r="D69">
            <v>6682</v>
          </cell>
        </row>
        <row r="70">
          <cell r="C70" t="str">
            <v>04-Mar</v>
          </cell>
          <cell r="D70">
            <v>6939</v>
          </cell>
        </row>
        <row r="71">
          <cell r="C71" t="str">
            <v>05-Mar</v>
          </cell>
          <cell r="D71">
            <v>5229</v>
          </cell>
        </row>
        <row r="72">
          <cell r="C72" t="str">
            <v>06-Mar</v>
          </cell>
          <cell r="D72">
            <v>7342</v>
          </cell>
        </row>
        <row r="73">
          <cell r="C73" t="str">
            <v>07-Mar</v>
          </cell>
          <cell r="D73">
            <v>7543</v>
          </cell>
        </row>
        <row r="74">
          <cell r="C74" t="str">
            <v>08-Mar</v>
          </cell>
          <cell r="D74">
            <v>7499</v>
          </cell>
        </row>
        <row r="75">
          <cell r="C75" t="str">
            <v>09-Mar</v>
          </cell>
          <cell r="D75">
            <v>6595</v>
          </cell>
        </row>
        <row r="76">
          <cell r="C76" t="str">
            <v>10-Mar</v>
          </cell>
          <cell r="D76">
            <v>7916</v>
          </cell>
        </row>
        <row r="77">
          <cell r="C77" t="str">
            <v>11-Mar</v>
          </cell>
          <cell r="D77">
            <v>7056</v>
          </cell>
        </row>
        <row r="78">
          <cell r="C78" t="str">
            <v>12-Mar</v>
          </cell>
          <cell r="D78">
            <v>3538</v>
          </cell>
        </row>
        <row r="79">
          <cell r="C79" t="str">
            <v>13-Mar</v>
          </cell>
          <cell r="D79">
            <v>6555</v>
          </cell>
        </row>
        <row r="80">
          <cell r="C80" t="str">
            <v>14-Mar</v>
          </cell>
          <cell r="D80">
            <v>5286</v>
          </cell>
        </row>
        <row r="81">
          <cell r="C81" t="str">
            <v>15-Mar</v>
          </cell>
          <cell r="D81">
            <v>9057</v>
          </cell>
        </row>
        <row r="82">
          <cell r="C82" t="str">
            <v>16-Mar</v>
          </cell>
          <cell r="D82">
            <v>5651</v>
          </cell>
        </row>
        <row r="83">
          <cell r="C83" t="str">
            <v>17-Mar</v>
          </cell>
          <cell r="D83">
            <v>5855</v>
          </cell>
        </row>
        <row r="84">
          <cell r="C84" t="str">
            <v>18-Mar</v>
          </cell>
          <cell r="D84">
            <v>6711</v>
          </cell>
        </row>
        <row r="85">
          <cell r="C85" t="str">
            <v>19-Mar</v>
          </cell>
          <cell r="D85">
            <v>2641</v>
          </cell>
        </row>
        <row r="86">
          <cell r="C86" t="str">
            <v>20-Mar</v>
          </cell>
          <cell r="D86">
            <v>6109</v>
          </cell>
        </row>
        <row r="87">
          <cell r="C87" t="str">
            <v>21-Mar</v>
          </cell>
          <cell r="D87">
            <v>4022</v>
          </cell>
        </row>
        <row r="88">
          <cell r="C88" t="str">
            <v>22-Mar</v>
          </cell>
          <cell r="D88">
            <v>11355</v>
          </cell>
        </row>
        <row r="89">
          <cell r="C89" t="str">
            <v>23-Mar</v>
          </cell>
          <cell r="D89">
            <v>6730</v>
          </cell>
        </row>
        <row r="90">
          <cell r="C90" t="str">
            <v>24-Mar</v>
          </cell>
          <cell r="D90">
            <v>8388</v>
          </cell>
        </row>
        <row r="91">
          <cell r="C91" t="str">
            <v>25-Mar</v>
          </cell>
          <cell r="D91">
            <v>7485</v>
          </cell>
        </row>
        <row r="92">
          <cell r="C92" t="str">
            <v>26-Mar</v>
          </cell>
          <cell r="D92">
            <v>4053</v>
          </cell>
        </row>
        <row r="93">
          <cell r="C93" t="str">
            <v>27-Mar</v>
          </cell>
          <cell r="D93">
            <v>5954</v>
          </cell>
        </row>
        <row r="94">
          <cell r="C94" t="str">
            <v>28-Mar</v>
          </cell>
          <cell r="D94">
            <v>6920</v>
          </cell>
        </row>
        <row r="95">
          <cell r="C95" t="str">
            <v>29-Mar</v>
          </cell>
          <cell r="D95">
            <v>7066</v>
          </cell>
        </row>
        <row r="96">
          <cell r="C96" t="str">
            <v>30-Mar</v>
          </cell>
          <cell r="D96">
            <v>6538</v>
          </cell>
        </row>
        <row r="97">
          <cell r="C97" t="str">
            <v>31-Mar</v>
          </cell>
          <cell r="D97">
            <v>7430</v>
          </cell>
        </row>
        <row r="98">
          <cell r="C98" t="str">
            <v>01-Apr</v>
          </cell>
          <cell r="D98">
            <v>5732</v>
          </cell>
        </row>
        <row r="99">
          <cell r="C99" t="str">
            <v>02-Apr</v>
          </cell>
          <cell r="D99">
            <v>3339</v>
          </cell>
        </row>
        <row r="100">
          <cell r="C100" t="str">
            <v>03-Apr</v>
          </cell>
          <cell r="D100">
            <v>5929</v>
          </cell>
        </row>
        <row r="101">
          <cell r="C101" t="str">
            <v>04-Apr</v>
          </cell>
          <cell r="D101">
            <v>5886</v>
          </cell>
        </row>
        <row r="102">
          <cell r="C102" t="str">
            <v>05-Apr</v>
          </cell>
          <cell r="D102">
            <v>6629</v>
          </cell>
        </row>
        <row r="103">
          <cell r="C103" t="str">
            <v>06-Apr</v>
          </cell>
          <cell r="D103">
            <v>6048</v>
          </cell>
        </row>
        <row r="104">
          <cell r="C104" t="str">
            <v>07-Apr</v>
          </cell>
          <cell r="D104">
            <v>6795</v>
          </cell>
        </row>
        <row r="105">
          <cell r="C105" t="str">
            <v>08-Apr</v>
          </cell>
          <cell r="D105">
            <v>4595</v>
          </cell>
        </row>
        <row r="106">
          <cell r="C106" t="str">
            <v>09-Apr</v>
          </cell>
          <cell r="D106">
            <v>2723</v>
          </cell>
        </row>
        <row r="107">
          <cell r="C107" t="str">
            <v>10-Apr</v>
          </cell>
          <cell r="D107">
            <v>6847</v>
          </cell>
        </row>
        <row r="108">
          <cell r="C108" t="str">
            <v>11-Apr</v>
          </cell>
          <cell r="D108">
            <v>6886</v>
          </cell>
        </row>
        <row r="109">
          <cell r="C109" t="str">
            <v>12-Apr</v>
          </cell>
          <cell r="D109">
            <v>5430</v>
          </cell>
        </row>
        <row r="110">
          <cell r="C110" t="str">
            <v>13-Apr</v>
          </cell>
          <cell r="D110">
            <v>7657</v>
          </cell>
        </row>
        <row r="111">
          <cell r="C111" t="str">
            <v>14-Apr</v>
          </cell>
          <cell r="D111">
            <v>5645</v>
          </cell>
        </row>
        <row r="112">
          <cell r="C112" t="str">
            <v>15-Apr</v>
          </cell>
          <cell r="D112">
            <v>4383</v>
          </cell>
        </row>
        <row r="113">
          <cell r="C113" t="str">
            <v>16-Apr</v>
          </cell>
          <cell r="D113">
            <v>2633</v>
          </cell>
        </row>
        <row r="114">
          <cell r="C114" t="str">
            <v>17-Apr</v>
          </cell>
          <cell r="D114">
            <v>5023</v>
          </cell>
        </row>
        <row r="115">
          <cell r="C115" t="str">
            <v>18-Apr</v>
          </cell>
          <cell r="D115">
            <v>7239</v>
          </cell>
        </row>
        <row r="116">
          <cell r="C116" t="str">
            <v>19-Apr</v>
          </cell>
          <cell r="D116">
            <v>6524</v>
          </cell>
        </row>
        <row r="117">
          <cell r="C117" t="str">
            <v>20-Apr</v>
          </cell>
          <cell r="D117">
            <v>5844</v>
          </cell>
        </row>
        <row r="118">
          <cell r="C118" t="str">
            <v>21-Apr</v>
          </cell>
          <cell r="D118">
            <v>4940</v>
          </cell>
        </row>
        <row r="119">
          <cell r="C119" t="str">
            <v>22-Apr</v>
          </cell>
          <cell r="D119">
            <v>5673</v>
          </cell>
        </row>
        <row r="120">
          <cell r="C120" t="str">
            <v>23-Apr</v>
          </cell>
          <cell r="D120">
            <v>5374</v>
          </cell>
        </row>
        <row r="121">
          <cell r="C121" t="str">
            <v>24-Apr</v>
          </cell>
          <cell r="D121">
            <v>5007</v>
          </cell>
        </row>
        <row r="122">
          <cell r="C122" t="str">
            <v>25-Apr</v>
          </cell>
          <cell r="D122">
            <v>7144</v>
          </cell>
        </row>
        <row r="123">
          <cell r="C123" t="str">
            <v>26-Apr</v>
          </cell>
          <cell r="D123">
            <v>5478</v>
          </cell>
        </row>
        <row r="124">
          <cell r="C124" t="str">
            <v>27-Apr</v>
          </cell>
          <cell r="D124">
            <v>6863</v>
          </cell>
        </row>
        <row r="125">
          <cell r="C125" t="str">
            <v>28-Apr</v>
          </cell>
          <cell r="D125">
            <v>9137</v>
          </cell>
        </row>
        <row r="126">
          <cell r="C126" t="str">
            <v>29-Apr</v>
          </cell>
          <cell r="D126">
            <v>6072</v>
          </cell>
        </row>
        <row r="127">
          <cell r="C127" t="str">
            <v>30-Apr</v>
          </cell>
          <cell r="D127">
            <v>3758</v>
          </cell>
        </row>
        <row r="128">
          <cell r="C128" t="str">
            <v>01-May</v>
          </cell>
          <cell r="D128">
            <v>3047</v>
          </cell>
        </row>
        <row r="129">
          <cell r="C129" t="str">
            <v>02-May</v>
          </cell>
          <cell r="D129">
            <v>6118</v>
          </cell>
        </row>
        <row r="130">
          <cell r="C130" t="str">
            <v>03-May</v>
          </cell>
          <cell r="D130">
            <v>6941</v>
          </cell>
        </row>
        <row r="131">
          <cell r="C131" t="str">
            <v>04-May</v>
          </cell>
          <cell r="D131">
            <v>4730</v>
          </cell>
        </row>
        <row r="132">
          <cell r="C132" t="str">
            <v>05-May</v>
          </cell>
          <cell r="D132">
            <v>2284</v>
          </cell>
        </row>
        <row r="133">
          <cell r="C133" t="str">
            <v>06-May</v>
          </cell>
          <cell r="D133">
            <v>2154</v>
          </cell>
        </row>
        <row r="134">
          <cell r="C134" t="str">
            <v>07-May</v>
          </cell>
          <cell r="D134">
            <v>6940</v>
          </cell>
        </row>
        <row r="135">
          <cell r="C135" t="str">
            <v>08-May</v>
          </cell>
          <cell r="D135">
            <v>6809</v>
          </cell>
        </row>
        <row r="136">
          <cell r="C136" t="str">
            <v>09-May</v>
          </cell>
          <cell r="D136">
            <v>2939</v>
          </cell>
        </row>
        <row r="137">
          <cell r="C137" t="str">
            <v>10-May</v>
          </cell>
          <cell r="D137">
            <v>9366</v>
          </cell>
        </row>
        <row r="138">
          <cell r="C138" t="str">
            <v>11-May</v>
          </cell>
          <cell r="D138">
            <v>7847</v>
          </cell>
        </row>
        <row r="139">
          <cell r="C139" t="str">
            <v>12-May</v>
          </cell>
          <cell r="D139">
            <v>7771</v>
          </cell>
        </row>
        <row r="140">
          <cell r="C140" t="str">
            <v>13-May</v>
          </cell>
          <cell r="D140">
            <v>7226</v>
          </cell>
        </row>
        <row r="141">
          <cell r="C141" t="str">
            <v>14-May</v>
          </cell>
          <cell r="D141">
            <v>2565</v>
          </cell>
        </row>
        <row r="142">
          <cell r="C142" t="str">
            <v>15-May</v>
          </cell>
          <cell r="D142">
            <v>5776</v>
          </cell>
        </row>
        <row r="143">
          <cell r="C143" t="str">
            <v>16-May</v>
          </cell>
          <cell r="D143">
            <v>8362</v>
          </cell>
        </row>
        <row r="144">
          <cell r="C144" t="str">
            <v>17-May</v>
          </cell>
          <cell r="D144">
            <v>6227</v>
          </cell>
        </row>
        <row r="145">
          <cell r="C145" t="str">
            <v>18-May</v>
          </cell>
          <cell r="D145">
            <v>5027</v>
          </cell>
        </row>
        <row r="146">
          <cell r="C146" t="str">
            <v>19-May</v>
          </cell>
          <cell r="D146">
            <v>3084</v>
          </cell>
        </row>
        <row r="147">
          <cell r="C147" t="str">
            <v>20-May</v>
          </cell>
          <cell r="D147">
            <v>8429</v>
          </cell>
        </row>
        <row r="148">
          <cell r="C148" t="str">
            <v>21-May</v>
          </cell>
          <cell r="D148">
            <v>8754</v>
          </cell>
        </row>
        <row r="149">
          <cell r="C149" t="str">
            <v>22-May</v>
          </cell>
          <cell r="D149">
            <v>6072</v>
          </cell>
        </row>
        <row r="150">
          <cell r="C150" t="str">
            <v>23-May</v>
          </cell>
          <cell r="D150">
            <v>6523</v>
          </cell>
        </row>
        <row r="151">
          <cell r="C151" t="str">
            <v>24-May</v>
          </cell>
          <cell r="D151">
            <v>5392</v>
          </cell>
        </row>
        <row r="152">
          <cell r="C152" t="str">
            <v>25-May</v>
          </cell>
          <cell r="D152">
            <v>5686</v>
          </cell>
        </row>
        <row r="153">
          <cell r="C153" t="str">
            <v>26-May</v>
          </cell>
          <cell r="D153">
            <v>7652</v>
          </cell>
        </row>
        <row r="154">
          <cell r="C154" t="str">
            <v>27-May</v>
          </cell>
          <cell r="D154">
            <v>6028</v>
          </cell>
        </row>
        <row r="155">
          <cell r="C155" t="str">
            <v>28-May</v>
          </cell>
          <cell r="D155">
            <v>10530</v>
          </cell>
        </row>
        <row r="156">
          <cell r="C156" t="str">
            <v>29-May</v>
          </cell>
          <cell r="D156">
            <v>9020</v>
          </cell>
        </row>
        <row r="157">
          <cell r="C157" t="str">
            <v>30-May</v>
          </cell>
          <cell r="D157">
            <v>6140</v>
          </cell>
        </row>
        <row r="158">
          <cell r="C158" t="str">
            <v>31-May</v>
          </cell>
          <cell r="D158">
            <v>6563</v>
          </cell>
        </row>
        <row r="159">
          <cell r="C159" t="str">
            <v>01-Jun</v>
          </cell>
          <cell r="D159">
            <v>7063</v>
          </cell>
        </row>
        <row r="160">
          <cell r="C160" t="str">
            <v>02-Jun</v>
          </cell>
          <cell r="D160">
            <v>5583</v>
          </cell>
        </row>
        <row r="161">
          <cell r="C161" t="str">
            <v>03-Jun</v>
          </cell>
          <cell r="D161">
            <v>4927</v>
          </cell>
        </row>
        <row r="162">
          <cell r="C162" t="str">
            <v>04-Jun</v>
          </cell>
          <cell r="D162">
            <v>5254</v>
          </cell>
        </row>
        <row r="163">
          <cell r="C163" t="str">
            <v>05-Jun</v>
          </cell>
          <cell r="D163">
            <v>5118</v>
          </cell>
        </row>
        <row r="164">
          <cell r="C164" t="str">
            <v>06-Jun</v>
          </cell>
          <cell r="D164">
            <v>5986</v>
          </cell>
        </row>
        <row r="165">
          <cell r="C165" t="str">
            <v>07-Jun</v>
          </cell>
          <cell r="D165">
            <v>6398</v>
          </cell>
        </row>
        <row r="166">
          <cell r="C166" t="str">
            <v>08-Jun</v>
          </cell>
          <cell r="D166">
            <v>6256</v>
          </cell>
        </row>
        <row r="167">
          <cell r="C167" t="str">
            <v>09-Jun</v>
          </cell>
          <cell r="D167">
            <v>6615</v>
          </cell>
        </row>
        <row r="168">
          <cell r="C168" t="str">
            <v>10-Jun</v>
          </cell>
          <cell r="D168">
            <v>4518</v>
          </cell>
        </row>
        <row r="169">
          <cell r="C169" t="str">
            <v>11-Jun</v>
          </cell>
          <cell r="D169">
            <v>6232</v>
          </cell>
        </row>
        <row r="170">
          <cell r="C170" t="str">
            <v>12-Jun</v>
          </cell>
          <cell r="D170">
            <v>7273</v>
          </cell>
        </row>
        <row r="171">
          <cell r="C171" t="str">
            <v>13-Jun</v>
          </cell>
          <cell r="D171">
            <v>7712</v>
          </cell>
        </row>
        <row r="172">
          <cell r="C172" t="str">
            <v>14-Jun</v>
          </cell>
          <cell r="D172">
            <v>5834</v>
          </cell>
        </row>
        <row r="173">
          <cell r="C173" t="str">
            <v>15-Jun</v>
          </cell>
          <cell r="D173">
            <v>5656</v>
          </cell>
        </row>
        <row r="174">
          <cell r="C174" t="str">
            <v>16-Jun</v>
          </cell>
          <cell r="D174">
            <v>6889</v>
          </cell>
        </row>
        <row r="175">
          <cell r="C175" t="str">
            <v>17-Jun</v>
          </cell>
          <cell r="D175">
            <v>6814</v>
          </cell>
        </row>
        <row r="176">
          <cell r="C176" t="str">
            <v>18-Jun</v>
          </cell>
          <cell r="D176">
            <v>5917</v>
          </cell>
        </row>
        <row r="177">
          <cell r="C177" t="str">
            <v>19-Jun</v>
          </cell>
          <cell r="D177">
            <v>8501</v>
          </cell>
        </row>
        <row r="178">
          <cell r="C178" t="str">
            <v>20-Jun</v>
          </cell>
          <cell r="D178">
            <v>7273</v>
          </cell>
        </row>
        <row r="179">
          <cell r="C179" t="str">
            <v>21-Jun</v>
          </cell>
          <cell r="D179">
            <v>4014</v>
          </cell>
        </row>
        <row r="180">
          <cell r="C180" t="str">
            <v>22-Jun</v>
          </cell>
          <cell r="D180">
            <v>8332</v>
          </cell>
        </row>
        <row r="181">
          <cell r="C181" t="str">
            <v>23-Jun</v>
          </cell>
          <cell r="D181">
            <v>9517</v>
          </cell>
        </row>
        <row r="182">
          <cell r="C182" t="str">
            <v>24-Jun</v>
          </cell>
          <cell r="D182">
            <v>8610</v>
          </cell>
        </row>
        <row r="183">
          <cell r="C183" t="str">
            <v>25-Jun</v>
          </cell>
          <cell r="D183">
            <v>6744</v>
          </cell>
        </row>
        <row r="184">
          <cell r="C184" t="str">
            <v>26-Jun</v>
          </cell>
          <cell r="D184">
            <v>9707</v>
          </cell>
        </row>
        <row r="185">
          <cell r="C185" t="str">
            <v>27-Jun</v>
          </cell>
          <cell r="D185">
            <v>10179</v>
          </cell>
        </row>
        <row r="186">
          <cell r="C186" t="str">
            <v>28-Jun</v>
          </cell>
          <cell r="D186">
            <v>13186</v>
          </cell>
        </row>
        <row r="187">
          <cell r="C187" t="str">
            <v>29-Jun</v>
          </cell>
          <cell r="D187">
            <v>11585</v>
          </cell>
        </row>
        <row r="188">
          <cell r="C188" t="str">
            <v>30-Jun</v>
          </cell>
          <cell r="D188">
            <v>13567</v>
          </cell>
        </row>
        <row r="189">
          <cell r="C189" t="str">
            <v>01-Jul</v>
          </cell>
          <cell r="D189">
            <v>8288</v>
          </cell>
        </row>
        <row r="190">
          <cell r="C190" t="str">
            <v>02-Jul</v>
          </cell>
          <cell r="D190">
            <v>8329</v>
          </cell>
        </row>
        <row r="191">
          <cell r="C191" t="str">
            <v>03-Jul</v>
          </cell>
          <cell r="D191">
            <v>10851</v>
          </cell>
        </row>
        <row r="192">
          <cell r="C192" t="str">
            <v>04-Jul</v>
          </cell>
          <cell r="D192">
            <v>7759</v>
          </cell>
        </row>
        <row r="193">
          <cell r="C193" t="str">
            <v>05-Jul</v>
          </cell>
          <cell r="D193">
            <v>6199</v>
          </cell>
        </row>
        <row r="194">
          <cell r="C194" t="str">
            <v>06-Jul</v>
          </cell>
          <cell r="D194">
            <v>7425</v>
          </cell>
        </row>
        <row r="195">
          <cell r="C195" t="str">
            <v>07-Jul</v>
          </cell>
          <cell r="D195">
            <v>7244</v>
          </cell>
        </row>
        <row r="196">
          <cell r="C196" t="str">
            <v>08-Jul</v>
          </cell>
          <cell r="D196">
            <v>8164</v>
          </cell>
        </row>
        <row r="197">
          <cell r="C197" t="str">
            <v>09-Jul</v>
          </cell>
          <cell r="D197">
            <v>4174</v>
          </cell>
        </row>
        <row r="198">
          <cell r="C198" t="str">
            <v>10-Jul</v>
          </cell>
          <cell r="D198">
            <v>6842</v>
          </cell>
        </row>
        <row r="199">
          <cell r="C199" t="str">
            <v>11-Jul</v>
          </cell>
          <cell r="D199">
            <v>7664</v>
          </cell>
        </row>
        <row r="200">
          <cell r="C200" t="str">
            <v>12-Jul</v>
          </cell>
          <cell r="D200">
            <v>6602</v>
          </cell>
        </row>
        <row r="201">
          <cell r="C201" t="str">
            <v>13-Jul</v>
          </cell>
          <cell r="D201">
            <v>6606</v>
          </cell>
        </row>
        <row r="202">
          <cell r="C202" t="str">
            <v>14-Jul</v>
          </cell>
          <cell r="D202">
            <v>7492</v>
          </cell>
        </row>
        <row r="203">
          <cell r="C203" t="str">
            <v>15-Jul</v>
          </cell>
          <cell r="D203">
            <v>8365</v>
          </cell>
        </row>
        <row r="204">
          <cell r="C204" t="str">
            <v>16-Jul</v>
          </cell>
          <cell r="D204">
            <v>8828</v>
          </cell>
        </row>
        <row r="205">
          <cell r="C205" t="str">
            <v>17-Jul</v>
          </cell>
          <cell r="D205">
            <v>8035</v>
          </cell>
        </row>
        <row r="206">
          <cell r="C206" t="str">
            <v>18-Jul</v>
          </cell>
          <cell r="D206">
            <v>7205</v>
          </cell>
        </row>
        <row r="207">
          <cell r="C207" t="str">
            <v>19-Jul</v>
          </cell>
          <cell r="D207">
            <v>5318</v>
          </cell>
        </row>
        <row r="208">
          <cell r="C208" t="str">
            <v>20-Jul</v>
          </cell>
          <cell r="D208">
            <v>7413</v>
          </cell>
        </row>
        <row r="209">
          <cell r="C209" t="str">
            <v>21-Jul</v>
          </cell>
          <cell r="D209">
            <v>6126</v>
          </cell>
        </row>
        <row r="210">
          <cell r="C210" t="str">
            <v>22-Jul</v>
          </cell>
          <cell r="D210">
            <v>5001</v>
          </cell>
        </row>
        <row r="211">
          <cell r="C211" t="str">
            <v>23-Jul</v>
          </cell>
          <cell r="D211">
            <v>5574</v>
          </cell>
        </row>
        <row r="212">
          <cell r="C212" t="str">
            <v>24-Jul</v>
          </cell>
          <cell r="D212">
            <v>7064</v>
          </cell>
        </row>
        <row r="213">
          <cell r="C213" t="str">
            <v>25-Jul</v>
          </cell>
          <cell r="D213">
            <v>8252</v>
          </cell>
        </row>
        <row r="214">
          <cell r="C214" t="str">
            <v>26-Jul</v>
          </cell>
          <cell r="D214">
            <v>5425</v>
          </cell>
        </row>
        <row r="215">
          <cell r="C215" t="str">
            <v>27-Jul</v>
          </cell>
          <cell r="D215">
            <v>8311</v>
          </cell>
        </row>
        <row r="216">
          <cell r="C216" t="str">
            <v>28-Jul</v>
          </cell>
          <cell r="D216">
            <v>4609</v>
          </cell>
        </row>
        <row r="217">
          <cell r="C217" t="str">
            <v>29-Jul</v>
          </cell>
          <cell r="D217">
            <v>11732</v>
          </cell>
        </row>
        <row r="218">
          <cell r="C218" t="str">
            <v>30-Jul</v>
          </cell>
          <cell r="D218">
            <v>7534</v>
          </cell>
        </row>
        <row r="219">
          <cell r="C219" t="str">
            <v>31-Jul</v>
          </cell>
          <cell r="D219">
            <v>6891</v>
          </cell>
        </row>
        <row r="220">
          <cell r="C220" t="str">
            <v>01-Aug</v>
          </cell>
          <cell r="D220">
            <v>6637</v>
          </cell>
        </row>
        <row r="221">
          <cell r="C221" t="str">
            <v>02-Aug</v>
          </cell>
          <cell r="D221">
            <v>7316</v>
          </cell>
        </row>
        <row r="222">
          <cell r="C222" t="str">
            <v>03-Aug</v>
          </cell>
          <cell r="D222">
            <v>9616</v>
          </cell>
        </row>
        <row r="223">
          <cell r="C223" t="str">
            <v>04-Aug</v>
          </cell>
          <cell r="D223">
            <v>9165</v>
          </cell>
        </row>
        <row r="224">
          <cell r="C224" t="str">
            <v>05-Aug</v>
          </cell>
          <cell r="D224">
            <v>6231</v>
          </cell>
        </row>
        <row r="225">
          <cell r="C225" t="str">
            <v>06-Aug</v>
          </cell>
          <cell r="D225">
            <v>6997</v>
          </cell>
        </row>
        <row r="226">
          <cell r="C226" t="str">
            <v>07-Aug</v>
          </cell>
          <cell r="D226">
            <v>6849</v>
          </cell>
        </row>
        <row r="227">
          <cell r="C227" t="str">
            <v>08-Aug</v>
          </cell>
          <cell r="D227">
            <v>8806</v>
          </cell>
        </row>
        <row r="228">
          <cell r="C228" t="str">
            <v>09-Aug</v>
          </cell>
          <cell r="D228">
            <v>8011</v>
          </cell>
        </row>
        <row r="229">
          <cell r="C229" t="str">
            <v>10-Aug</v>
          </cell>
          <cell r="D229">
            <v>7166</v>
          </cell>
        </row>
        <row r="230">
          <cell r="C230" t="str">
            <v>11-Aug</v>
          </cell>
          <cell r="D230">
            <v>6706</v>
          </cell>
        </row>
        <row r="231">
          <cell r="C231" t="str">
            <v>12-Aug</v>
          </cell>
          <cell r="D231">
            <v>7712</v>
          </cell>
        </row>
        <row r="232">
          <cell r="C232" t="str">
            <v>13-Aug</v>
          </cell>
          <cell r="D232">
            <v>6293</v>
          </cell>
        </row>
        <row r="233">
          <cell r="C233" t="str">
            <v>14-Aug</v>
          </cell>
          <cell r="D233">
            <v>7180</v>
          </cell>
        </row>
        <row r="234">
          <cell r="C234" t="str">
            <v>15-Aug</v>
          </cell>
          <cell r="D234">
            <v>7449</v>
          </cell>
        </row>
        <row r="235">
          <cell r="C235" t="str">
            <v>16-Aug</v>
          </cell>
          <cell r="D235">
            <v>6683</v>
          </cell>
        </row>
        <row r="236">
          <cell r="C236" t="str">
            <v>17-Aug</v>
          </cell>
          <cell r="D236">
            <v>7174</v>
          </cell>
        </row>
        <row r="237">
          <cell r="C237" t="str">
            <v>18-Aug</v>
          </cell>
          <cell r="D237">
            <v>7975</v>
          </cell>
        </row>
        <row r="238">
          <cell r="C238" t="str">
            <v>19-Aug</v>
          </cell>
          <cell r="D238">
            <v>6849</v>
          </cell>
        </row>
        <row r="239">
          <cell r="C239" t="str">
            <v>20-Aug</v>
          </cell>
          <cell r="D239">
            <v>9896</v>
          </cell>
        </row>
        <row r="240">
          <cell r="C240" t="str">
            <v>21-Aug</v>
          </cell>
          <cell r="D240">
            <v>9451</v>
          </cell>
        </row>
        <row r="241">
          <cell r="C241" t="str">
            <v>22-Aug</v>
          </cell>
          <cell r="D241">
            <v>8355</v>
          </cell>
        </row>
        <row r="242">
          <cell r="C242" t="str">
            <v>23-Aug</v>
          </cell>
          <cell r="D242">
            <v>8626</v>
          </cell>
        </row>
        <row r="243">
          <cell r="C243" t="str">
            <v>24-Aug</v>
          </cell>
          <cell r="D243">
            <v>8380</v>
          </cell>
        </row>
        <row r="244">
          <cell r="C244" t="str">
            <v>25-Aug</v>
          </cell>
          <cell r="D244">
            <v>10197</v>
          </cell>
        </row>
        <row r="245">
          <cell r="C245" t="str">
            <v>26-Aug</v>
          </cell>
          <cell r="D245">
            <v>10014</v>
          </cell>
        </row>
        <row r="246">
          <cell r="C246" t="str">
            <v>27-Aug</v>
          </cell>
          <cell r="D246">
            <v>7890</v>
          </cell>
        </row>
        <row r="247">
          <cell r="C247" t="str">
            <v>28-Aug</v>
          </cell>
          <cell r="D247">
            <v>9385</v>
          </cell>
        </row>
        <row r="248">
          <cell r="C248" t="str">
            <v>29-Aug</v>
          </cell>
          <cell r="D248">
            <v>8403</v>
          </cell>
        </row>
        <row r="249">
          <cell r="C249" t="str">
            <v>30-Aug</v>
          </cell>
          <cell r="D249">
            <v>9169</v>
          </cell>
        </row>
        <row r="250">
          <cell r="C250" t="str">
            <v>31-Aug</v>
          </cell>
          <cell r="D250">
            <v>11068</v>
          </cell>
        </row>
        <row r="251">
          <cell r="C251" t="str">
            <v>01-Sep</v>
          </cell>
          <cell r="D251">
            <v>9622</v>
          </cell>
        </row>
        <row r="252">
          <cell r="C252" t="str">
            <v>02-Sep</v>
          </cell>
          <cell r="D252">
            <v>8631</v>
          </cell>
        </row>
        <row r="253">
          <cell r="C253" t="str">
            <v>03-Sep</v>
          </cell>
          <cell r="D253">
            <v>7839</v>
          </cell>
        </row>
        <row r="254">
          <cell r="C254" t="str">
            <v>04-Sep</v>
          </cell>
          <cell r="D254">
            <v>11013</v>
          </cell>
        </row>
        <row r="255">
          <cell r="C255" t="str">
            <v>05-Sep</v>
          </cell>
          <cell r="D255">
            <v>11346</v>
          </cell>
        </row>
        <row r="256">
          <cell r="C256" t="str">
            <v>06-Sep</v>
          </cell>
          <cell r="D256">
            <v>9878</v>
          </cell>
        </row>
        <row r="257">
          <cell r="C257" t="str">
            <v>07-Sep</v>
          </cell>
          <cell r="D257">
            <v>10024</v>
          </cell>
        </row>
        <row r="258">
          <cell r="C258" t="str">
            <v>08-Sep</v>
          </cell>
          <cell r="D258">
            <v>8918</v>
          </cell>
        </row>
        <row r="259">
          <cell r="C259" t="str">
            <v>09-Sep</v>
          </cell>
          <cell r="D259">
            <v>9054</v>
          </cell>
        </row>
        <row r="260">
          <cell r="C260" t="str">
            <v>10-Sep</v>
          </cell>
          <cell r="D260">
            <v>8605</v>
          </cell>
        </row>
        <row r="261">
          <cell r="C261" t="str">
            <v>11-Sep</v>
          </cell>
          <cell r="D261">
            <v>8939</v>
          </cell>
        </row>
        <row r="262">
          <cell r="C262" t="str">
            <v>12-Sep</v>
          </cell>
          <cell r="D262">
            <v>11450</v>
          </cell>
        </row>
        <row r="263">
          <cell r="C263" t="str">
            <v>13-Sep</v>
          </cell>
          <cell r="D263">
            <v>13115</v>
          </cell>
        </row>
        <row r="264">
          <cell r="C264" t="str">
            <v>14-Sep</v>
          </cell>
          <cell r="D264">
            <v>12691</v>
          </cell>
        </row>
        <row r="265">
          <cell r="C265" t="str">
            <v>15-Sep</v>
          </cell>
          <cell r="D265">
            <v>10116</v>
          </cell>
        </row>
        <row r="266">
          <cell r="C266" t="str">
            <v>16-Sep</v>
          </cell>
          <cell r="D266">
            <v>9785</v>
          </cell>
        </row>
        <row r="267">
          <cell r="C267" t="str">
            <v>17-Sep</v>
          </cell>
          <cell r="D267">
            <v>6708</v>
          </cell>
        </row>
        <row r="268">
          <cell r="C268" t="str">
            <v>18-Sep</v>
          </cell>
          <cell r="D268">
            <v>10083</v>
          </cell>
        </row>
        <row r="269">
          <cell r="C269" t="str">
            <v>19-Sep</v>
          </cell>
          <cell r="D269">
            <v>14113</v>
          </cell>
        </row>
        <row r="270">
          <cell r="C270" t="str">
            <v>20-Sep</v>
          </cell>
          <cell r="D270">
            <v>11747</v>
          </cell>
        </row>
        <row r="271">
          <cell r="C271" t="str">
            <v>21-Sep</v>
          </cell>
          <cell r="D271">
            <v>14819</v>
          </cell>
        </row>
        <row r="272">
          <cell r="C272" t="str">
            <v>22-Sep</v>
          </cell>
          <cell r="D272">
            <v>12229</v>
          </cell>
        </row>
        <row r="273">
          <cell r="C273" t="str">
            <v>23-Sep</v>
          </cell>
          <cell r="D273">
            <v>10471</v>
          </cell>
        </row>
        <row r="274">
          <cell r="C274" t="str">
            <v>24-Sep</v>
          </cell>
          <cell r="D274">
            <v>8613</v>
          </cell>
        </row>
        <row r="275">
          <cell r="C275" t="str">
            <v>25-Sep</v>
          </cell>
          <cell r="D275">
            <v>13240</v>
          </cell>
        </row>
        <row r="276">
          <cell r="C276" t="str">
            <v>26-Sep</v>
          </cell>
          <cell r="D276">
            <v>13236</v>
          </cell>
        </row>
        <row r="277">
          <cell r="C277" t="str">
            <v>27-Sep</v>
          </cell>
          <cell r="D277">
            <v>11639</v>
          </cell>
        </row>
        <row r="278">
          <cell r="C278" t="str">
            <v>28-Sep</v>
          </cell>
          <cell r="D278">
            <v>10878</v>
          </cell>
        </row>
        <row r="279">
          <cell r="C279" t="str">
            <v>29-Sep</v>
          </cell>
          <cell r="D279">
            <v>11953</v>
          </cell>
        </row>
        <row r="280">
          <cell r="C280" t="str">
            <v>30-Sep</v>
          </cell>
          <cell r="D280">
            <v>13048</v>
          </cell>
        </row>
        <row r="281">
          <cell r="C281" t="str">
            <v>01-Oct</v>
          </cell>
          <cell r="D281">
            <v>10480</v>
          </cell>
        </row>
        <row r="282">
          <cell r="C282" t="str">
            <v>02-Oct</v>
          </cell>
          <cell r="D282">
            <v>12564</v>
          </cell>
        </row>
        <row r="283">
          <cell r="C283" t="str">
            <v>03-Oct</v>
          </cell>
          <cell r="D283">
            <v>13091</v>
          </cell>
        </row>
        <row r="284">
          <cell r="C284" t="str">
            <v>04-Oct</v>
          </cell>
          <cell r="D284">
            <v>10858</v>
          </cell>
        </row>
        <row r="285">
          <cell r="C285" t="str">
            <v>05-Oct</v>
          </cell>
          <cell r="D285">
            <v>13078</v>
          </cell>
        </row>
        <row r="286">
          <cell r="C286" t="str">
            <v>06-Oct</v>
          </cell>
          <cell r="D286">
            <v>15054</v>
          </cell>
        </row>
        <row r="287">
          <cell r="C287" t="str">
            <v>07-Oct</v>
          </cell>
          <cell r="D287">
            <v>10363</v>
          </cell>
        </row>
        <row r="288">
          <cell r="C288" t="str">
            <v>08-Oct</v>
          </cell>
          <cell r="D288">
            <v>12431</v>
          </cell>
        </row>
        <row r="289">
          <cell r="C289" t="str">
            <v>09-Oct</v>
          </cell>
          <cell r="D289">
            <v>10347</v>
          </cell>
        </row>
        <row r="290">
          <cell r="C290" t="str">
            <v>10-Oct</v>
          </cell>
          <cell r="D290">
            <v>12413</v>
          </cell>
        </row>
        <row r="291">
          <cell r="C291" t="str">
            <v>11-Oct</v>
          </cell>
          <cell r="D291">
            <v>13694</v>
          </cell>
        </row>
        <row r="292">
          <cell r="C292" t="str">
            <v>12-Oct</v>
          </cell>
          <cell r="D292">
            <v>7801</v>
          </cell>
        </row>
        <row r="293">
          <cell r="C293" t="str">
            <v>13-Oct</v>
          </cell>
          <cell r="D293">
            <v>12175</v>
          </cell>
        </row>
        <row r="294">
          <cell r="C294" t="str">
            <v>14-Oct</v>
          </cell>
          <cell r="D294">
            <v>17454</v>
          </cell>
        </row>
        <row r="295">
          <cell r="C295" t="str">
            <v>15-Oct</v>
          </cell>
          <cell r="D295">
            <v>14599</v>
          </cell>
        </row>
        <row r="296">
          <cell r="C296" t="str">
            <v>16-Oct</v>
          </cell>
          <cell r="D296">
            <v>12855</v>
          </cell>
        </row>
        <row r="297">
          <cell r="C297" t="str">
            <v>17-Oct</v>
          </cell>
          <cell r="D297">
            <v>14115</v>
          </cell>
        </row>
        <row r="298">
          <cell r="C298" t="str">
            <v>18-Oct</v>
          </cell>
          <cell r="D298">
            <v>14706</v>
          </cell>
        </row>
        <row r="299">
          <cell r="C299" t="str">
            <v>19-Oct</v>
          </cell>
          <cell r="D299">
            <v>13433</v>
          </cell>
        </row>
        <row r="300">
          <cell r="C300" t="str">
            <v>20-Oct</v>
          </cell>
          <cell r="D300">
            <v>13977</v>
          </cell>
        </row>
        <row r="301">
          <cell r="C301" t="str">
            <v>21-Oct</v>
          </cell>
          <cell r="D301">
            <v>14561</v>
          </cell>
        </row>
        <row r="302">
          <cell r="C302" t="str">
            <v>22-Oct</v>
          </cell>
          <cell r="D302">
            <v>14620</v>
          </cell>
        </row>
        <row r="303">
          <cell r="C303" t="str">
            <v>23-Oct</v>
          </cell>
          <cell r="D303">
            <v>12674</v>
          </cell>
        </row>
        <row r="304">
          <cell r="C304" t="str">
            <v>24-Oct</v>
          </cell>
          <cell r="D304">
            <v>13139</v>
          </cell>
        </row>
        <row r="305">
          <cell r="C305" t="str">
            <v>25-Oct</v>
          </cell>
          <cell r="D305">
            <v>11861</v>
          </cell>
        </row>
        <row r="306">
          <cell r="C306" t="str">
            <v>26-Oct</v>
          </cell>
          <cell r="D306">
            <v>12991</v>
          </cell>
        </row>
        <row r="307">
          <cell r="C307" t="str">
            <v>27-Oct</v>
          </cell>
          <cell r="D307">
            <v>14546</v>
          </cell>
        </row>
        <row r="308">
          <cell r="C308" t="str">
            <v>28-Oct</v>
          </cell>
          <cell r="D308">
            <v>14846</v>
          </cell>
        </row>
        <row r="309">
          <cell r="C309" t="str">
            <v>29-Oct</v>
          </cell>
          <cell r="D309">
            <v>13190</v>
          </cell>
        </row>
        <row r="310">
          <cell r="C310" t="str">
            <v>30-Oct</v>
          </cell>
          <cell r="D310">
            <v>14999</v>
          </cell>
        </row>
        <row r="311">
          <cell r="C311" t="str">
            <v>31-Oct</v>
          </cell>
          <cell r="D311">
            <v>15282</v>
          </cell>
        </row>
        <row r="312">
          <cell r="C312" t="str">
            <v>01-Nov</v>
          </cell>
          <cell r="D312">
            <v>14790</v>
          </cell>
        </row>
        <row r="313">
          <cell r="C313" t="str">
            <v>02-Nov</v>
          </cell>
          <cell r="D313">
            <v>14686</v>
          </cell>
        </row>
        <row r="314">
          <cell r="C314" t="str">
            <v>03-Nov</v>
          </cell>
          <cell r="D314">
            <v>14327</v>
          </cell>
        </row>
        <row r="315">
          <cell r="C315" t="str">
            <v>04-Nov</v>
          </cell>
          <cell r="D315">
            <v>14928</v>
          </cell>
        </row>
        <row r="316">
          <cell r="C316" t="str">
            <v>05-Nov</v>
          </cell>
          <cell r="D316">
            <v>12538</v>
          </cell>
        </row>
        <row r="317">
          <cell r="C317" t="str">
            <v>06-Nov</v>
          </cell>
          <cell r="D317">
            <v>14681</v>
          </cell>
        </row>
        <row r="318">
          <cell r="C318" t="str">
            <v>07-Nov</v>
          </cell>
          <cell r="D318">
            <v>13400</v>
          </cell>
        </row>
        <row r="319">
          <cell r="C319" t="str">
            <v>08-Nov</v>
          </cell>
          <cell r="D319">
            <v>14213</v>
          </cell>
        </row>
        <row r="320">
          <cell r="C320" t="str">
            <v>09-Nov</v>
          </cell>
          <cell r="D320">
            <v>14863</v>
          </cell>
        </row>
        <row r="321">
          <cell r="C321" t="str">
            <v>10-Nov</v>
          </cell>
          <cell r="D321">
            <v>15107</v>
          </cell>
        </row>
        <row r="322">
          <cell r="C322" t="str">
            <v>11-Nov</v>
          </cell>
          <cell r="D322">
            <v>17717</v>
          </cell>
        </row>
        <row r="323">
          <cell r="C323" t="str">
            <v>12-Nov</v>
          </cell>
          <cell r="D323">
            <v>16327</v>
          </cell>
        </row>
        <row r="324">
          <cell r="C324" t="str">
            <v>13-Nov</v>
          </cell>
          <cell r="D324">
            <v>14834</v>
          </cell>
        </row>
        <row r="325">
          <cell r="C325" t="str">
            <v>14-Nov</v>
          </cell>
          <cell r="D325">
            <v>12695</v>
          </cell>
        </row>
        <row r="326">
          <cell r="C326" t="str">
            <v>15-Nov</v>
          </cell>
          <cell r="D326">
            <v>14982</v>
          </cell>
        </row>
        <row r="327">
          <cell r="C327" t="str">
            <v>16-Nov</v>
          </cell>
          <cell r="D327">
            <v>15343</v>
          </cell>
        </row>
        <row r="328">
          <cell r="C328" t="str">
            <v>17-Nov</v>
          </cell>
          <cell r="D328">
            <v>16521</v>
          </cell>
        </row>
        <row r="329">
          <cell r="C329" t="str">
            <v>18-Nov</v>
          </cell>
          <cell r="D329">
            <v>11717</v>
          </cell>
        </row>
        <row r="330">
          <cell r="C330" t="str">
            <v>19-Nov</v>
          </cell>
          <cell r="D330">
            <v>20462</v>
          </cell>
        </row>
        <row r="331">
          <cell r="C331" t="str">
            <v>20-Nov</v>
          </cell>
          <cell r="D331">
            <v>16308</v>
          </cell>
        </row>
        <row r="332">
          <cell r="C332" t="str">
            <v>21-Nov</v>
          </cell>
          <cell r="D332">
            <v>14638</v>
          </cell>
        </row>
        <row r="333">
          <cell r="C333" t="str">
            <v>22-Nov</v>
          </cell>
          <cell r="D333">
            <v>15983</v>
          </cell>
        </row>
        <row r="334">
          <cell r="C334" t="str">
            <v>23-Nov</v>
          </cell>
          <cell r="D334">
            <v>16654</v>
          </cell>
        </row>
        <row r="335">
          <cell r="C335" t="str">
            <v>24-Nov</v>
          </cell>
          <cell r="D335">
            <v>16744</v>
          </cell>
        </row>
        <row r="336">
          <cell r="C336" t="str">
            <v>25-Nov</v>
          </cell>
          <cell r="D336">
            <v>17609</v>
          </cell>
        </row>
        <row r="337">
          <cell r="C337" t="str">
            <v>26-Nov</v>
          </cell>
          <cell r="D337">
            <v>14085</v>
          </cell>
        </row>
        <row r="338">
          <cell r="C338" t="str">
            <v>27-Nov</v>
          </cell>
          <cell r="D338">
            <v>16685</v>
          </cell>
        </row>
        <row r="339">
          <cell r="C339" t="str">
            <v>28-Nov</v>
          </cell>
          <cell r="D339">
            <v>17580</v>
          </cell>
        </row>
        <row r="340">
          <cell r="C340" t="str">
            <v>29-Nov</v>
          </cell>
          <cell r="D340">
            <v>18107</v>
          </cell>
        </row>
        <row r="341">
          <cell r="C341" t="str">
            <v>30-Nov</v>
          </cell>
          <cell r="D341">
            <v>15656</v>
          </cell>
        </row>
        <row r="342">
          <cell r="C342" t="str">
            <v>01-Dec</v>
          </cell>
          <cell r="D342">
            <v>18744</v>
          </cell>
        </row>
        <row r="343">
          <cell r="C343" t="str">
            <v>02-Dec</v>
          </cell>
          <cell r="D343">
            <v>14499</v>
          </cell>
        </row>
        <row r="344">
          <cell r="C344" t="str">
            <v>03-Dec</v>
          </cell>
          <cell r="D344">
            <v>17754</v>
          </cell>
        </row>
        <row r="345">
          <cell r="C345" t="str">
            <v>04-Dec</v>
          </cell>
          <cell r="D345">
            <v>14111</v>
          </cell>
        </row>
        <row r="346">
          <cell r="C346" t="str">
            <v>05-Dec</v>
          </cell>
          <cell r="D346">
            <v>19431</v>
          </cell>
        </row>
        <row r="347">
          <cell r="C347" t="str">
            <v>06-Dec</v>
          </cell>
          <cell r="D347">
            <v>19392</v>
          </cell>
        </row>
        <row r="348">
          <cell r="C348" t="str">
            <v>07-Dec</v>
          </cell>
          <cell r="D348">
            <v>15590</v>
          </cell>
        </row>
        <row r="349">
          <cell r="C349" t="str">
            <v>08-Dec</v>
          </cell>
          <cell r="D349">
            <v>17267</v>
          </cell>
        </row>
        <row r="350">
          <cell r="C350" t="str">
            <v>09-Dec</v>
          </cell>
          <cell r="D350">
            <v>17362</v>
          </cell>
        </row>
        <row r="351">
          <cell r="C351" t="str">
            <v>10-Dec</v>
          </cell>
          <cell r="D351">
            <v>19307</v>
          </cell>
        </row>
        <row r="352">
          <cell r="C352" t="str">
            <v>11-Dec</v>
          </cell>
          <cell r="D352">
            <v>16832</v>
          </cell>
        </row>
        <row r="353">
          <cell r="C353" t="str">
            <v>12-Dec</v>
          </cell>
          <cell r="D353">
            <v>17882</v>
          </cell>
        </row>
        <row r="354">
          <cell r="C354" t="str">
            <v>13-Dec</v>
          </cell>
          <cell r="D354">
            <v>19404</v>
          </cell>
        </row>
        <row r="355">
          <cell r="C355" t="str">
            <v>14-Dec</v>
          </cell>
          <cell r="D355">
            <v>17371</v>
          </cell>
        </row>
        <row r="356">
          <cell r="C356" t="str">
            <v>15-Dec</v>
          </cell>
          <cell r="D356">
            <v>17818</v>
          </cell>
        </row>
        <row r="357">
          <cell r="C357" t="str">
            <v>16-Dec</v>
          </cell>
          <cell r="D357">
            <v>18933</v>
          </cell>
        </row>
        <row r="358">
          <cell r="C358" t="str">
            <v>17-Dec</v>
          </cell>
          <cell r="D358">
            <v>20531</v>
          </cell>
        </row>
        <row r="359">
          <cell r="C359" t="str">
            <v>18-Dec</v>
          </cell>
          <cell r="D359">
            <v>18509</v>
          </cell>
        </row>
        <row r="360">
          <cell r="C360" t="str">
            <v>19-Dec</v>
          </cell>
          <cell r="D360">
            <v>19329</v>
          </cell>
        </row>
        <row r="361">
          <cell r="C361" t="str">
            <v>20-Dec</v>
          </cell>
          <cell r="D361">
            <v>18434</v>
          </cell>
        </row>
        <row r="362">
          <cell r="C362" t="str">
            <v>21-Dec</v>
          </cell>
          <cell r="D362">
            <v>19275</v>
          </cell>
        </row>
        <row r="363">
          <cell r="C363" t="str">
            <v>22-Dec</v>
          </cell>
          <cell r="D363">
            <v>19550</v>
          </cell>
        </row>
        <row r="364">
          <cell r="C364" t="str">
            <v>23-Dec</v>
          </cell>
          <cell r="D364">
            <v>19551</v>
          </cell>
        </row>
        <row r="365">
          <cell r="C365" t="str">
            <v>24-Dec</v>
          </cell>
          <cell r="D365">
            <v>20207</v>
          </cell>
        </row>
        <row r="366">
          <cell r="C366" t="str">
            <v>25-Dec</v>
          </cell>
          <cell r="D366">
            <v>16607</v>
          </cell>
        </row>
        <row r="367">
          <cell r="C367" t="str">
            <v>26-Dec</v>
          </cell>
          <cell r="D367">
            <v>22315</v>
          </cell>
        </row>
        <row r="368">
          <cell r="C368" t="str">
            <v>27-Dec</v>
          </cell>
          <cell r="D368">
            <v>17141</v>
          </cell>
        </row>
        <row r="369">
          <cell r="C369" t="str">
            <v>28-Dec</v>
          </cell>
          <cell r="D369">
            <v>15255</v>
          </cell>
        </row>
        <row r="370">
          <cell r="C370" t="str">
            <v>29-Dec</v>
          </cell>
          <cell r="D370">
            <v>12149</v>
          </cell>
        </row>
        <row r="371">
          <cell r="C371" t="str">
            <v>30-Dec</v>
          </cell>
          <cell r="D371">
            <v>17285</v>
          </cell>
        </row>
        <row r="372">
          <cell r="C372" t="str">
            <v>31-Dec</v>
          </cell>
          <cell r="D372">
            <v>11461</v>
          </cell>
        </row>
      </sheetData>
      <sheetData sheetId="8" refreshError="1"/>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eck_Sheet"/>
      <sheetName val="Assumptions"/>
      <sheetName val="S&amp;OP_OLD"/>
      <sheetName val="S&amp;OP_NEW"/>
      <sheetName val="S&amp;OP"/>
      <sheetName val="FLOW_PATH_VOLS"/>
      <sheetName val="ATTRITION"/>
      <sheetName val="STAFFING_SUMMARY"/>
      <sheetName val="ATTENDANCE"/>
      <sheetName val="RATES_HRS_NEEDED"/>
      <sheetName val="OB_DILUTION"/>
      <sheetName val="IB_DILUTION"/>
      <sheetName val="GAP_IB"/>
      <sheetName val="LISTS"/>
      <sheetName val="FOR_LOOKUPS"/>
      <sheetName val="GAP_OB"/>
      <sheetName val="GAP_SPT"/>
      <sheetName val="DAILY_SCHED_OB"/>
      <sheetName val="DAILY_SCHED_IB"/>
      <sheetName val="21_Day_Controls"/>
      <sheetName val="IB_21DAY_INPUT"/>
      <sheetName val="OB_21DAY_INPUT"/>
      <sheetName val="IB_21_DP_Output"/>
      <sheetName val="OB_21_DP_Output"/>
      <sheetName val="21_DP_CHARGE_CALCS"/>
      <sheetName val="SHIFT_Day"/>
      <sheetName val="SHIFT_Night"/>
      <sheetName val="IB_Backlog"/>
      <sheetName val="FC_Dashboard"/>
      <sheetName val="IB Shift Trans %"/>
      <sheetName val="IB_Archive"/>
      <sheetName val="OB_Archive"/>
      <sheetName val="Backlog_DB"/>
      <sheetName val="QTY_Units"/>
      <sheetName val="TSV_File"/>
      <sheetName val="Case_Trans_In"/>
      <sheetName val="Pallet_Trans_In"/>
    </sheetNames>
    <sheetDataSet>
      <sheetData sheetId="0" refreshError="1"/>
      <sheetData sheetId="1">
        <row r="120">
          <cell r="B120">
            <v>1760</v>
          </cell>
        </row>
      </sheetData>
      <sheetData sheetId="2" refreshError="1"/>
      <sheetData sheetId="3" refreshError="1"/>
      <sheetData sheetId="4" refreshError="1"/>
      <sheetData sheetId="5">
        <row r="6">
          <cell r="AR6">
            <v>0.66404414081411522</v>
          </cell>
        </row>
      </sheetData>
      <sheetData sheetId="6" refreshError="1"/>
      <sheetData sheetId="7">
        <row r="23">
          <cell r="AC23">
            <v>166</v>
          </cell>
        </row>
      </sheetData>
      <sheetData sheetId="8" refreshError="1"/>
      <sheetData sheetId="9">
        <row r="380">
          <cell r="AR380">
            <v>921.52194444444399</v>
          </cell>
        </row>
      </sheetData>
      <sheetData sheetId="10">
        <row r="46">
          <cell r="B46">
            <v>0</v>
          </cell>
        </row>
      </sheetData>
      <sheetData sheetId="11">
        <row r="46">
          <cell r="B46">
            <v>0</v>
          </cell>
        </row>
      </sheetData>
      <sheetData sheetId="12">
        <row r="2866">
          <cell r="AQ2866">
            <v>0</v>
          </cell>
        </row>
      </sheetData>
      <sheetData sheetId="13">
        <row r="2">
          <cell r="A2" t="str">
            <v>RECEIVE</v>
          </cell>
        </row>
        <row r="3">
          <cell r="A3" t="str">
            <v>STOW</v>
          </cell>
        </row>
        <row r="4">
          <cell r="A4">
            <v>0</v>
          </cell>
        </row>
        <row r="5">
          <cell r="A5">
            <v>0</v>
          </cell>
        </row>
        <row r="6">
          <cell r="A6">
            <v>0</v>
          </cell>
        </row>
        <row r="7">
          <cell r="A7">
            <v>0</v>
          </cell>
        </row>
        <row r="8">
          <cell r="A8">
            <v>0</v>
          </cell>
        </row>
        <row r="9">
          <cell r="A9">
            <v>0</v>
          </cell>
        </row>
        <row r="10">
          <cell r="A10" t="str">
            <v>PICKING</v>
          </cell>
        </row>
        <row r="11">
          <cell r="A11" t="str">
            <v>SORTATION</v>
          </cell>
        </row>
        <row r="12">
          <cell r="A12" t="str">
            <v>GW</v>
          </cell>
        </row>
        <row r="13">
          <cell r="A13" t="str">
            <v>SHIPPING</v>
          </cell>
        </row>
        <row r="14">
          <cell r="A14">
            <v>0</v>
          </cell>
        </row>
        <row r="15">
          <cell r="A15">
            <v>0</v>
          </cell>
        </row>
        <row r="16">
          <cell r="A16">
            <v>0</v>
          </cell>
        </row>
        <row r="17">
          <cell r="A17">
            <v>0</v>
          </cell>
        </row>
      </sheetData>
      <sheetData sheetId="14" refreshError="1"/>
      <sheetData sheetId="15">
        <row r="2866">
          <cell r="AQ2866">
            <v>0</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issingHoursWorksheet"/>
      <sheetName val="LaborQuery"/>
      <sheetName val="Actuals"/>
      <sheetName val="GoalsProjected"/>
      <sheetName val="Daily Charge Chart Stack"/>
      <sheetName val="Inbound Projection"/>
      <sheetName val="ReportQueries"/>
      <sheetName val="Outbound Projection"/>
      <sheetName val="Outbound Volume And Charge"/>
      <sheetName val="SC Totals"/>
      <sheetName val="SC Adj Man Pend"/>
      <sheetName val="4 hr Charge Data"/>
      <sheetName val="NetworkStatusMetrics"/>
      <sheetName val="Daily Charge Pattern Data"/>
      <sheetName val="AssociatePerf"/>
      <sheetName val="PHL1AssoProd"/>
    </sheetNames>
    <sheetDataSet>
      <sheetData sheetId="0" refreshError="1"/>
      <sheetData sheetId="1" refreshError="1">
        <row r="5">
          <cell r="A5">
            <v>33</v>
          </cell>
        </row>
        <row r="48">
          <cell r="B48" t="str">
            <v>Borrow</v>
          </cell>
        </row>
        <row r="49">
          <cell r="B49" t="str">
            <v>Borrow</v>
          </cell>
        </row>
        <row r="50">
          <cell r="B50" t="str">
            <v>Borrow</v>
          </cell>
        </row>
        <row r="51">
          <cell r="B51" t="str">
            <v>Borrow</v>
          </cell>
        </row>
        <row r="52">
          <cell r="B52" t="str">
            <v>Borrow</v>
          </cell>
        </row>
        <row r="53">
          <cell r="B53" t="str">
            <v>Borrow</v>
          </cell>
        </row>
        <row r="54">
          <cell r="B54" t="str">
            <v>Borrow</v>
          </cell>
        </row>
        <row r="55">
          <cell r="B55" t="str">
            <v>Borrow</v>
          </cell>
        </row>
        <row r="56">
          <cell r="B56" t="str">
            <v>Borrow</v>
          </cell>
        </row>
        <row r="57">
          <cell r="B57" t="str">
            <v>Borrow</v>
          </cell>
        </row>
        <row r="58">
          <cell r="B58" t="str">
            <v>Borrow</v>
          </cell>
        </row>
        <row r="59">
          <cell r="B59" t="str">
            <v>Borrow</v>
          </cell>
        </row>
        <row r="60">
          <cell r="B60" t="str">
            <v>Borrow</v>
          </cell>
        </row>
        <row r="61">
          <cell r="B61" t="str">
            <v>Borrow</v>
          </cell>
        </row>
        <row r="62">
          <cell r="B62" t="str">
            <v>Borrow</v>
          </cell>
        </row>
        <row r="63">
          <cell r="B63" t="str">
            <v>Borrow</v>
          </cell>
        </row>
        <row r="64">
          <cell r="B64" t="str">
            <v>Borrow</v>
          </cell>
        </row>
        <row r="65">
          <cell r="B65" t="str">
            <v>Borrow</v>
          </cell>
        </row>
        <row r="66">
          <cell r="B66" t="str">
            <v>Borrow</v>
          </cell>
        </row>
        <row r="67">
          <cell r="B67" t="str">
            <v>Borrow</v>
          </cell>
        </row>
        <row r="68">
          <cell r="B68" t="str">
            <v>Borrow</v>
          </cell>
        </row>
        <row r="69">
          <cell r="B69" t="str">
            <v>Borrow</v>
          </cell>
        </row>
        <row r="70">
          <cell r="B70" t="str">
            <v>Borrow</v>
          </cell>
        </row>
        <row r="71">
          <cell r="B71" t="str">
            <v>Borrow</v>
          </cell>
        </row>
        <row r="72">
          <cell r="B72" t="str">
            <v>Borrow</v>
          </cell>
        </row>
        <row r="73">
          <cell r="B73" t="str">
            <v>Borrow</v>
          </cell>
        </row>
        <row r="74">
          <cell r="B74" t="str">
            <v>Borrow</v>
          </cell>
        </row>
        <row r="75">
          <cell r="B75" t="str">
            <v>Borrow</v>
          </cell>
        </row>
        <row r="76">
          <cell r="B76" t="str">
            <v>Borrow</v>
          </cell>
        </row>
        <row r="77">
          <cell r="B77" t="str">
            <v>Borrow</v>
          </cell>
        </row>
        <row r="78">
          <cell r="B78" t="str">
            <v>Borrow</v>
          </cell>
        </row>
        <row r="79">
          <cell r="B79" t="str">
            <v>Borrow</v>
          </cell>
        </row>
        <row r="80">
          <cell r="B80" t="str">
            <v>Borrow</v>
          </cell>
        </row>
        <row r="81">
          <cell r="B81" t="str">
            <v>Borrow</v>
          </cell>
        </row>
        <row r="82">
          <cell r="B82" t="str">
            <v>Borrow</v>
          </cell>
        </row>
      </sheetData>
      <sheetData sheetId="2" refreshError="1"/>
      <sheetData sheetId="3" refreshError="1"/>
      <sheetData sheetId="4" refreshError="1"/>
      <sheetData sheetId="5" refreshError="1"/>
      <sheetData sheetId="6" refreshError="1">
        <row r="5">
          <cell r="AB5" t="str">
            <v>Sc7amTotal</v>
          </cell>
        </row>
        <row r="6">
          <cell r="C6">
            <v>15031</v>
          </cell>
          <cell r="D6">
            <v>43</v>
          </cell>
          <cell r="E6">
            <v>1</v>
          </cell>
          <cell r="F6">
            <v>0</v>
          </cell>
          <cell r="G6">
            <v>0</v>
          </cell>
          <cell r="H6">
            <v>30351</v>
          </cell>
          <cell r="J6">
            <v>17437</v>
          </cell>
          <cell r="L6">
            <v>825</v>
          </cell>
          <cell r="M6">
            <v>0</v>
          </cell>
          <cell r="N6">
            <v>0</v>
          </cell>
          <cell r="O6">
            <v>59973</v>
          </cell>
          <cell r="R6">
            <v>0</v>
          </cell>
          <cell r="S6">
            <v>1</v>
          </cell>
          <cell r="T6">
            <v>0</v>
          </cell>
          <cell r="U6">
            <v>0</v>
          </cell>
          <cell r="W6">
            <v>88766</v>
          </cell>
          <cell r="Y6">
            <v>107404</v>
          </cell>
          <cell r="Z6">
            <v>117189</v>
          </cell>
          <cell r="BS6">
            <v>0</v>
          </cell>
          <cell r="BT6">
            <v>0</v>
          </cell>
          <cell r="BW6">
            <v>0</v>
          </cell>
          <cell r="BZ6">
            <v>0</v>
          </cell>
        </row>
        <row r="7">
          <cell r="C7">
            <v>31232</v>
          </cell>
          <cell r="D7">
            <v>0</v>
          </cell>
          <cell r="E7">
            <v>0</v>
          </cell>
          <cell r="F7">
            <v>0</v>
          </cell>
          <cell r="G7">
            <v>0</v>
          </cell>
          <cell r="H7">
            <v>0</v>
          </cell>
          <cell r="J7">
            <v>12940</v>
          </cell>
          <cell r="L7">
            <v>1</v>
          </cell>
          <cell r="M7">
            <v>0</v>
          </cell>
          <cell r="N7">
            <v>0</v>
          </cell>
          <cell r="O7">
            <v>65333</v>
          </cell>
          <cell r="R7">
            <v>0</v>
          </cell>
          <cell r="S7">
            <v>0</v>
          </cell>
          <cell r="T7">
            <v>0</v>
          </cell>
          <cell r="U7">
            <v>0</v>
          </cell>
          <cell r="W7">
            <v>82002</v>
          </cell>
          <cell r="Y7">
            <v>106924</v>
          </cell>
          <cell r="Z7">
            <v>118389</v>
          </cell>
          <cell r="BS7">
            <v>25.9</v>
          </cell>
          <cell r="BT7">
            <v>25.4</v>
          </cell>
          <cell r="BW7">
            <v>10018</v>
          </cell>
          <cell r="BZ7">
            <v>2370</v>
          </cell>
        </row>
        <row r="8">
          <cell r="C8">
            <v>30059</v>
          </cell>
          <cell r="D8">
            <v>0</v>
          </cell>
          <cell r="E8">
            <v>0</v>
          </cell>
          <cell r="F8">
            <v>0</v>
          </cell>
          <cell r="G8">
            <v>0</v>
          </cell>
          <cell r="H8">
            <v>0</v>
          </cell>
          <cell r="J8">
            <v>39831</v>
          </cell>
          <cell r="L8">
            <v>0</v>
          </cell>
          <cell r="M8">
            <v>0</v>
          </cell>
          <cell r="N8">
            <v>0</v>
          </cell>
          <cell r="O8">
            <v>35656</v>
          </cell>
          <cell r="R8">
            <v>0</v>
          </cell>
          <cell r="S8">
            <v>0</v>
          </cell>
          <cell r="T8">
            <v>0</v>
          </cell>
          <cell r="U8">
            <v>0</v>
          </cell>
          <cell r="W8">
            <v>81776</v>
          </cell>
          <cell r="Y8">
            <v>99998</v>
          </cell>
          <cell r="Z8">
            <v>111588</v>
          </cell>
          <cell r="BS8">
            <v>0</v>
          </cell>
          <cell r="BT8">
            <v>0</v>
          </cell>
          <cell r="BW8">
            <v>0</v>
          </cell>
          <cell r="BZ8">
            <v>0</v>
          </cell>
        </row>
        <row r="9">
          <cell r="C9">
            <v>17728</v>
          </cell>
          <cell r="D9">
            <v>0</v>
          </cell>
          <cell r="E9">
            <v>0</v>
          </cell>
          <cell r="F9">
            <v>0</v>
          </cell>
          <cell r="G9">
            <v>0</v>
          </cell>
          <cell r="H9">
            <v>0</v>
          </cell>
          <cell r="J9">
            <v>30059</v>
          </cell>
          <cell r="L9">
            <v>0</v>
          </cell>
          <cell r="M9">
            <v>0</v>
          </cell>
          <cell r="N9">
            <v>0</v>
          </cell>
          <cell r="O9">
            <v>32005</v>
          </cell>
          <cell r="R9">
            <v>0</v>
          </cell>
          <cell r="S9">
            <v>0</v>
          </cell>
          <cell r="T9">
            <v>0</v>
          </cell>
          <cell r="U9">
            <v>0</v>
          </cell>
          <cell r="W9">
            <v>67294</v>
          </cell>
          <cell r="Y9">
            <v>88689</v>
          </cell>
          <cell r="Z9">
            <v>100902</v>
          </cell>
          <cell r="BS9">
            <v>0</v>
          </cell>
          <cell r="BT9">
            <v>0</v>
          </cell>
          <cell r="BW9">
            <v>0</v>
          </cell>
          <cell r="BZ9">
            <v>0</v>
          </cell>
        </row>
        <row r="10">
          <cell r="C10">
            <v>14988</v>
          </cell>
          <cell r="D10">
            <v>29</v>
          </cell>
          <cell r="E10">
            <v>0</v>
          </cell>
          <cell r="F10">
            <v>0</v>
          </cell>
          <cell r="G10">
            <v>0</v>
          </cell>
          <cell r="H10">
            <v>37841</v>
          </cell>
          <cell r="J10">
            <v>20401</v>
          </cell>
          <cell r="L10">
            <v>53</v>
          </cell>
          <cell r="M10">
            <v>0</v>
          </cell>
          <cell r="N10">
            <v>0</v>
          </cell>
          <cell r="O10">
            <v>56921</v>
          </cell>
          <cell r="R10">
            <v>131</v>
          </cell>
          <cell r="S10">
            <v>222</v>
          </cell>
          <cell r="T10">
            <v>0</v>
          </cell>
          <cell r="U10">
            <v>0</v>
          </cell>
          <cell r="W10">
            <v>90489</v>
          </cell>
          <cell r="Y10">
            <v>109750</v>
          </cell>
          <cell r="Z10">
            <v>114587</v>
          </cell>
          <cell r="BS10">
            <v>19.7</v>
          </cell>
          <cell r="BT10">
            <v>18</v>
          </cell>
          <cell r="BW10">
            <v>23230</v>
          </cell>
          <cell r="BZ10">
            <v>2141</v>
          </cell>
        </row>
        <row r="11">
          <cell r="C11">
            <v>14095</v>
          </cell>
          <cell r="D11">
            <v>21</v>
          </cell>
          <cell r="E11">
            <v>0</v>
          </cell>
          <cell r="F11">
            <v>0</v>
          </cell>
          <cell r="G11">
            <v>0</v>
          </cell>
          <cell r="H11">
            <v>42345</v>
          </cell>
          <cell r="J11">
            <v>17924</v>
          </cell>
          <cell r="L11">
            <v>1</v>
          </cell>
          <cell r="M11">
            <v>0</v>
          </cell>
          <cell r="N11">
            <v>0</v>
          </cell>
          <cell r="O11">
            <v>61976</v>
          </cell>
          <cell r="R11">
            <v>0</v>
          </cell>
          <cell r="S11">
            <v>0</v>
          </cell>
          <cell r="T11">
            <v>0</v>
          </cell>
          <cell r="U11">
            <v>0</v>
          </cell>
          <cell r="W11">
            <v>98469</v>
          </cell>
          <cell r="Y11">
            <v>119772</v>
          </cell>
          <cell r="Z11">
            <v>123601</v>
          </cell>
          <cell r="BS11">
            <v>17.2</v>
          </cell>
          <cell r="BT11">
            <v>17.3</v>
          </cell>
          <cell r="BW11">
            <v>13685</v>
          </cell>
          <cell r="BZ11">
            <v>2183</v>
          </cell>
        </row>
        <row r="12">
          <cell r="C12">
            <v>11081</v>
          </cell>
          <cell r="D12">
            <v>19</v>
          </cell>
          <cell r="E12">
            <v>1</v>
          </cell>
          <cell r="F12">
            <v>0</v>
          </cell>
          <cell r="G12">
            <v>0</v>
          </cell>
          <cell r="H12">
            <v>44586</v>
          </cell>
          <cell r="J12">
            <v>20038</v>
          </cell>
          <cell r="L12">
            <v>13</v>
          </cell>
          <cell r="M12">
            <v>0</v>
          </cell>
          <cell r="N12">
            <v>0</v>
          </cell>
          <cell r="O12">
            <v>63827</v>
          </cell>
          <cell r="R12">
            <v>0</v>
          </cell>
          <cell r="S12">
            <v>0</v>
          </cell>
          <cell r="T12">
            <v>0</v>
          </cell>
          <cell r="U12">
            <v>0</v>
          </cell>
          <cell r="W12">
            <v>100408</v>
          </cell>
          <cell r="Y12">
            <v>119599</v>
          </cell>
          <cell r="Z12">
            <v>127318</v>
          </cell>
          <cell r="BS12">
            <v>24.7</v>
          </cell>
          <cell r="BT12">
            <v>18.8</v>
          </cell>
          <cell r="BW12">
            <v>9390</v>
          </cell>
          <cell r="BZ12">
            <v>2133</v>
          </cell>
        </row>
        <row r="13">
          <cell r="C13">
            <v>19119</v>
          </cell>
          <cell r="D13">
            <v>41</v>
          </cell>
          <cell r="E13">
            <v>0</v>
          </cell>
          <cell r="F13">
            <v>0</v>
          </cell>
          <cell r="G13">
            <v>0</v>
          </cell>
          <cell r="H13">
            <v>29831</v>
          </cell>
          <cell r="J13">
            <v>18906</v>
          </cell>
          <cell r="L13">
            <v>6780</v>
          </cell>
          <cell r="M13">
            <v>0</v>
          </cell>
          <cell r="N13">
            <v>0</v>
          </cell>
          <cell r="O13">
            <v>52472</v>
          </cell>
          <cell r="R13">
            <v>10</v>
          </cell>
          <cell r="S13">
            <v>1</v>
          </cell>
          <cell r="T13">
            <v>0</v>
          </cell>
          <cell r="U13">
            <v>0</v>
          </cell>
          <cell r="W13">
            <v>91094</v>
          </cell>
          <cell r="Y13">
            <v>113127</v>
          </cell>
          <cell r="Z13">
            <v>120528</v>
          </cell>
          <cell r="BS13">
            <v>24.7</v>
          </cell>
          <cell r="BT13">
            <v>18.8</v>
          </cell>
          <cell r="BW13">
            <v>7664</v>
          </cell>
          <cell r="BZ13">
            <v>2200</v>
          </cell>
        </row>
        <row r="14">
          <cell r="C14">
            <v>22426</v>
          </cell>
          <cell r="D14">
            <v>24</v>
          </cell>
          <cell r="E14">
            <v>0</v>
          </cell>
          <cell r="F14">
            <v>0</v>
          </cell>
          <cell r="G14">
            <v>0</v>
          </cell>
          <cell r="H14">
            <v>0</v>
          </cell>
          <cell r="J14">
            <v>10958</v>
          </cell>
          <cell r="L14">
            <v>999</v>
          </cell>
          <cell r="M14">
            <v>0</v>
          </cell>
          <cell r="N14">
            <v>0</v>
          </cell>
          <cell r="O14">
            <v>44567</v>
          </cell>
          <cell r="R14">
            <v>24</v>
          </cell>
          <cell r="S14">
            <v>0</v>
          </cell>
          <cell r="T14">
            <v>0</v>
          </cell>
          <cell r="U14">
            <v>0</v>
          </cell>
          <cell r="W14">
            <v>73876</v>
          </cell>
          <cell r="Y14">
            <v>89606</v>
          </cell>
          <cell r="Z14">
            <v>97865</v>
          </cell>
          <cell r="BS14">
            <v>19.3</v>
          </cell>
          <cell r="BT14">
            <v>21.3</v>
          </cell>
          <cell r="BW14">
            <v>12944</v>
          </cell>
          <cell r="BZ14">
            <v>2121</v>
          </cell>
        </row>
        <row r="15">
          <cell r="C15">
            <v>24274</v>
          </cell>
          <cell r="D15">
            <v>22</v>
          </cell>
          <cell r="E15">
            <v>0</v>
          </cell>
          <cell r="F15">
            <v>0</v>
          </cell>
          <cell r="G15">
            <v>0</v>
          </cell>
          <cell r="H15">
            <v>0</v>
          </cell>
          <cell r="J15">
            <v>22426</v>
          </cell>
          <cell r="L15">
            <v>0</v>
          </cell>
          <cell r="M15">
            <v>0</v>
          </cell>
          <cell r="N15">
            <v>0</v>
          </cell>
          <cell r="O15">
            <v>37437</v>
          </cell>
          <cell r="R15">
            <v>22</v>
          </cell>
          <cell r="S15">
            <v>0</v>
          </cell>
          <cell r="T15">
            <v>0</v>
          </cell>
          <cell r="U15">
            <v>0</v>
          </cell>
          <cell r="W15">
            <v>73134</v>
          </cell>
          <cell r="Y15">
            <v>88203</v>
          </cell>
          <cell r="Z15">
            <v>97480</v>
          </cell>
          <cell r="BS15">
            <v>19.3</v>
          </cell>
          <cell r="BT15">
            <v>21.3</v>
          </cell>
          <cell r="BW15">
            <v>12944</v>
          </cell>
          <cell r="BZ15">
            <v>2121</v>
          </cell>
        </row>
        <row r="16">
          <cell r="C16">
            <v>9442</v>
          </cell>
          <cell r="D16">
            <v>17</v>
          </cell>
          <cell r="E16">
            <v>0</v>
          </cell>
          <cell r="F16">
            <v>0</v>
          </cell>
          <cell r="G16">
            <v>0</v>
          </cell>
          <cell r="H16">
            <v>0</v>
          </cell>
          <cell r="J16">
            <v>24274</v>
          </cell>
          <cell r="L16">
            <v>0</v>
          </cell>
          <cell r="M16">
            <v>0</v>
          </cell>
          <cell r="N16">
            <v>0</v>
          </cell>
          <cell r="O16">
            <v>25786</v>
          </cell>
          <cell r="R16">
            <v>17</v>
          </cell>
          <cell r="S16">
            <v>0</v>
          </cell>
          <cell r="T16">
            <v>0</v>
          </cell>
          <cell r="U16">
            <v>0</v>
          </cell>
          <cell r="W16">
            <v>58980</v>
          </cell>
          <cell r="Y16">
            <v>77033</v>
          </cell>
          <cell r="Z16">
            <v>86806</v>
          </cell>
          <cell r="BS16">
            <v>0</v>
          </cell>
          <cell r="BT16">
            <v>0</v>
          </cell>
          <cell r="BW16">
            <v>0</v>
          </cell>
          <cell r="BZ16">
            <v>0</v>
          </cell>
        </row>
        <row r="17">
          <cell r="C17">
            <v>1879</v>
          </cell>
          <cell r="D17">
            <v>52</v>
          </cell>
          <cell r="E17">
            <v>14017</v>
          </cell>
          <cell r="F17">
            <v>0</v>
          </cell>
          <cell r="G17">
            <v>0</v>
          </cell>
          <cell r="H17">
            <v>16097</v>
          </cell>
          <cell r="J17">
            <v>9442</v>
          </cell>
          <cell r="L17">
            <v>0</v>
          </cell>
          <cell r="M17">
            <v>0</v>
          </cell>
          <cell r="N17">
            <v>0</v>
          </cell>
          <cell r="O17">
            <v>46518</v>
          </cell>
          <cell r="R17">
            <v>13</v>
          </cell>
          <cell r="S17">
            <v>17142</v>
          </cell>
          <cell r="T17">
            <v>0</v>
          </cell>
          <cell r="U17">
            <v>0</v>
          </cell>
          <cell r="W17">
            <v>70220</v>
          </cell>
          <cell r="Y17">
            <v>90582</v>
          </cell>
          <cell r="Z17">
            <v>93094</v>
          </cell>
          <cell r="BS17">
            <v>19.3</v>
          </cell>
          <cell r="BT17">
            <v>21.3</v>
          </cell>
          <cell r="BW17">
            <v>18151</v>
          </cell>
          <cell r="BZ17">
            <v>1963</v>
          </cell>
        </row>
        <row r="18">
          <cell r="C18">
            <v>10318</v>
          </cell>
          <cell r="D18">
            <v>66</v>
          </cell>
          <cell r="E18">
            <v>0</v>
          </cell>
          <cell r="F18">
            <v>0</v>
          </cell>
          <cell r="G18">
            <v>0</v>
          </cell>
          <cell r="H18">
            <v>52482</v>
          </cell>
          <cell r="J18">
            <v>22978</v>
          </cell>
          <cell r="L18">
            <v>4342</v>
          </cell>
          <cell r="M18">
            <v>0</v>
          </cell>
          <cell r="N18">
            <v>0</v>
          </cell>
          <cell r="O18">
            <v>56632</v>
          </cell>
          <cell r="R18">
            <v>20</v>
          </cell>
          <cell r="S18">
            <v>0</v>
          </cell>
          <cell r="T18">
            <v>0</v>
          </cell>
          <cell r="U18">
            <v>0</v>
          </cell>
          <cell r="W18">
            <v>94859</v>
          </cell>
          <cell r="Y18">
            <v>118263</v>
          </cell>
          <cell r="Z18">
            <v>125540</v>
          </cell>
          <cell r="BS18">
            <v>19.3</v>
          </cell>
          <cell r="BT18">
            <v>21.3</v>
          </cell>
          <cell r="BW18">
            <v>9248</v>
          </cell>
          <cell r="BZ18">
            <v>2029</v>
          </cell>
        </row>
        <row r="19">
          <cell r="C19">
            <v>14629</v>
          </cell>
          <cell r="D19">
            <v>29</v>
          </cell>
          <cell r="E19">
            <v>0</v>
          </cell>
          <cell r="F19">
            <v>0</v>
          </cell>
          <cell r="G19">
            <v>0</v>
          </cell>
          <cell r="H19">
            <v>38727</v>
          </cell>
          <cell r="J19">
            <v>30019</v>
          </cell>
          <cell r="L19">
            <v>311</v>
          </cell>
          <cell r="M19">
            <v>0</v>
          </cell>
          <cell r="N19">
            <v>0</v>
          </cell>
          <cell r="O19">
            <v>59889</v>
          </cell>
          <cell r="R19">
            <v>3</v>
          </cell>
          <cell r="S19">
            <v>2</v>
          </cell>
          <cell r="T19">
            <v>0</v>
          </cell>
          <cell r="U19">
            <v>0</v>
          </cell>
          <cell r="W19">
            <v>92423</v>
          </cell>
          <cell r="Y19">
            <v>116323</v>
          </cell>
          <cell r="Z19">
            <v>125909</v>
          </cell>
          <cell r="BS19">
            <v>19.3</v>
          </cell>
          <cell r="BT19">
            <v>21.3</v>
          </cell>
          <cell r="BW19">
            <v>7470</v>
          </cell>
          <cell r="BZ19">
            <v>2263</v>
          </cell>
        </row>
        <row r="20">
          <cell r="C20">
            <v>16814</v>
          </cell>
          <cell r="D20">
            <v>18</v>
          </cell>
          <cell r="E20">
            <v>0</v>
          </cell>
          <cell r="F20">
            <v>0</v>
          </cell>
          <cell r="G20">
            <v>0</v>
          </cell>
          <cell r="H20">
            <v>27527</v>
          </cell>
          <cell r="J20">
            <v>20352</v>
          </cell>
          <cell r="L20">
            <v>682</v>
          </cell>
          <cell r="M20">
            <v>0</v>
          </cell>
          <cell r="N20">
            <v>0</v>
          </cell>
          <cell r="O20">
            <v>54864</v>
          </cell>
          <cell r="R20">
            <v>0</v>
          </cell>
          <cell r="S20">
            <v>3</v>
          </cell>
          <cell r="T20">
            <v>0</v>
          </cell>
          <cell r="U20">
            <v>0</v>
          </cell>
          <cell r="W20">
            <v>81410</v>
          </cell>
          <cell r="Y20">
            <v>105518</v>
          </cell>
          <cell r="Z20">
            <v>115251</v>
          </cell>
          <cell r="BS20">
            <v>19.3</v>
          </cell>
          <cell r="BT20">
            <v>21.3</v>
          </cell>
          <cell r="BW20">
            <v>8021</v>
          </cell>
          <cell r="BZ20">
            <v>2276</v>
          </cell>
        </row>
        <row r="21">
          <cell r="C21">
            <v>10902</v>
          </cell>
          <cell r="D21">
            <v>124</v>
          </cell>
          <cell r="E21">
            <v>0</v>
          </cell>
          <cell r="F21">
            <v>0</v>
          </cell>
          <cell r="G21">
            <v>0</v>
          </cell>
          <cell r="H21">
            <v>32463</v>
          </cell>
          <cell r="J21">
            <v>26514</v>
          </cell>
          <cell r="L21">
            <v>12</v>
          </cell>
          <cell r="M21">
            <v>0</v>
          </cell>
          <cell r="N21">
            <v>0</v>
          </cell>
          <cell r="O21">
            <v>50534</v>
          </cell>
          <cell r="R21">
            <v>8</v>
          </cell>
          <cell r="S21">
            <v>14</v>
          </cell>
          <cell r="T21">
            <v>0</v>
          </cell>
          <cell r="U21">
            <v>0</v>
          </cell>
          <cell r="W21">
            <v>83873</v>
          </cell>
          <cell r="Y21">
            <v>102848</v>
          </cell>
          <cell r="Z21">
            <v>110425</v>
          </cell>
          <cell r="BS21">
            <v>10.6</v>
          </cell>
          <cell r="BT21">
            <v>14.4</v>
          </cell>
          <cell r="BW21">
            <v>9313</v>
          </cell>
          <cell r="BZ21">
            <v>2098</v>
          </cell>
        </row>
        <row r="25">
          <cell r="A25" t="str">
            <v>Date</v>
          </cell>
          <cell r="B25" t="str">
            <v>Throughput</v>
          </cell>
          <cell r="C25" t="str">
            <v>BMVOutbound</v>
          </cell>
          <cell r="D25" t="str">
            <v>EachReceive</v>
          </cell>
          <cell r="E25" t="str">
            <v>RegularReceive</v>
          </cell>
          <cell r="F25" t="str">
            <v>Specials</v>
          </cell>
          <cell r="G25" t="str">
            <v>Advantage</v>
          </cell>
          <cell r="H25" t="str">
            <v>BMVStow</v>
          </cell>
          <cell r="I25" t="str">
            <v>ReceiveSupport</v>
          </cell>
          <cell r="J25" t="str">
            <v>NonConReceive</v>
          </cell>
          <cell r="K25" t="str">
            <v>Offsite1Receive</v>
          </cell>
          <cell r="L25" t="str">
            <v>Offsite2Receive</v>
          </cell>
          <cell r="M25" t="str">
            <v>Creturns</v>
          </cell>
          <cell r="N25" t="str">
            <v>Vreturns</v>
          </cell>
          <cell r="O25" t="str">
            <v>Picking</v>
          </cell>
          <cell r="P25" t="str">
            <v>Sortation</v>
          </cell>
          <cell r="Q25" t="str">
            <v>Rebin</v>
          </cell>
          <cell r="R25" t="str">
            <v>Stack</v>
          </cell>
          <cell r="S25" t="str">
            <v>VDF</v>
          </cell>
          <cell r="T25" t="str">
            <v>Autobox</v>
          </cell>
          <cell r="U25" t="str">
            <v>VDFManual</v>
          </cell>
          <cell r="V25" t="str">
            <v>Levimatic</v>
          </cell>
          <cell r="W25" t="str">
            <v>Giftwrap</v>
          </cell>
          <cell r="X25" t="str">
            <v>SLAM</v>
          </cell>
          <cell r="Y25" t="str">
            <v>NonConShip</v>
          </cell>
          <cell r="Z25" t="str">
            <v>Offsite1Ship</v>
          </cell>
          <cell r="AA25" t="str">
            <v>Offsite2Ship</v>
          </cell>
          <cell r="AB25" t="str">
            <v>ShipSupport</v>
          </cell>
          <cell r="AC25" t="str">
            <v>Injection</v>
          </cell>
          <cell r="AD25" t="str">
            <v>ShipSupportComb</v>
          </cell>
          <cell r="AE25" t="str">
            <v>Facility</v>
          </cell>
          <cell r="AF25" t="str">
            <v>ICQA</v>
          </cell>
          <cell r="AG25" t="str">
            <v>Admin</v>
          </cell>
          <cell r="AH25" t="str">
            <v>Replenishment</v>
          </cell>
          <cell r="AI25" t="str">
            <v>LPReceive</v>
          </cell>
          <cell r="AJ25" t="str">
            <v>TotalReceive</v>
          </cell>
          <cell r="AK25" t="str">
            <v>Prep-Repack</v>
          </cell>
        </row>
        <row r="26">
          <cell r="A26">
            <v>38578</v>
          </cell>
          <cell r="B26">
            <v>59.4</v>
          </cell>
          <cell r="C26">
            <v>0</v>
          </cell>
          <cell r="D26">
            <v>135.6</v>
          </cell>
          <cell r="E26">
            <v>0</v>
          </cell>
          <cell r="F26">
            <v>0</v>
          </cell>
          <cell r="G26">
            <v>0</v>
          </cell>
          <cell r="H26">
            <v>0</v>
          </cell>
          <cell r="I26">
            <v>1547.2</v>
          </cell>
          <cell r="J26">
            <v>0</v>
          </cell>
          <cell r="K26">
            <v>0</v>
          </cell>
          <cell r="L26">
            <v>0</v>
          </cell>
          <cell r="M26">
            <v>32.799999999999997</v>
          </cell>
          <cell r="N26">
            <v>103.6</v>
          </cell>
          <cell r="O26">
            <v>121.3</v>
          </cell>
          <cell r="P26">
            <v>289.3</v>
          </cell>
          <cell r="Q26">
            <v>0</v>
          </cell>
          <cell r="R26">
            <v>0</v>
          </cell>
          <cell r="S26">
            <v>199.5</v>
          </cell>
          <cell r="T26">
            <v>0</v>
          </cell>
          <cell r="U26">
            <v>0</v>
          </cell>
          <cell r="V26">
            <v>226.1</v>
          </cell>
          <cell r="W26">
            <v>23.6</v>
          </cell>
          <cell r="X26">
            <v>138.4</v>
          </cell>
          <cell r="Y26">
            <v>0</v>
          </cell>
          <cell r="Z26">
            <v>0</v>
          </cell>
          <cell r="AA26">
            <v>0</v>
          </cell>
          <cell r="AB26">
            <v>0</v>
          </cell>
          <cell r="AC26">
            <v>0</v>
          </cell>
          <cell r="AD26">
            <v>394.8</v>
          </cell>
          <cell r="AE26" t="str">
            <v>0</v>
          </cell>
          <cell r="AF26" t="str">
            <v>0</v>
          </cell>
          <cell r="AG26" t="str">
            <v>0</v>
          </cell>
          <cell r="AH26">
            <v>11.7</v>
          </cell>
          <cell r="AI26">
            <v>194.7</v>
          </cell>
          <cell r="AJ26">
            <v>0</v>
          </cell>
          <cell r="AK26">
            <v>0</v>
          </cell>
        </row>
        <row r="50">
          <cell r="I50">
            <v>0</v>
          </cell>
          <cell r="Q50">
            <v>0</v>
          </cell>
          <cell r="R50">
            <v>0</v>
          </cell>
          <cell r="S50">
            <v>0</v>
          </cell>
          <cell r="U50">
            <v>0</v>
          </cell>
          <cell r="V50">
            <v>0</v>
          </cell>
          <cell r="W50">
            <v>0</v>
          </cell>
          <cell r="Z50">
            <v>0</v>
          </cell>
          <cell r="AF50">
            <v>0</v>
          </cell>
          <cell r="AH50">
            <v>0</v>
          </cell>
          <cell r="AI50">
            <v>0</v>
          </cell>
          <cell r="AU50">
            <v>0</v>
          </cell>
        </row>
        <row r="51">
          <cell r="I51">
            <v>0</v>
          </cell>
          <cell r="Q51">
            <v>0</v>
          </cell>
          <cell r="R51">
            <v>0</v>
          </cell>
          <cell r="S51">
            <v>0</v>
          </cell>
          <cell r="U51">
            <v>0</v>
          </cell>
          <cell r="V51">
            <v>0</v>
          </cell>
          <cell r="W51">
            <v>0</v>
          </cell>
          <cell r="Z51">
            <v>0</v>
          </cell>
          <cell r="AF51">
            <v>0</v>
          </cell>
          <cell r="AH51">
            <v>0</v>
          </cell>
          <cell r="AI51">
            <v>0</v>
          </cell>
          <cell r="AU51">
            <v>0</v>
          </cell>
        </row>
        <row r="52">
          <cell r="I52">
            <v>0</v>
          </cell>
          <cell r="Q52">
            <v>0</v>
          </cell>
          <cell r="R52">
            <v>0</v>
          </cell>
          <cell r="S52">
            <v>0</v>
          </cell>
          <cell r="U52">
            <v>0</v>
          </cell>
          <cell r="V52">
            <v>0</v>
          </cell>
          <cell r="W52">
            <v>0</v>
          </cell>
          <cell r="Z52">
            <v>0</v>
          </cell>
          <cell r="AF52">
            <v>0</v>
          </cell>
          <cell r="AH52">
            <v>0</v>
          </cell>
          <cell r="AI52">
            <v>0</v>
          </cell>
          <cell r="AU52">
            <v>0</v>
          </cell>
        </row>
        <row r="53">
          <cell r="I53">
            <v>0</v>
          </cell>
          <cell r="Q53">
            <v>0</v>
          </cell>
          <cell r="R53">
            <v>0</v>
          </cell>
          <cell r="S53">
            <v>0</v>
          </cell>
          <cell r="U53">
            <v>0</v>
          </cell>
          <cell r="V53">
            <v>0</v>
          </cell>
          <cell r="W53">
            <v>0</v>
          </cell>
          <cell r="Z53">
            <v>0</v>
          </cell>
          <cell r="AF53">
            <v>0</v>
          </cell>
          <cell r="AH53">
            <v>0</v>
          </cell>
          <cell r="AI53">
            <v>0</v>
          </cell>
          <cell r="AU53">
            <v>0</v>
          </cell>
        </row>
        <row r="54">
          <cell r="I54">
            <v>0</v>
          </cell>
          <cell r="Q54">
            <v>0</v>
          </cell>
          <cell r="R54">
            <v>0</v>
          </cell>
          <cell r="S54">
            <v>0</v>
          </cell>
          <cell r="U54">
            <v>0</v>
          </cell>
          <cell r="V54">
            <v>0</v>
          </cell>
          <cell r="W54">
            <v>0</v>
          </cell>
          <cell r="Z54">
            <v>0</v>
          </cell>
          <cell r="AF54">
            <v>0</v>
          </cell>
          <cell r="AH54">
            <v>0</v>
          </cell>
          <cell r="AI54">
            <v>0</v>
          </cell>
          <cell r="AU54">
            <v>0</v>
          </cell>
        </row>
        <row r="55">
          <cell r="I55">
            <v>100</v>
          </cell>
          <cell r="Q55">
            <v>11494</v>
          </cell>
          <cell r="R55">
            <v>11065</v>
          </cell>
          <cell r="S55">
            <v>0</v>
          </cell>
          <cell r="U55">
            <v>15</v>
          </cell>
          <cell r="V55">
            <v>10</v>
          </cell>
          <cell r="W55">
            <v>0</v>
          </cell>
          <cell r="Z55">
            <v>0</v>
          </cell>
          <cell r="AF55">
            <v>0</v>
          </cell>
          <cell r="AH55">
            <v>0</v>
          </cell>
          <cell r="AI55">
            <v>0</v>
          </cell>
          <cell r="AU55">
            <v>0</v>
          </cell>
        </row>
        <row r="56">
          <cell r="I56">
            <v>0</v>
          </cell>
          <cell r="Q56">
            <v>0</v>
          </cell>
          <cell r="R56">
            <v>0</v>
          </cell>
          <cell r="S56">
            <v>0</v>
          </cell>
          <cell r="U56">
            <v>0</v>
          </cell>
          <cell r="V56">
            <v>0</v>
          </cell>
          <cell r="W56">
            <v>0</v>
          </cell>
          <cell r="Z56">
            <v>0</v>
          </cell>
          <cell r="AF56">
            <v>0</v>
          </cell>
          <cell r="AH56">
            <v>0</v>
          </cell>
          <cell r="AI56">
            <v>0</v>
          </cell>
          <cell r="AU56">
            <v>0</v>
          </cell>
        </row>
        <row r="57">
          <cell r="I57">
            <v>0</v>
          </cell>
          <cell r="Q57">
            <v>0</v>
          </cell>
          <cell r="R57">
            <v>0</v>
          </cell>
          <cell r="S57">
            <v>0</v>
          </cell>
          <cell r="U57">
            <v>0</v>
          </cell>
          <cell r="V57">
            <v>0</v>
          </cell>
          <cell r="W57">
            <v>0</v>
          </cell>
          <cell r="Z57">
            <v>0</v>
          </cell>
          <cell r="AF57">
            <v>0</v>
          </cell>
          <cell r="AH57">
            <v>0</v>
          </cell>
          <cell r="AI57">
            <v>0</v>
          </cell>
          <cell r="AU57">
            <v>0</v>
          </cell>
        </row>
        <row r="58">
          <cell r="I58">
            <v>12.75</v>
          </cell>
          <cell r="Q58">
            <v>0</v>
          </cell>
          <cell r="R58">
            <v>0</v>
          </cell>
          <cell r="S58">
            <v>0</v>
          </cell>
          <cell r="U58">
            <v>0</v>
          </cell>
          <cell r="V58">
            <v>0</v>
          </cell>
          <cell r="W58">
            <v>0</v>
          </cell>
          <cell r="Z58">
            <v>0</v>
          </cell>
          <cell r="AF58">
            <v>0</v>
          </cell>
          <cell r="AH58">
            <v>0</v>
          </cell>
          <cell r="AI58">
            <v>0</v>
          </cell>
          <cell r="AU58">
            <v>0</v>
          </cell>
        </row>
        <row r="59">
          <cell r="I59">
            <v>0</v>
          </cell>
          <cell r="Q59">
            <v>0</v>
          </cell>
          <cell r="R59">
            <v>0</v>
          </cell>
          <cell r="S59">
            <v>0</v>
          </cell>
          <cell r="U59">
            <v>0</v>
          </cell>
          <cell r="V59">
            <v>0</v>
          </cell>
          <cell r="W59">
            <v>0</v>
          </cell>
          <cell r="Z59">
            <v>0</v>
          </cell>
          <cell r="AF59">
            <v>0</v>
          </cell>
          <cell r="AH59">
            <v>0</v>
          </cell>
          <cell r="AI59">
            <v>0</v>
          </cell>
          <cell r="AU59">
            <v>0</v>
          </cell>
        </row>
        <row r="60">
          <cell r="I60">
            <v>0</v>
          </cell>
          <cell r="Q60">
            <v>0</v>
          </cell>
          <cell r="R60">
            <v>0</v>
          </cell>
          <cell r="S60">
            <v>0</v>
          </cell>
          <cell r="U60">
            <v>0</v>
          </cell>
          <cell r="V60">
            <v>0</v>
          </cell>
          <cell r="W60">
            <v>0</v>
          </cell>
          <cell r="Z60">
            <v>0</v>
          </cell>
          <cell r="AF60">
            <v>0</v>
          </cell>
          <cell r="AH60">
            <v>0</v>
          </cell>
          <cell r="AI60">
            <v>0</v>
          </cell>
          <cell r="AU60">
            <v>0</v>
          </cell>
        </row>
        <row r="61">
          <cell r="I61">
            <v>0</v>
          </cell>
          <cell r="Q61">
            <v>0</v>
          </cell>
          <cell r="R61">
            <v>0</v>
          </cell>
          <cell r="S61">
            <v>0</v>
          </cell>
          <cell r="U61">
            <v>0</v>
          </cell>
          <cell r="V61">
            <v>0</v>
          </cell>
          <cell r="W61">
            <v>0</v>
          </cell>
          <cell r="Z61">
            <v>0</v>
          </cell>
          <cell r="AF61">
            <v>0</v>
          </cell>
          <cell r="AH61">
            <v>0</v>
          </cell>
          <cell r="AI61">
            <v>0</v>
          </cell>
          <cell r="AU61">
            <v>0</v>
          </cell>
        </row>
        <row r="62">
          <cell r="I62">
            <v>-124</v>
          </cell>
          <cell r="Q62">
            <v>1782</v>
          </cell>
          <cell r="R62">
            <v>11145</v>
          </cell>
          <cell r="S62">
            <v>0</v>
          </cell>
          <cell r="U62">
            <v>5</v>
          </cell>
          <cell r="V62">
            <v>41</v>
          </cell>
          <cell r="W62">
            <v>0</v>
          </cell>
          <cell r="Z62">
            <v>0</v>
          </cell>
          <cell r="AF62">
            <v>0</v>
          </cell>
          <cell r="AH62">
            <v>0</v>
          </cell>
          <cell r="AI62">
            <v>0</v>
          </cell>
          <cell r="AU62">
            <v>0</v>
          </cell>
        </row>
        <row r="63">
          <cell r="I63">
            <v>0</v>
          </cell>
          <cell r="Q63">
            <v>0</v>
          </cell>
          <cell r="R63">
            <v>0</v>
          </cell>
          <cell r="S63">
            <v>0</v>
          </cell>
          <cell r="U63">
            <v>0</v>
          </cell>
          <cell r="V63">
            <v>0</v>
          </cell>
          <cell r="W63">
            <v>0</v>
          </cell>
          <cell r="Z63">
            <v>0</v>
          </cell>
          <cell r="AF63">
            <v>0</v>
          </cell>
          <cell r="AH63">
            <v>0</v>
          </cell>
          <cell r="AI63">
            <v>0</v>
          </cell>
          <cell r="AU63">
            <v>0</v>
          </cell>
        </row>
        <row r="64">
          <cell r="I64">
            <v>0</v>
          </cell>
          <cell r="Q64">
            <v>0</v>
          </cell>
          <cell r="R64">
            <v>0</v>
          </cell>
          <cell r="S64">
            <v>0</v>
          </cell>
          <cell r="U64">
            <v>0</v>
          </cell>
          <cell r="V64">
            <v>0</v>
          </cell>
          <cell r="W64">
            <v>0</v>
          </cell>
          <cell r="Z64">
            <v>0</v>
          </cell>
          <cell r="AF64">
            <v>0</v>
          </cell>
          <cell r="AH64">
            <v>0</v>
          </cell>
          <cell r="AI64">
            <v>0</v>
          </cell>
          <cell r="AU64">
            <v>0</v>
          </cell>
        </row>
        <row r="65">
          <cell r="I65">
            <v>0</v>
          </cell>
          <cell r="Q65">
            <v>0</v>
          </cell>
          <cell r="R65">
            <v>0</v>
          </cell>
          <cell r="S65">
            <v>0</v>
          </cell>
          <cell r="U65">
            <v>0</v>
          </cell>
          <cell r="V65">
            <v>0</v>
          </cell>
          <cell r="W65">
            <v>0</v>
          </cell>
          <cell r="Z65">
            <v>0</v>
          </cell>
          <cell r="AF65">
            <v>0</v>
          </cell>
          <cell r="AH65">
            <v>0</v>
          </cell>
          <cell r="AI65">
            <v>0</v>
          </cell>
          <cell r="AU65">
            <v>0</v>
          </cell>
        </row>
        <row r="66">
          <cell r="I66">
            <v>0</v>
          </cell>
          <cell r="Q66">
            <v>0</v>
          </cell>
          <cell r="R66">
            <v>0</v>
          </cell>
          <cell r="S66">
            <v>0</v>
          </cell>
          <cell r="U66">
            <v>0</v>
          </cell>
          <cell r="V66">
            <v>0</v>
          </cell>
          <cell r="W66">
            <v>0</v>
          </cell>
          <cell r="Z66">
            <v>0</v>
          </cell>
          <cell r="AF66">
            <v>0</v>
          </cell>
          <cell r="AH66">
            <v>0</v>
          </cell>
          <cell r="AI66">
            <v>0</v>
          </cell>
          <cell r="AU66">
            <v>0</v>
          </cell>
        </row>
        <row r="67">
          <cell r="I67">
            <v>0</v>
          </cell>
          <cell r="Q67">
            <v>0</v>
          </cell>
          <cell r="R67">
            <v>0</v>
          </cell>
          <cell r="S67">
            <v>0</v>
          </cell>
          <cell r="U67">
            <v>0</v>
          </cell>
          <cell r="V67">
            <v>0</v>
          </cell>
          <cell r="W67">
            <v>0</v>
          </cell>
          <cell r="Z67">
            <v>0</v>
          </cell>
          <cell r="AF67">
            <v>0</v>
          </cell>
          <cell r="AH67">
            <v>0</v>
          </cell>
          <cell r="AI67">
            <v>0</v>
          </cell>
          <cell r="AU67">
            <v>0</v>
          </cell>
        </row>
        <row r="68">
          <cell r="I68">
            <v>0</v>
          </cell>
          <cell r="Q68">
            <v>0</v>
          </cell>
          <cell r="R68">
            <v>0</v>
          </cell>
          <cell r="S68">
            <v>0</v>
          </cell>
          <cell r="U68">
            <v>0</v>
          </cell>
          <cell r="V68">
            <v>0</v>
          </cell>
          <cell r="W68">
            <v>0</v>
          </cell>
          <cell r="Z68">
            <v>0</v>
          </cell>
          <cell r="AF68">
            <v>0</v>
          </cell>
          <cell r="AH68">
            <v>0</v>
          </cell>
          <cell r="AI68">
            <v>0</v>
          </cell>
          <cell r="AU68">
            <v>0</v>
          </cell>
        </row>
        <row r="69">
          <cell r="I69">
            <v>10.18</v>
          </cell>
          <cell r="Q69">
            <v>0</v>
          </cell>
          <cell r="R69">
            <v>0</v>
          </cell>
          <cell r="S69">
            <v>0</v>
          </cell>
          <cell r="U69">
            <v>0</v>
          </cell>
          <cell r="V69">
            <v>0</v>
          </cell>
          <cell r="W69">
            <v>0</v>
          </cell>
          <cell r="Z69">
            <v>0</v>
          </cell>
          <cell r="AF69">
            <v>0</v>
          </cell>
          <cell r="AH69">
            <v>0</v>
          </cell>
          <cell r="AI69">
            <v>0</v>
          </cell>
          <cell r="AU69">
            <v>0</v>
          </cell>
        </row>
        <row r="70">
          <cell r="I70">
            <v>0</v>
          </cell>
          <cell r="Q70">
            <v>0</v>
          </cell>
          <cell r="R70">
            <v>0</v>
          </cell>
          <cell r="S70">
            <v>0</v>
          </cell>
          <cell r="U70">
            <v>0</v>
          </cell>
          <cell r="V70">
            <v>0</v>
          </cell>
          <cell r="W70">
            <v>0</v>
          </cell>
          <cell r="Z70">
            <v>0</v>
          </cell>
          <cell r="AF70">
            <v>0</v>
          </cell>
          <cell r="AH70">
            <v>0</v>
          </cell>
          <cell r="AI70">
            <v>0</v>
          </cell>
          <cell r="AU70">
            <v>0</v>
          </cell>
        </row>
        <row r="71">
          <cell r="I71">
            <v>0</v>
          </cell>
          <cell r="Q71">
            <v>0</v>
          </cell>
          <cell r="R71">
            <v>0</v>
          </cell>
          <cell r="S71">
            <v>0</v>
          </cell>
          <cell r="U71">
            <v>0</v>
          </cell>
          <cell r="V71">
            <v>0</v>
          </cell>
          <cell r="W71">
            <v>0</v>
          </cell>
          <cell r="Z71">
            <v>0</v>
          </cell>
          <cell r="AF71">
            <v>0</v>
          </cell>
          <cell r="AH71">
            <v>0</v>
          </cell>
          <cell r="AI71">
            <v>0</v>
          </cell>
          <cell r="AU71">
            <v>0</v>
          </cell>
        </row>
        <row r="72">
          <cell r="I72">
            <v>6</v>
          </cell>
          <cell r="Q72">
            <v>0</v>
          </cell>
          <cell r="R72">
            <v>0</v>
          </cell>
          <cell r="S72">
            <v>0</v>
          </cell>
          <cell r="U72">
            <v>0</v>
          </cell>
          <cell r="V72">
            <v>0</v>
          </cell>
          <cell r="W72">
            <v>0</v>
          </cell>
          <cell r="Z72">
            <v>0</v>
          </cell>
          <cell r="AF72">
            <v>0</v>
          </cell>
          <cell r="AH72">
            <v>0</v>
          </cell>
          <cell r="AI72">
            <v>0</v>
          </cell>
          <cell r="AU72">
            <v>0</v>
          </cell>
        </row>
        <row r="73">
          <cell r="I73">
            <v>0</v>
          </cell>
          <cell r="Q73">
            <v>0</v>
          </cell>
          <cell r="R73">
            <v>0</v>
          </cell>
          <cell r="S73">
            <v>0</v>
          </cell>
          <cell r="U73">
            <v>0</v>
          </cell>
          <cell r="V73">
            <v>0</v>
          </cell>
          <cell r="W73">
            <v>0</v>
          </cell>
          <cell r="Z73">
            <v>0</v>
          </cell>
          <cell r="AF73">
            <v>0</v>
          </cell>
          <cell r="AH73">
            <v>0</v>
          </cell>
          <cell r="AI73">
            <v>0</v>
          </cell>
          <cell r="AU73">
            <v>0</v>
          </cell>
        </row>
        <row r="74">
          <cell r="I74">
            <v>9</v>
          </cell>
          <cell r="Q74">
            <v>0</v>
          </cell>
          <cell r="R74">
            <v>0</v>
          </cell>
          <cell r="S74">
            <v>0</v>
          </cell>
          <cell r="U74">
            <v>0</v>
          </cell>
          <cell r="V74">
            <v>0</v>
          </cell>
          <cell r="W74">
            <v>0</v>
          </cell>
          <cell r="Z74">
            <v>0</v>
          </cell>
          <cell r="AF74">
            <v>0</v>
          </cell>
          <cell r="AH74">
            <v>0</v>
          </cell>
          <cell r="AI74">
            <v>0</v>
          </cell>
          <cell r="AU74">
            <v>0</v>
          </cell>
        </row>
        <row r="75">
          <cell r="I75">
            <v>0</v>
          </cell>
          <cell r="Q75">
            <v>0</v>
          </cell>
          <cell r="R75">
            <v>0</v>
          </cell>
          <cell r="S75">
            <v>0</v>
          </cell>
          <cell r="U75">
            <v>0</v>
          </cell>
          <cell r="V75">
            <v>0</v>
          </cell>
          <cell r="W75">
            <v>0</v>
          </cell>
          <cell r="Z75">
            <v>0</v>
          </cell>
          <cell r="AF75">
            <v>0</v>
          </cell>
          <cell r="AH75">
            <v>0</v>
          </cell>
          <cell r="AI75">
            <v>0</v>
          </cell>
          <cell r="AU75">
            <v>0</v>
          </cell>
        </row>
        <row r="76">
          <cell r="I76">
            <v>0</v>
          </cell>
          <cell r="Q76">
            <v>0</v>
          </cell>
          <cell r="R76">
            <v>0</v>
          </cell>
          <cell r="S76">
            <v>0</v>
          </cell>
          <cell r="U76">
            <v>0</v>
          </cell>
          <cell r="V76">
            <v>0</v>
          </cell>
          <cell r="W76">
            <v>0</v>
          </cell>
          <cell r="Z76">
            <v>0</v>
          </cell>
          <cell r="AF76">
            <v>0</v>
          </cell>
          <cell r="AH76">
            <v>0</v>
          </cell>
          <cell r="AI76">
            <v>0</v>
          </cell>
          <cell r="AU76">
            <v>0</v>
          </cell>
        </row>
        <row r="77">
          <cell r="I77">
            <v>0</v>
          </cell>
          <cell r="Q77">
            <v>0</v>
          </cell>
          <cell r="R77">
            <v>0</v>
          </cell>
          <cell r="S77">
            <v>0</v>
          </cell>
          <cell r="U77">
            <v>0</v>
          </cell>
          <cell r="V77">
            <v>0</v>
          </cell>
          <cell r="W77">
            <v>0</v>
          </cell>
          <cell r="Z77">
            <v>0</v>
          </cell>
          <cell r="AF77">
            <v>0</v>
          </cell>
          <cell r="AH77">
            <v>0</v>
          </cell>
          <cell r="AI77">
            <v>0</v>
          </cell>
          <cell r="AU77">
            <v>0</v>
          </cell>
        </row>
        <row r="78">
          <cell r="I78">
            <v>0</v>
          </cell>
          <cell r="Q78">
            <v>0</v>
          </cell>
          <cell r="R78">
            <v>0</v>
          </cell>
          <cell r="S78">
            <v>0</v>
          </cell>
          <cell r="U78">
            <v>0</v>
          </cell>
          <cell r="V78">
            <v>0</v>
          </cell>
          <cell r="W78">
            <v>0</v>
          </cell>
          <cell r="Z78">
            <v>0</v>
          </cell>
          <cell r="AF78">
            <v>0</v>
          </cell>
          <cell r="AH78">
            <v>0</v>
          </cell>
          <cell r="AI78">
            <v>0</v>
          </cell>
          <cell r="AU78">
            <v>0</v>
          </cell>
        </row>
        <row r="79">
          <cell r="I79">
            <v>0</v>
          </cell>
          <cell r="Q79">
            <v>8233</v>
          </cell>
          <cell r="R79">
            <v>18214</v>
          </cell>
          <cell r="S79">
            <v>0</v>
          </cell>
          <cell r="U79">
            <v>10</v>
          </cell>
          <cell r="V79">
            <v>68</v>
          </cell>
          <cell r="W79">
            <v>0</v>
          </cell>
          <cell r="Z79">
            <v>0</v>
          </cell>
          <cell r="AF79">
            <v>0</v>
          </cell>
          <cell r="AH79">
            <v>0</v>
          </cell>
          <cell r="AI79">
            <v>0</v>
          </cell>
          <cell r="AU79">
            <v>0</v>
          </cell>
        </row>
        <row r="80">
          <cell r="I80">
            <v>0</v>
          </cell>
          <cell r="Q80">
            <v>0</v>
          </cell>
          <cell r="R80">
            <v>0</v>
          </cell>
          <cell r="S80">
            <v>0</v>
          </cell>
          <cell r="U80">
            <v>0</v>
          </cell>
          <cell r="V80">
            <v>0</v>
          </cell>
          <cell r="W80">
            <v>0</v>
          </cell>
          <cell r="Z80">
            <v>0</v>
          </cell>
          <cell r="AF80">
            <v>0</v>
          </cell>
          <cell r="AH80">
            <v>0</v>
          </cell>
          <cell r="AI80">
            <v>0</v>
          </cell>
          <cell r="AU80">
            <v>0</v>
          </cell>
        </row>
        <row r="81">
          <cell r="I81">
            <v>0</v>
          </cell>
          <cell r="Q81">
            <v>0</v>
          </cell>
          <cell r="R81">
            <v>0</v>
          </cell>
          <cell r="S81">
            <v>0</v>
          </cell>
          <cell r="U81">
            <v>0</v>
          </cell>
          <cell r="V81">
            <v>0</v>
          </cell>
          <cell r="W81">
            <v>0</v>
          </cell>
          <cell r="Z81">
            <v>0</v>
          </cell>
          <cell r="AF81">
            <v>0</v>
          </cell>
          <cell r="AH81">
            <v>0</v>
          </cell>
          <cell r="AI81">
            <v>0</v>
          </cell>
          <cell r="AU81">
            <v>0</v>
          </cell>
        </row>
        <row r="82">
          <cell r="I82">
            <v>0</v>
          </cell>
          <cell r="Q82">
            <v>0</v>
          </cell>
          <cell r="R82">
            <v>0</v>
          </cell>
          <cell r="S82">
            <v>0</v>
          </cell>
          <cell r="U82">
            <v>0</v>
          </cell>
          <cell r="V82">
            <v>0</v>
          </cell>
          <cell r="W82">
            <v>0</v>
          </cell>
          <cell r="Z82">
            <v>0</v>
          </cell>
          <cell r="AF82">
            <v>0</v>
          </cell>
          <cell r="AH82">
            <v>0</v>
          </cell>
          <cell r="AI82">
            <v>0</v>
          </cell>
          <cell r="AU82">
            <v>0</v>
          </cell>
        </row>
        <row r="83">
          <cell r="I83">
            <v>0</v>
          </cell>
          <cell r="Q83">
            <v>0</v>
          </cell>
          <cell r="R83">
            <v>0</v>
          </cell>
          <cell r="S83">
            <v>0</v>
          </cell>
          <cell r="U83">
            <v>0</v>
          </cell>
          <cell r="V83">
            <v>0</v>
          </cell>
          <cell r="W83">
            <v>0</v>
          </cell>
          <cell r="Z83">
            <v>0</v>
          </cell>
          <cell r="AF83">
            <v>0</v>
          </cell>
          <cell r="AH83">
            <v>0</v>
          </cell>
          <cell r="AI83">
            <v>0</v>
          </cell>
          <cell r="AU83">
            <v>0</v>
          </cell>
        </row>
        <row r="84">
          <cell r="I84">
            <v>10.5</v>
          </cell>
          <cell r="Q84">
            <v>0</v>
          </cell>
          <cell r="R84">
            <v>0</v>
          </cell>
          <cell r="S84">
            <v>0</v>
          </cell>
          <cell r="U84">
            <v>0</v>
          </cell>
          <cell r="V84">
            <v>0</v>
          </cell>
          <cell r="W84">
            <v>0</v>
          </cell>
          <cell r="Z84">
            <v>0</v>
          </cell>
          <cell r="AF84">
            <v>0</v>
          </cell>
          <cell r="AH84">
            <v>0</v>
          </cell>
          <cell r="AI84">
            <v>0</v>
          </cell>
          <cell r="AU84">
            <v>0</v>
          </cell>
        </row>
        <row r="85">
          <cell r="I85">
            <v>15</v>
          </cell>
          <cell r="Q85">
            <v>3736</v>
          </cell>
          <cell r="R85">
            <v>11004</v>
          </cell>
          <cell r="S85">
            <v>0</v>
          </cell>
          <cell r="U85">
            <v>8</v>
          </cell>
          <cell r="V85">
            <v>50</v>
          </cell>
          <cell r="W85">
            <v>0</v>
          </cell>
          <cell r="Z85">
            <v>0</v>
          </cell>
          <cell r="AF85">
            <v>0</v>
          </cell>
          <cell r="AH85">
            <v>0</v>
          </cell>
          <cell r="AI85">
            <v>0</v>
          </cell>
          <cell r="AU85">
            <v>0</v>
          </cell>
        </row>
        <row r="86">
          <cell r="I86">
            <v>0</v>
          </cell>
          <cell r="Q86">
            <v>0</v>
          </cell>
          <cell r="R86">
            <v>0</v>
          </cell>
          <cell r="S86">
            <v>0</v>
          </cell>
          <cell r="U86">
            <v>0</v>
          </cell>
          <cell r="V86">
            <v>0</v>
          </cell>
          <cell r="W86">
            <v>0</v>
          </cell>
          <cell r="Z86">
            <v>0</v>
          </cell>
          <cell r="AF86">
            <v>0</v>
          </cell>
          <cell r="AH86">
            <v>0</v>
          </cell>
          <cell r="AI86">
            <v>0</v>
          </cell>
          <cell r="AU86">
            <v>0</v>
          </cell>
        </row>
        <row r="87">
          <cell r="I87">
            <v>0</v>
          </cell>
          <cell r="Q87">
            <v>0</v>
          </cell>
          <cell r="R87">
            <v>0</v>
          </cell>
          <cell r="S87">
            <v>0</v>
          </cell>
          <cell r="U87">
            <v>0</v>
          </cell>
          <cell r="V87">
            <v>0</v>
          </cell>
          <cell r="W87">
            <v>0</v>
          </cell>
          <cell r="Z87">
            <v>0</v>
          </cell>
          <cell r="AF87">
            <v>0</v>
          </cell>
          <cell r="AH87">
            <v>0</v>
          </cell>
          <cell r="AI87">
            <v>0</v>
          </cell>
          <cell r="AU87">
            <v>0</v>
          </cell>
        </row>
        <row r="88">
          <cell r="I88">
            <v>0</v>
          </cell>
          <cell r="Q88">
            <v>0</v>
          </cell>
          <cell r="R88">
            <v>0</v>
          </cell>
          <cell r="S88">
            <v>0</v>
          </cell>
          <cell r="U88">
            <v>0</v>
          </cell>
          <cell r="V88">
            <v>0</v>
          </cell>
          <cell r="W88">
            <v>0</v>
          </cell>
          <cell r="Z88">
            <v>0</v>
          </cell>
          <cell r="AF88">
            <v>0</v>
          </cell>
          <cell r="AH88">
            <v>0</v>
          </cell>
          <cell r="AI88">
            <v>0</v>
          </cell>
          <cell r="AU88">
            <v>0</v>
          </cell>
        </row>
        <row r="89">
          <cell r="I89">
            <v>0</v>
          </cell>
          <cell r="Q89">
            <v>0</v>
          </cell>
          <cell r="R89">
            <v>0</v>
          </cell>
          <cell r="S89">
            <v>0</v>
          </cell>
          <cell r="U89">
            <v>0</v>
          </cell>
          <cell r="V89">
            <v>0</v>
          </cell>
          <cell r="W89">
            <v>0</v>
          </cell>
          <cell r="Z89">
            <v>0</v>
          </cell>
          <cell r="AF89">
            <v>0</v>
          </cell>
          <cell r="AH89">
            <v>0</v>
          </cell>
          <cell r="AI89">
            <v>0</v>
          </cell>
          <cell r="AU89">
            <v>0</v>
          </cell>
        </row>
        <row r="90">
          <cell r="I90">
            <v>0</v>
          </cell>
          <cell r="Q90">
            <v>0</v>
          </cell>
          <cell r="R90">
            <v>0</v>
          </cell>
          <cell r="S90">
            <v>0</v>
          </cell>
          <cell r="U90">
            <v>0</v>
          </cell>
          <cell r="V90">
            <v>0</v>
          </cell>
          <cell r="W90">
            <v>0</v>
          </cell>
          <cell r="Z90">
            <v>0</v>
          </cell>
          <cell r="AF90">
            <v>0</v>
          </cell>
          <cell r="AH90">
            <v>0</v>
          </cell>
          <cell r="AI90">
            <v>0</v>
          </cell>
          <cell r="AU90">
            <v>0</v>
          </cell>
        </row>
        <row r="91">
          <cell r="I91">
            <v>0</v>
          </cell>
          <cell r="Q91">
            <v>0</v>
          </cell>
          <cell r="R91">
            <v>0</v>
          </cell>
          <cell r="S91">
            <v>0</v>
          </cell>
          <cell r="U91">
            <v>0</v>
          </cell>
          <cell r="V91">
            <v>0</v>
          </cell>
          <cell r="W91">
            <v>0</v>
          </cell>
          <cell r="Z91">
            <v>0</v>
          </cell>
          <cell r="AF91">
            <v>0</v>
          </cell>
          <cell r="AH91">
            <v>0</v>
          </cell>
          <cell r="AI91">
            <v>0</v>
          </cell>
          <cell r="AU91">
            <v>0</v>
          </cell>
        </row>
        <row r="92">
          <cell r="I92">
            <v>0</v>
          </cell>
          <cell r="Q92">
            <v>0</v>
          </cell>
          <cell r="R92">
            <v>0</v>
          </cell>
          <cell r="S92">
            <v>0</v>
          </cell>
          <cell r="U92">
            <v>0</v>
          </cell>
          <cell r="V92">
            <v>0</v>
          </cell>
          <cell r="W92">
            <v>0</v>
          </cell>
          <cell r="Z92">
            <v>0</v>
          </cell>
          <cell r="AF92">
            <v>0</v>
          </cell>
          <cell r="AH92">
            <v>0</v>
          </cell>
          <cell r="AI92">
            <v>0</v>
          </cell>
          <cell r="AU92">
            <v>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aw_graphs"/>
      <sheetName val="ira_wkly"/>
      <sheetName val="ira_mnthly"/>
      <sheetName val="pd_manp_wkly"/>
      <sheetName val="pd_manp_mnthly"/>
      <sheetName val="total_intl"/>
      <sheetName val="uk"/>
      <sheetName val="fr"/>
      <sheetName val="de"/>
      <sheetName val="jp"/>
      <sheetName val="week"/>
      <sheetName val=""/>
      <sheetName val="intl_productivity"/>
      <sheetName val="Controls"/>
      <sheetName val="Data_RE_CAR"/>
      <sheetName val="Mapping"/>
      <sheetName val="R&amp;O Forecast Data"/>
      <sheetName val="Data_RE_R&amp;O"/>
    </sheetNames>
    <sheetDataSet>
      <sheetData sheetId="0" refreshError="1"/>
      <sheetData sheetId="1" refreshError="1"/>
      <sheetData sheetId="2" refreshError="1"/>
      <sheetData sheetId="3" refreshError="1"/>
      <sheetData sheetId="4" refreshError="1"/>
      <sheetData sheetId="5" refreshError="1">
        <row r="5">
          <cell r="A5" t="str">
            <v>Week Beginning</v>
          </cell>
          <cell r="B5" t="str">
            <v>Recordables</v>
          </cell>
          <cell r="C5" t="str">
            <v>Units Shipped</v>
          </cell>
          <cell r="D5" t="str">
            <v>Units Received</v>
          </cell>
          <cell r="E5" t="str">
            <v>D Returns</v>
          </cell>
          <cell r="F5" t="str">
            <v>Throughput Units</v>
          </cell>
          <cell r="G5" t="str">
            <v>Labor Hrs</v>
          </cell>
          <cell r="H5" t="str">
            <v>Units Ship Product.</v>
          </cell>
          <cell r="I5" t="str">
            <v>Throughput Product.</v>
          </cell>
          <cell r="J5" t="str">
            <v>Recordable Rate</v>
          </cell>
          <cell r="K5" t="str">
            <v>4 Week Rolling Recordable Rate</v>
          </cell>
        </row>
        <row r="6">
          <cell r="A6">
            <v>36891</v>
          </cell>
          <cell r="B6">
            <v>0</v>
          </cell>
          <cell r="C6">
            <v>123515</v>
          </cell>
          <cell r="D6">
            <v>11850</v>
          </cell>
          <cell r="E6">
            <v>0</v>
          </cell>
          <cell r="F6">
            <v>415104</v>
          </cell>
          <cell r="G6">
            <v>8212</v>
          </cell>
          <cell r="H6">
            <v>15.040793960058451</v>
          </cell>
          <cell r="I6">
            <v>50.54846566000974</v>
          </cell>
          <cell r="J6">
            <v>0</v>
          </cell>
        </row>
        <row r="7">
          <cell r="A7">
            <v>36898</v>
          </cell>
          <cell r="B7">
            <v>0</v>
          </cell>
          <cell r="C7">
            <v>253864</v>
          </cell>
          <cell r="D7">
            <v>23084</v>
          </cell>
          <cell r="E7">
            <v>0</v>
          </cell>
          <cell r="F7">
            <v>743970</v>
          </cell>
          <cell r="G7">
            <v>16778</v>
          </cell>
          <cell r="H7">
            <v>15.130766479914174</v>
          </cell>
          <cell r="I7">
            <v>44.341995470258674</v>
          </cell>
          <cell r="J7">
            <v>0</v>
          </cell>
        </row>
        <row r="8">
          <cell r="A8">
            <v>36905</v>
          </cell>
          <cell r="B8">
            <v>0</v>
          </cell>
          <cell r="C8">
            <v>273776</v>
          </cell>
          <cell r="D8">
            <v>17517</v>
          </cell>
          <cell r="E8">
            <v>0</v>
          </cell>
          <cell r="F8">
            <v>567579</v>
          </cell>
          <cell r="G8">
            <v>20946</v>
          </cell>
          <cell r="H8">
            <v>13.070562398548649</v>
          </cell>
          <cell r="I8">
            <v>27.09725007161272</v>
          </cell>
          <cell r="J8">
            <v>0</v>
          </cell>
        </row>
        <row r="9">
          <cell r="A9">
            <v>36912</v>
          </cell>
          <cell r="B9">
            <v>2</v>
          </cell>
          <cell r="C9">
            <v>275110</v>
          </cell>
          <cell r="D9">
            <v>22600</v>
          </cell>
          <cell r="E9">
            <v>0</v>
          </cell>
          <cell r="F9">
            <v>641745</v>
          </cell>
          <cell r="G9">
            <v>21474.5</v>
          </cell>
          <cell r="H9">
            <v>12.811008405317935</v>
          </cell>
          <cell r="I9">
            <v>29.884048522666419</v>
          </cell>
          <cell r="J9">
            <v>18.626743346760112</v>
          </cell>
          <cell r="K9">
            <v>5.9337936968276459</v>
          </cell>
        </row>
        <row r="10">
          <cell r="A10">
            <v>36919</v>
          </cell>
          <cell r="B10">
            <v>0</v>
          </cell>
          <cell r="C10">
            <v>321522</v>
          </cell>
          <cell r="D10">
            <v>14375</v>
          </cell>
          <cell r="E10">
            <v>12182</v>
          </cell>
          <cell r="F10">
            <v>700839</v>
          </cell>
          <cell r="G10">
            <v>23004</v>
          </cell>
          <cell r="H10">
            <v>13.976786645800731</v>
          </cell>
          <cell r="I10">
            <v>30.465962441314552</v>
          </cell>
          <cell r="J10">
            <v>0</v>
          </cell>
          <cell r="K10">
            <v>4.866032054986162</v>
          </cell>
        </row>
        <row r="11">
          <cell r="A11">
            <v>36926</v>
          </cell>
          <cell r="B11">
            <v>1</v>
          </cell>
          <cell r="C11">
            <v>701219</v>
          </cell>
          <cell r="D11">
            <v>393438</v>
          </cell>
          <cell r="E11">
            <v>6715</v>
          </cell>
          <cell r="F11">
            <v>1473093</v>
          </cell>
          <cell r="G11">
            <v>40174.69</v>
          </cell>
          <cell r="H11">
            <v>17.454247935702799</v>
          </cell>
          <cell r="I11">
            <v>36.667190213539918</v>
          </cell>
          <cell r="J11">
            <v>4.9782586996937619</v>
          </cell>
          <cell r="K11">
            <v>5.681861764280578</v>
          </cell>
        </row>
        <row r="12">
          <cell r="A12">
            <v>36933</v>
          </cell>
          <cell r="B12">
            <v>0</v>
          </cell>
          <cell r="C12">
            <v>773732</v>
          </cell>
          <cell r="D12">
            <v>424205</v>
          </cell>
          <cell r="E12">
            <v>4367</v>
          </cell>
          <cell r="F12">
            <v>1527109</v>
          </cell>
          <cell r="G12">
            <v>41574.400000000001</v>
          </cell>
          <cell r="H12">
            <v>18.610779710591132</v>
          </cell>
          <cell r="I12">
            <v>36.731955241687189</v>
          </cell>
          <cell r="J12">
            <v>0</v>
          </cell>
          <cell r="K12">
            <v>4.7533189851759037</v>
          </cell>
        </row>
        <row r="13">
          <cell r="A13">
            <v>36940</v>
          </cell>
          <cell r="B13">
            <v>0</v>
          </cell>
          <cell r="C13">
            <v>661501</v>
          </cell>
          <cell r="D13">
            <v>466767</v>
          </cell>
          <cell r="E13">
            <v>10672</v>
          </cell>
          <cell r="F13">
            <v>1470536</v>
          </cell>
          <cell r="G13">
            <v>37309.47</v>
          </cell>
          <cell r="H13">
            <v>17.73010980858211</v>
          </cell>
          <cell r="I13">
            <v>39.414550782951352</v>
          </cell>
          <cell r="J13">
            <v>0</v>
          </cell>
          <cell r="K13">
            <v>1.4078304656765301</v>
          </cell>
        </row>
        <row r="14">
          <cell r="A14">
            <v>36947</v>
          </cell>
          <cell r="B14">
            <v>0</v>
          </cell>
          <cell r="C14">
            <v>651747</v>
          </cell>
          <cell r="D14">
            <v>429068</v>
          </cell>
          <cell r="E14">
            <v>2097</v>
          </cell>
          <cell r="F14">
            <v>1382232</v>
          </cell>
          <cell r="G14">
            <v>33772.6</v>
          </cell>
          <cell r="H14">
            <v>19.29809964290579</v>
          </cell>
          <cell r="I14">
            <v>40.927615877960243</v>
          </cell>
          <cell r="J14">
            <v>0</v>
          </cell>
          <cell r="K14">
            <v>1.3086336582147253</v>
          </cell>
        </row>
        <row r="15">
          <cell r="A15">
            <v>36954</v>
          </cell>
          <cell r="B15">
            <v>1</v>
          </cell>
          <cell r="C15">
            <v>672615</v>
          </cell>
          <cell r="D15">
            <v>405151</v>
          </cell>
          <cell r="E15">
            <v>42430</v>
          </cell>
          <cell r="F15">
            <v>1391083</v>
          </cell>
          <cell r="G15">
            <v>33374.71</v>
          </cell>
          <cell r="H15">
            <v>20.153433542943144</v>
          </cell>
          <cell r="I15">
            <v>41.68075168293597</v>
          </cell>
          <cell r="J15">
            <v>5.9925614334926056</v>
          </cell>
          <cell r="K15">
            <v>1.3695705259657562</v>
          </cell>
        </row>
        <row r="16">
          <cell r="A16">
            <v>36961</v>
          </cell>
          <cell r="B16">
            <v>1</v>
          </cell>
          <cell r="C16">
            <v>668657</v>
          </cell>
          <cell r="D16">
            <v>397727</v>
          </cell>
          <cell r="E16">
            <v>33723</v>
          </cell>
          <cell r="F16">
            <v>1407823</v>
          </cell>
          <cell r="G16">
            <v>34599.579999999994</v>
          </cell>
          <cell r="H16">
            <v>19.32558140879167</v>
          </cell>
          <cell r="I16">
            <v>40.689019924519322</v>
          </cell>
          <cell r="J16">
            <v>5.7804169877206615</v>
          </cell>
          <cell r="K16">
            <v>2.8765315013279511</v>
          </cell>
        </row>
        <row r="17">
          <cell r="A17">
            <v>36968</v>
          </cell>
          <cell r="B17">
            <v>0</v>
          </cell>
          <cell r="C17">
            <v>672601</v>
          </cell>
          <cell r="D17">
            <v>343305</v>
          </cell>
          <cell r="E17">
            <v>1149</v>
          </cell>
          <cell r="F17">
            <v>1320191</v>
          </cell>
          <cell r="G17">
            <v>34716.04</v>
          </cell>
          <cell r="H17">
            <v>19.374358365758305</v>
          </cell>
          <cell r="I17">
            <v>38.028271657712111</v>
          </cell>
          <cell r="J17">
            <v>0</v>
          </cell>
          <cell r="K17">
            <v>2.9311989710319133</v>
          </cell>
        </row>
        <row r="18">
          <cell r="A18">
            <v>36975</v>
          </cell>
          <cell r="B18">
            <v>1</v>
          </cell>
          <cell r="C18">
            <v>641447</v>
          </cell>
          <cell r="D18">
            <v>400715</v>
          </cell>
          <cell r="E18">
            <v>6011</v>
          </cell>
          <cell r="F18">
            <v>1407889</v>
          </cell>
          <cell r="G18">
            <v>31856.14</v>
          </cell>
          <cell r="H18">
            <v>20.135741492848787</v>
          </cell>
          <cell r="I18">
            <v>44.195216369591549</v>
          </cell>
          <cell r="J18">
            <v>6.2782245432120778</v>
          </cell>
          <cell r="K18">
            <v>4.459425802847151</v>
          </cell>
        </row>
        <row r="19">
          <cell r="A19">
            <v>36982</v>
          </cell>
          <cell r="B19">
            <v>2</v>
          </cell>
          <cell r="C19">
            <v>622305</v>
          </cell>
          <cell r="D19">
            <v>410157</v>
          </cell>
          <cell r="E19">
            <v>14764</v>
          </cell>
          <cell r="F19">
            <v>1448936</v>
          </cell>
          <cell r="G19">
            <v>32583.78</v>
          </cell>
          <cell r="H19">
            <v>19.098612868120274</v>
          </cell>
          <cell r="I19">
            <v>44.468014453817204</v>
          </cell>
          <cell r="J19">
            <v>12.276046548313303</v>
          </cell>
          <cell r="K19">
            <v>5.9810606723280406</v>
          </cell>
        </row>
        <row r="20">
          <cell r="A20">
            <v>36989</v>
          </cell>
          <cell r="B20">
            <v>0</v>
          </cell>
          <cell r="C20">
            <v>643428</v>
          </cell>
          <cell r="D20">
            <v>330643</v>
          </cell>
          <cell r="E20">
            <v>7688</v>
          </cell>
          <cell r="F20">
            <v>1241632</v>
          </cell>
          <cell r="G20">
            <v>30438.080000000002</v>
          </cell>
          <cell r="H20">
            <v>21.138915463787466</v>
          </cell>
          <cell r="I20">
            <v>40.792060471619756</v>
          </cell>
          <cell r="J20">
            <v>0</v>
          </cell>
          <cell r="K20">
            <v>4.6298425452281604</v>
          </cell>
        </row>
        <row r="21">
          <cell r="A21">
            <v>36996</v>
          </cell>
          <cell r="B21">
            <v>0</v>
          </cell>
          <cell r="C21">
            <v>588770</v>
          </cell>
          <cell r="D21">
            <v>337643</v>
          </cell>
          <cell r="E21">
            <v>4804</v>
          </cell>
          <cell r="F21">
            <v>1174140</v>
          </cell>
          <cell r="G21">
            <v>28392.46</v>
          </cell>
          <cell r="H21">
            <v>20.736843514087894</v>
          </cell>
          <cell r="I21">
            <v>41.353936925507689</v>
          </cell>
          <cell r="J21">
            <v>0</v>
          </cell>
          <cell r="K21">
            <v>4.8673461590067895</v>
          </cell>
        </row>
        <row r="22">
          <cell r="A22">
            <v>37003</v>
          </cell>
          <cell r="B22">
            <v>1</v>
          </cell>
          <cell r="C22">
            <v>657578</v>
          </cell>
          <cell r="D22">
            <v>407379</v>
          </cell>
          <cell r="E22">
            <v>878</v>
          </cell>
          <cell r="F22">
            <v>1330135</v>
          </cell>
          <cell r="G22">
            <v>30082.080000000002</v>
          </cell>
          <cell r="H22">
            <v>21.85945918633286</v>
          </cell>
          <cell r="I22">
            <v>44.216856015275539</v>
          </cell>
          <cell r="J22">
            <v>6.6484764351401227</v>
          </cell>
          <cell r="K22">
            <v>4.9384179284324468</v>
          </cell>
        </row>
        <row r="23">
          <cell r="A23">
            <v>37010</v>
          </cell>
          <cell r="B23">
            <v>0</v>
          </cell>
          <cell r="C23">
            <v>588662</v>
          </cell>
          <cell r="D23">
            <v>338489</v>
          </cell>
          <cell r="E23">
            <v>4130</v>
          </cell>
          <cell r="F23">
            <v>1176930</v>
          </cell>
          <cell r="G23">
            <v>26202.75</v>
          </cell>
          <cell r="H23">
            <v>22.465657230634189</v>
          </cell>
          <cell r="I23">
            <v>44.916277871597444</v>
          </cell>
          <cell r="J23">
            <v>0</v>
          </cell>
          <cell r="K23">
            <v>1.7373874574698409</v>
          </cell>
        </row>
        <row r="24">
          <cell r="A24">
            <v>37017</v>
          </cell>
          <cell r="B24">
            <v>4</v>
          </cell>
          <cell r="C24">
            <v>625878</v>
          </cell>
          <cell r="D24">
            <v>401231</v>
          </cell>
          <cell r="E24">
            <v>10387</v>
          </cell>
          <cell r="F24">
            <v>1298402</v>
          </cell>
          <cell r="G24">
            <v>29117.95</v>
          </cell>
          <cell r="H24">
            <v>21.494576369558981</v>
          </cell>
          <cell r="I24">
            <v>44.591119910570626</v>
          </cell>
          <cell r="J24">
            <v>27.474461629338602</v>
          </cell>
          <cell r="K24">
            <v>8.7877137918949852</v>
          </cell>
        </row>
        <row r="25">
          <cell r="A25">
            <v>37024</v>
          </cell>
          <cell r="B25">
            <v>0</v>
          </cell>
          <cell r="C25">
            <v>601082</v>
          </cell>
          <cell r="D25">
            <v>377395</v>
          </cell>
          <cell r="E25">
            <v>6022</v>
          </cell>
          <cell r="F25">
            <v>1217668</v>
          </cell>
          <cell r="G25">
            <v>28694.5</v>
          </cell>
          <cell r="H25">
            <v>20.947638049103485</v>
          </cell>
          <cell r="I25">
            <v>42.435588701667569</v>
          </cell>
          <cell r="J25">
            <v>0</v>
          </cell>
          <cell r="K25">
            <v>8.7644508265227703</v>
          </cell>
        </row>
        <row r="26">
          <cell r="A26">
            <v>37031</v>
          </cell>
          <cell r="B26">
            <v>0</v>
          </cell>
          <cell r="C26">
            <v>567934</v>
          </cell>
          <cell r="D26">
            <v>322242</v>
          </cell>
          <cell r="E26">
            <v>2299</v>
          </cell>
          <cell r="F26">
            <v>1171917</v>
          </cell>
          <cell r="G26">
            <v>26402.5</v>
          </cell>
          <cell r="H26">
            <v>21.510614525139665</v>
          </cell>
          <cell r="I26">
            <v>44.386592178770947</v>
          </cell>
          <cell r="J26">
            <v>0</v>
          </cell>
          <cell r="K26">
            <v>7.24521521458969</v>
          </cell>
        </row>
        <row r="27">
          <cell r="A27">
            <v>37038</v>
          </cell>
          <cell r="B27">
            <v>1</v>
          </cell>
          <cell r="C27">
            <v>603762</v>
          </cell>
          <cell r="D27">
            <v>558719</v>
          </cell>
          <cell r="E27">
            <v>23512</v>
          </cell>
          <cell r="F27">
            <v>1196209</v>
          </cell>
          <cell r="G27">
            <v>30490.5</v>
          </cell>
          <cell r="H27">
            <v>19.80164313474689</v>
          </cell>
          <cell r="I27">
            <v>39.232187074662598</v>
          </cell>
          <cell r="J27">
            <v>6.5594201472589821</v>
          </cell>
          <cell r="K27">
            <v>8.7179815780331271</v>
          </cell>
        </row>
        <row r="28">
          <cell r="A28">
            <v>37045</v>
          </cell>
          <cell r="B28">
            <v>2</v>
          </cell>
          <cell r="C28">
            <v>608034</v>
          </cell>
          <cell r="D28">
            <v>549045</v>
          </cell>
          <cell r="E28">
            <v>33712</v>
          </cell>
          <cell r="F28">
            <v>1199770</v>
          </cell>
          <cell r="G28">
            <v>27150</v>
          </cell>
          <cell r="H28">
            <v>22.395359116022099</v>
          </cell>
          <cell r="I28">
            <v>44.190423572744017</v>
          </cell>
          <cell r="J28">
            <v>14.732965009208103</v>
          </cell>
          <cell r="K28">
            <v>5.3220977935469564</v>
          </cell>
        </row>
        <row r="29">
          <cell r="A29">
            <v>37052</v>
          </cell>
          <cell r="B29">
            <v>1</v>
          </cell>
          <cell r="C29">
            <v>641796</v>
          </cell>
          <cell r="D29">
            <v>566022</v>
          </cell>
          <cell r="E29">
            <v>33011</v>
          </cell>
          <cell r="F29">
            <v>1252749</v>
          </cell>
          <cell r="G29">
            <v>30947.253172758035</v>
          </cell>
          <cell r="H29">
            <v>20.738383352385998</v>
          </cell>
          <cell r="I29">
            <v>40.480135442287278</v>
          </cell>
          <cell r="J29">
            <v>6.4626091008314166</v>
          </cell>
          <cell r="K29">
            <v>6.9571113892418612</v>
          </cell>
        </row>
        <row r="30">
          <cell r="A30">
            <v>37059</v>
          </cell>
          <cell r="B30">
            <v>2</v>
          </cell>
          <cell r="C30">
            <v>715279</v>
          </cell>
          <cell r="D30">
            <v>664017</v>
          </cell>
          <cell r="E30">
            <v>58937</v>
          </cell>
          <cell r="F30">
            <v>1449489</v>
          </cell>
          <cell r="G30">
            <v>33383.5</v>
          </cell>
          <cell r="H30">
            <v>21.426123683855796</v>
          </cell>
          <cell r="I30">
            <v>43.419323917504158</v>
          </cell>
          <cell r="J30">
            <v>11.98196713945512</v>
          </cell>
          <cell r="K30">
            <v>9.8383837895011226</v>
          </cell>
        </row>
        <row r="31">
          <cell r="A31">
            <v>37066</v>
          </cell>
          <cell r="B31">
            <v>2</v>
          </cell>
          <cell r="C31">
            <v>681611</v>
          </cell>
          <cell r="D31">
            <v>593327</v>
          </cell>
          <cell r="E31">
            <v>41778</v>
          </cell>
          <cell r="F31">
            <v>1326805</v>
          </cell>
          <cell r="G31">
            <v>32222.504836375301</v>
          </cell>
          <cell r="H31">
            <v>21.153259296916726</v>
          </cell>
          <cell r="I31">
            <v>41.176345747714748</v>
          </cell>
          <cell r="J31">
            <v>12.413684225704531</v>
          </cell>
          <cell r="K31">
            <v>11.317406045171699</v>
          </cell>
        </row>
        <row r="32">
          <cell r="A32">
            <v>37073</v>
          </cell>
          <cell r="B32">
            <v>0</v>
          </cell>
          <cell r="C32">
            <v>571320</v>
          </cell>
          <cell r="D32">
            <v>621909</v>
          </cell>
          <cell r="E32">
            <v>16759</v>
          </cell>
          <cell r="F32">
            <v>1220542</v>
          </cell>
          <cell r="G32">
            <v>29782</v>
          </cell>
          <cell r="H32">
            <v>19.183399368746223</v>
          </cell>
          <cell r="I32">
            <v>40.982539789134378</v>
          </cell>
          <cell r="J32">
            <v>0</v>
          </cell>
          <cell r="K32">
            <v>7.9154466912768369</v>
          </cell>
        </row>
        <row r="33">
          <cell r="A33">
            <v>37080</v>
          </cell>
          <cell r="B33">
            <v>0</v>
          </cell>
          <cell r="C33">
            <v>644497</v>
          </cell>
          <cell r="D33">
            <v>702548</v>
          </cell>
          <cell r="E33">
            <v>8868</v>
          </cell>
          <cell r="F33">
            <v>1366756</v>
          </cell>
          <cell r="G33">
            <v>32853</v>
          </cell>
          <cell r="H33">
            <v>19.617599610385657</v>
          </cell>
          <cell r="I33">
            <v>41.602167229781145</v>
          </cell>
          <cell r="J33">
            <v>0</v>
          </cell>
          <cell r="K33">
            <v>6.2382543011163429</v>
          </cell>
        </row>
        <row r="34">
          <cell r="A34">
            <v>37087</v>
          </cell>
          <cell r="B34">
            <v>2</v>
          </cell>
          <cell r="C34">
            <v>667635</v>
          </cell>
          <cell r="D34">
            <v>591939</v>
          </cell>
          <cell r="E34">
            <v>23598</v>
          </cell>
          <cell r="F34">
            <v>1294384</v>
          </cell>
          <cell r="G34">
            <v>31384</v>
          </cell>
          <cell r="H34">
            <v>21.273100943155747</v>
          </cell>
          <cell r="I34">
            <v>41.243436145806783</v>
          </cell>
          <cell r="J34">
            <v>12.74534794799898</v>
          </cell>
          <cell r="K34">
            <v>6.3370600741562733</v>
          </cell>
        </row>
        <row r="35">
          <cell r="A35">
            <v>37094</v>
          </cell>
          <cell r="B35">
            <v>2</v>
          </cell>
          <cell r="C35">
            <v>669322</v>
          </cell>
          <cell r="D35">
            <v>668744</v>
          </cell>
          <cell r="E35">
            <v>22377</v>
          </cell>
          <cell r="F35">
            <v>1371594</v>
          </cell>
          <cell r="G35">
            <v>31194</v>
          </cell>
          <cell r="H35">
            <v>21.456754504071295</v>
          </cell>
          <cell r="I35">
            <v>43.969801884977883</v>
          </cell>
          <cell r="J35">
            <v>12.822978777970123</v>
          </cell>
          <cell r="K35">
            <v>6.389112951530592</v>
          </cell>
        </row>
        <row r="36">
          <cell r="A36">
            <v>37101</v>
          </cell>
          <cell r="B36">
            <v>1</v>
          </cell>
          <cell r="C36">
            <v>603634</v>
          </cell>
          <cell r="D36">
            <v>632606</v>
          </cell>
          <cell r="E36">
            <v>10833</v>
          </cell>
          <cell r="F36">
            <v>1258148</v>
          </cell>
          <cell r="G36">
            <v>28359</v>
          </cell>
          <cell r="H36">
            <v>21.285447300680559</v>
          </cell>
          <cell r="I36">
            <v>44.365034027998163</v>
          </cell>
          <cell r="J36">
            <v>7.0524348531330441</v>
          </cell>
          <cell r="K36">
            <v>8.0781969464415546</v>
          </cell>
        </row>
        <row r="37">
          <cell r="A37">
            <v>37108</v>
          </cell>
          <cell r="B37">
            <v>0</v>
          </cell>
          <cell r="C37">
            <v>727063</v>
          </cell>
          <cell r="D37">
            <v>724887</v>
          </cell>
          <cell r="E37">
            <v>20306</v>
          </cell>
          <cell r="F37">
            <v>1481119</v>
          </cell>
          <cell r="G37">
            <v>31597</v>
          </cell>
          <cell r="H37">
            <v>23.010507326644934</v>
          </cell>
          <cell r="I37">
            <v>46.875304617526979</v>
          </cell>
          <cell r="J37">
            <v>0</v>
          </cell>
          <cell r="K37">
            <v>8.1610002121860052</v>
          </cell>
        </row>
        <row r="38">
          <cell r="A38">
            <v>37115</v>
          </cell>
          <cell r="B38">
            <v>0</v>
          </cell>
          <cell r="C38">
            <v>631081</v>
          </cell>
          <cell r="D38">
            <v>681131</v>
          </cell>
          <cell r="E38">
            <v>17595</v>
          </cell>
          <cell r="F38">
            <v>1340465</v>
          </cell>
          <cell r="G38">
            <v>28232</v>
          </cell>
          <cell r="H38">
            <v>22.353393312553131</v>
          </cell>
          <cell r="I38">
            <v>47.480341456503261</v>
          </cell>
          <cell r="J38">
            <v>0</v>
          </cell>
          <cell r="K38">
            <v>5.0258832989897977</v>
          </cell>
        </row>
        <row r="39">
          <cell r="A39">
            <v>37122</v>
          </cell>
          <cell r="B39">
            <v>2</v>
          </cell>
          <cell r="C39">
            <v>713390</v>
          </cell>
          <cell r="D39">
            <v>719909</v>
          </cell>
          <cell r="E39">
            <v>24262</v>
          </cell>
          <cell r="F39">
            <v>1468125</v>
          </cell>
          <cell r="G39">
            <v>30881.75</v>
          </cell>
          <cell r="H39">
            <v>23.100698632687589</v>
          </cell>
          <cell r="I39">
            <v>47.540213880366238</v>
          </cell>
          <cell r="J39">
            <v>12.952633837136821</v>
          </cell>
          <cell r="K39">
            <v>5.0390632381440295</v>
          </cell>
        </row>
        <row r="40">
          <cell r="A40">
            <v>37129</v>
          </cell>
          <cell r="B40">
            <v>1</v>
          </cell>
          <cell r="C40">
            <v>676315</v>
          </cell>
          <cell r="D40">
            <v>755402</v>
          </cell>
          <cell r="E40">
            <v>29838</v>
          </cell>
          <cell r="F40">
            <v>1473593</v>
          </cell>
          <cell r="G40">
            <v>31122</v>
          </cell>
          <cell r="H40">
            <v>21.731090546880022</v>
          </cell>
          <cell r="I40">
            <v>47.348917164706641</v>
          </cell>
          <cell r="J40">
            <v>6.4263222157959001</v>
          </cell>
          <cell r="K40">
            <v>4.9247841815932087</v>
          </cell>
        </row>
        <row r="41">
          <cell r="A41">
            <v>37136</v>
          </cell>
          <cell r="B41">
            <v>0</v>
          </cell>
          <cell r="C41">
            <v>763521</v>
          </cell>
          <cell r="D41">
            <v>828074</v>
          </cell>
          <cell r="E41">
            <v>21920</v>
          </cell>
          <cell r="F41">
            <v>1623632</v>
          </cell>
          <cell r="G41">
            <v>33305</v>
          </cell>
          <cell r="H41">
            <v>22.925116348896562</v>
          </cell>
          <cell r="I41">
            <v>48.750397838162435</v>
          </cell>
          <cell r="J41">
            <v>0</v>
          </cell>
          <cell r="K41">
            <v>4.8566970817321407</v>
          </cell>
        </row>
        <row r="42">
          <cell r="A42">
            <v>37143</v>
          </cell>
          <cell r="B42">
            <v>1</v>
          </cell>
          <cell r="C42">
            <v>717620</v>
          </cell>
          <cell r="D42">
            <v>764387</v>
          </cell>
          <cell r="E42">
            <v>34019</v>
          </cell>
          <cell r="F42">
            <v>1527299</v>
          </cell>
          <cell r="G42">
            <v>31582.5</v>
          </cell>
          <cell r="H42">
            <v>22.722077099659622</v>
          </cell>
          <cell r="I42">
            <v>48.359027942689778</v>
          </cell>
          <cell r="J42">
            <v>6.3326209134805671</v>
          </cell>
          <cell r="K42">
            <v>6.3046112320589485</v>
          </cell>
        </row>
        <row r="43">
          <cell r="A43">
            <v>37150</v>
          </cell>
          <cell r="B43">
            <v>1</v>
          </cell>
          <cell r="C43">
            <v>724907</v>
          </cell>
          <cell r="D43">
            <v>740993</v>
          </cell>
          <cell r="E43">
            <v>24318</v>
          </cell>
          <cell r="F43">
            <v>1500965</v>
          </cell>
          <cell r="G43">
            <v>31060.5</v>
          </cell>
          <cell r="H43">
            <v>23.338548960898891</v>
          </cell>
          <cell r="I43">
            <v>48.323916228006631</v>
          </cell>
          <cell r="J43">
            <v>6.4390463772315316</v>
          </cell>
          <cell r="K43">
            <v>4.7218068780986862</v>
          </cell>
        </row>
        <row r="44">
          <cell r="A44">
            <v>37157</v>
          </cell>
          <cell r="B44">
            <v>2</v>
          </cell>
          <cell r="C44">
            <v>770821</v>
          </cell>
          <cell r="D44">
            <v>745370</v>
          </cell>
          <cell r="E44">
            <v>35030</v>
          </cell>
          <cell r="F44">
            <v>1560834</v>
          </cell>
          <cell r="G44">
            <v>31947</v>
          </cell>
          <cell r="H44">
            <v>24.128118446176479</v>
          </cell>
          <cell r="I44">
            <v>48.85698187623251</v>
          </cell>
          <cell r="J44">
            <v>12.520737471437068</v>
          </cell>
          <cell r="K44">
            <v>6.2551311622815593</v>
          </cell>
        </row>
        <row r="45">
          <cell r="A45">
            <v>37164</v>
          </cell>
          <cell r="B45">
            <v>1</v>
          </cell>
          <cell r="C45">
            <v>759589</v>
          </cell>
          <cell r="D45">
            <v>936487</v>
          </cell>
          <cell r="E45">
            <v>53384</v>
          </cell>
          <cell r="F45">
            <v>1758636</v>
          </cell>
          <cell r="G45">
            <v>32252</v>
          </cell>
          <cell r="H45">
            <v>23.551686717102815</v>
          </cell>
          <cell r="I45">
            <v>54.527967257844473</v>
          </cell>
          <cell r="J45">
            <v>6.2011658191740047</v>
          </cell>
          <cell r="K45">
            <v>7.8838239699783985</v>
          </cell>
        </row>
        <row r="46">
          <cell r="A46">
            <v>37171</v>
          </cell>
          <cell r="B46">
            <v>1</v>
          </cell>
          <cell r="C46">
            <v>862998</v>
          </cell>
          <cell r="D46">
            <v>925950</v>
          </cell>
          <cell r="E46">
            <v>32987</v>
          </cell>
          <cell r="F46">
            <v>1834913</v>
          </cell>
          <cell r="G46">
            <v>36728</v>
          </cell>
          <cell r="H46">
            <v>23.497005009801786</v>
          </cell>
          <cell r="I46">
            <v>49.959513177956872</v>
          </cell>
          <cell r="J46">
            <v>5.4454367240252672</v>
          </cell>
          <cell r="K46">
            <v>7.5764750449853207</v>
          </cell>
        </row>
        <row r="47">
          <cell r="A47">
            <v>37178</v>
          </cell>
          <cell r="B47">
            <v>0</v>
          </cell>
          <cell r="C47">
            <v>861031</v>
          </cell>
          <cell r="D47">
            <v>926692</v>
          </cell>
          <cell r="E47">
            <v>18319</v>
          </cell>
          <cell r="F47">
            <v>1819018</v>
          </cell>
          <cell r="G47">
            <v>39405</v>
          </cell>
          <cell r="H47">
            <v>21.850805735312779</v>
          </cell>
          <cell r="I47">
            <v>46.162111407181833</v>
          </cell>
          <cell r="J47">
            <v>0</v>
          </cell>
          <cell r="K47">
            <v>5.7007667531282955</v>
          </cell>
        </row>
        <row r="48">
          <cell r="A48">
            <v>37185</v>
          </cell>
          <cell r="B48">
            <v>0</v>
          </cell>
          <cell r="C48">
            <v>897199</v>
          </cell>
          <cell r="D48">
            <v>1038059</v>
          </cell>
          <cell r="E48">
            <v>18762</v>
          </cell>
          <cell r="F48">
            <v>1970168</v>
          </cell>
          <cell r="G48">
            <v>40958</v>
          </cell>
          <cell r="H48">
            <v>21.905342057717661</v>
          </cell>
          <cell r="I48">
            <v>48.10215342546023</v>
          </cell>
          <cell r="J48">
            <v>0</v>
          </cell>
          <cell r="K48">
            <v>2.6783980501262197</v>
          </cell>
        </row>
        <row r="49">
          <cell r="A49">
            <v>37192</v>
          </cell>
          <cell r="B49">
            <v>0</v>
          </cell>
          <cell r="C49">
            <v>0</v>
          </cell>
          <cell r="D49">
            <v>0</v>
          </cell>
          <cell r="E49">
            <v>0</v>
          </cell>
          <cell r="F49">
            <v>0</v>
          </cell>
          <cell r="G49">
            <v>0</v>
          </cell>
          <cell r="H49" t="e">
            <v>#DIV/0!</v>
          </cell>
          <cell r="I49" t="e">
            <v>#DIV/0!</v>
          </cell>
          <cell r="J49" t="e">
            <v>#DIV/0!</v>
          </cell>
          <cell r="K49">
            <v>1.7080732080176957</v>
          </cell>
        </row>
        <row r="50">
          <cell r="A50">
            <v>37199</v>
          </cell>
          <cell r="B50">
            <v>0</v>
          </cell>
          <cell r="C50">
            <v>0</v>
          </cell>
          <cell r="D50">
            <v>0</v>
          </cell>
          <cell r="E50">
            <v>0</v>
          </cell>
          <cell r="F50">
            <v>0</v>
          </cell>
          <cell r="G50">
            <v>0</v>
          </cell>
          <cell r="H50" t="e">
            <v>#DIV/0!</v>
          </cell>
          <cell r="I50" t="e">
            <v>#DIV/0!</v>
          </cell>
          <cell r="J50" t="e">
            <v>#DIV/0!</v>
          </cell>
          <cell r="K50">
            <v>0</v>
          </cell>
        </row>
        <row r="51">
          <cell r="A51">
            <v>37206</v>
          </cell>
          <cell r="B51">
            <v>0</v>
          </cell>
          <cell r="C51">
            <v>0</v>
          </cell>
          <cell r="D51">
            <v>0</v>
          </cell>
          <cell r="E51">
            <v>0</v>
          </cell>
          <cell r="F51">
            <v>0</v>
          </cell>
          <cell r="G51">
            <v>0</v>
          </cell>
          <cell r="H51" t="e">
            <v>#DIV/0!</v>
          </cell>
          <cell r="I51" t="e">
            <v>#DIV/0!</v>
          </cell>
          <cell r="J51" t="e">
            <v>#DIV/0!</v>
          </cell>
          <cell r="K51">
            <v>0</v>
          </cell>
        </row>
        <row r="52">
          <cell r="A52">
            <v>37213</v>
          </cell>
          <cell r="B52">
            <v>0</v>
          </cell>
          <cell r="C52">
            <v>0</v>
          </cell>
          <cell r="D52">
            <v>0</v>
          </cell>
          <cell r="E52">
            <v>0</v>
          </cell>
          <cell r="F52">
            <v>0</v>
          </cell>
          <cell r="G52">
            <v>0</v>
          </cell>
          <cell r="H52" t="e">
            <v>#DIV/0!</v>
          </cell>
          <cell r="I52" t="e">
            <v>#DIV/0!</v>
          </cell>
          <cell r="J52" t="e">
            <v>#DIV/0!</v>
          </cell>
          <cell r="K52" t="e">
            <v>#DIV/0!</v>
          </cell>
        </row>
        <row r="53">
          <cell r="A53">
            <v>37220</v>
          </cell>
          <cell r="B53">
            <v>0</v>
          </cell>
          <cell r="C53">
            <v>0</v>
          </cell>
          <cell r="D53">
            <v>0</v>
          </cell>
          <cell r="E53">
            <v>0</v>
          </cell>
          <cell r="F53">
            <v>0</v>
          </cell>
          <cell r="G53">
            <v>0</v>
          </cell>
          <cell r="H53" t="e">
            <v>#DIV/0!</v>
          </cell>
          <cell r="I53" t="e">
            <v>#DIV/0!</v>
          </cell>
          <cell r="J53" t="e">
            <v>#DIV/0!</v>
          </cell>
          <cell r="K53" t="e">
            <v>#DIV/0!</v>
          </cell>
        </row>
        <row r="54">
          <cell r="A54">
            <v>37227</v>
          </cell>
          <cell r="B54">
            <v>0</v>
          </cell>
          <cell r="C54">
            <v>0</v>
          </cell>
          <cell r="D54">
            <v>0</v>
          </cell>
          <cell r="E54">
            <v>0</v>
          </cell>
          <cell r="F54">
            <v>0</v>
          </cell>
          <cell r="G54">
            <v>0</v>
          </cell>
          <cell r="H54" t="e">
            <v>#DIV/0!</v>
          </cell>
          <cell r="I54" t="e">
            <v>#DIV/0!</v>
          </cell>
          <cell r="J54" t="e">
            <v>#DIV/0!</v>
          </cell>
          <cell r="K54" t="e">
            <v>#DIV/0!</v>
          </cell>
        </row>
        <row r="55">
          <cell r="A55">
            <v>37234</v>
          </cell>
          <cell r="B55">
            <v>0</v>
          </cell>
          <cell r="C55">
            <v>0</v>
          </cell>
          <cell r="D55">
            <v>0</v>
          </cell>
          <cell r="E55">
            <v>0</v>
          </cell>
          <cell r="F55">
            <v>0</v>
          </cell>
          <cell r="G55">
            <v>0</v>
          </cell>
          <cell r="H55" t="e">
            <v>#DIV/0!</v>
          </cell>
          <cell r="I55" t="e">
            <v>#DIV/0!</v>
          </cell>
          <cell r="J55" t="e">
            <v>#DIV/0!</v>
          </cell>
          <cell r="K55" t="e">
            <v>#DIV/0!</v>
          </cell>
        </row>
        <row r="56">
          <cell r="A56">
            <v>37241</v>
          </cell>
          <cell r="B56">
            <v>0</v>
          </cell>
          <cell r="C56">
            <v>0</v>
          </cell>
          <cell r="D56">
            <v>0</v>
          </cell>
          <cell r="E56">
            <v>0</v>
          </cell>
          <cell r="F56">
            <v>0</v>
          </cell>
          <cell r="G56">
            <v>0</v>
          </cell>
          <cell r="H56" t="e">
            <v>#DIV/0!</v>
          </cell>
          <cell r="I56" t="e">
            <v>#DIV/0!</v>
          </cell>
          <cell r="J56" t="e">
            <v>#DIV/0!</v>
          </cell>
          <cell r="K56" t="e">
            <v>#DIV/0!</v>
          </cell>
        </row>
        <row r="57">
          <cell r="A57">
            <v>37248</v>
          </cell>
          <cell r="B57">
            <v>0</v>
          </cell>
          <cell r="C57">
            <v>0</v>
          </cell>
          <cell r="D57">
            <v>0</v>
          </cell>
          <cell r="E57">
            <v>0</v>
          </cell>
          <cell r="F57">
            <v>0</v>
          </cell>
          <cell r="G57">
            <v>0</v>
          </cell>
          <cell r="H57" t="e">
            <v>#DIV/0!</v>
          </cell>
          <cell r="I57" t="e">
            <v>#DIV/0!</v>
          </cell>
          <cell r="J57" t="e">
            <v>#DIV/0!</v>
          </cell>
          <cell r="K57" t="e">
            <v>#DIV/0!</v>
          </cell>
        </row>
        <row r="58">
          <cell r="A58">
            <v>37255</v>
          </cell>
          <cell r="B58">
            <v>0</v>
          </cell>
          <cell r="C58">
            <v>0</v>
          </cell>
          <cell r="D58">
            <v>0</v>
          </cell>
          <cell r="E58">
            <v>0</v>
          </cell>
          <cell r="F58">
            <v>0</v>
          </cell>
          <cell r="G58">
            <v>0</v>
          </cell>
          <cell r="H58" t="e">
            <v>#DIV/0!</v>
          </cell>
          <cell r="I58" t="e">
            <v>#DIV/0!</v>
          </cell>
          <cell r="J58" t="e">
            <v>#DIV/0!</v>
          </cell>
          <cell r="K58" t="e">
            <v>#DIV/0!</v>
          </cell>
        </row>
        <row r="60">
          <cell r="A60" t="str">
            <v>Month</v>
          </cell>
          <cell r="B60" t="str">
            <v>RR</v>
          </cell>
          <cell r="C60" t="str">
            <v>Units Shipped</v>
          </cell>
          <cell r="D60" t="str">
            <v>Units Received</v>
          </cell>
          <cell r="E60" t="str">
            <v>D Returns</v>
          </cell>
          <cell r="F60" t="str">
            <v>Throughput Units</v>
          </cell>
          <cell r="G60" t="str">
            <v>Labor Hrs</v>
          </cell>
          <cell r="H60" t="str">
            <v>Units Ship Product.</v>
          </cell>
          <cell r="I60" t="str">
            <v>Throughput Product.</v>
          </cell>
          <cell r="J60" t="str">
            <v>Recordable Rate</v>
          </cell>
          <cell r="K60" t="str">
            <v>YTD Recordable Rate</v>
          </cell>
        </row>
        <row r="61">
          <cell r="A61" t="str">
            <v>Jan</v>
          </cell>
          <cell r="B61">
            <v>6</v>
          </cell>
          <cell r="C61">
            <v>2167494.0000620005</v>
          </cell>
          <cell r="D61">
            <v>1474411</v>
          </cell>
          <cell r="E61">
            <v>122029</v>
          </cell>
          <cell r="F61">
            <v>4695485.000062</v>
          </cell>
          <cell r="G61">
            <v>110896</v>
          </cell>
          <cell r="H61">
            <v>19.545285673622136</v>
          </cell>
          <cell r="I61">
            <v>42.341337830598036</v>
          </cell>
          <cell r="J61">
            <v>10.820949357957005</v>
          </cell>
        </row>
        <row r="62">
          <cell r="A62" t="str">
            <v>Feb</v>
          </cell>
          <cell r="B62">
            <v>2</v>
          </cell>
          <cell r="C62">
            <v>2740308</v>
          </cell>
          <cell r="D62">
            <v>1642887</v>
          </cell>
          <cell r="E62">
            <v>66400</v>
          </cell>
          <cell r="F62">
            <v>5879502</v>
          </cell>
          <cell r="G62">
            <v>156453.5</v>
          </cell>
          <cell r="H62">
            <v>17.515159456324085</v>
          </cell>
          <cell r="I62">
            <v>37.579868778902359</v>
          </cell>
          <cell r="J62">
            <v>2.5566701927409743</v>
          </cell>
        </row>
        <row r="63">
          <cell r="A63" t="str">
            <v>Mar</v>
          </cell>
          <cell r="B63">
            <v>3</v>
          </cell>
          <cell r="C63">
            <v>3032594</v>
          </cell>
          <cell r="D63">
            <v>1457455</v>
          </cell>
          <cell r="E63">
            <v>123371</v>
          </cell>
          <cell r="F63">
            <v>6154195</v>
          </cell>
          <cell r="G63">
            <v>158829.4</v>
          </cell>
          <cell r="H63">
            <v>19.093404621562506</v>
          </cell>
          <cell r="I63">
            <v>38.74720297375675</v>
          </cell>
          <cell r="J63">
            <v>3.7776381450789338</v>
          </cell>
        </row>
        <row r="64">
          <cell r="A64" t="str">
            <v>Apr</v>
          </cell>
          <cell r="B64">
            <v>3</v>
          </cell>
          <cell r="C64">
            <v>2610956</v>
          </cell>
          <cell r="D64">
            <v>1492578</v>
          </cell>
          <cell r="E64">
            <v>56048</v>
          </cell>
          <cell r="F64">
            <v>5328388</v>
          </cell>
          <cell r="G64">
            <v>125332</v>
          </cell>
          <cell r="H64">
            <v>20.832317365078353</v>
          </cell>
          <cell r="I64">
            <v>42.514186321131078</v>
          </cell>
          <cell r="J64">
            <v>4.7872849711167138</v>
          </cell>
        </row>
        <row r="65">
          <cell r="A65" t="str">
            <v>May</v>
          </cell>
          <cell r="B65">
            <v>5</v>
          </cell>
          <cell r="C65">
            <v>2854807</v>
          </cell>
          <cell r="D65">
            <v>1807493</v>
          </cell>
          <cell r="E65">
            <v>95381</v>
          </cell>
          <cell r="F65">
            <v>5780297</v>
          </cell>
          <cell r="G65">
            <v>133475</v>
          </cell>
          <cell r="H65">
            <v>21.388327402135232</v>
          </cell>
          <cell r="I65">
            <v>43.306214646937626</v>
          </cell>
          <cell r="J65">
            <v>7.4920397078104513</v>
          </cell>
        </row>
        <row r="66">
          <cell r="A66" t="str">
            <v>Jun</v>
          </cell>
          <cell r="B66">
            <v>7</v>
          </cell>
          <cell r="C66">
            <v>2628168</v>
          </cell>
          <cell r="D66">
            <v>2346252</v>
          </cell>
          <cell r="E66">
            <v>177187</v>
          </cell>
          <cell r="F66">
            <v>5169177</v>
          </cell>
          <cell r="G66">
            <v>126789.25800913334</v>
          </cell>
          <cell r="H66">
            <v>20.728633018821505</v>
          </cell>
          <cell r="I66">
            <v>40.769833984103251</v>
          </cell>
          <cell r="J66">
            <v>11.041944893305947</v>
          </cell>
        </row>
        <row r="67">
          <cell r="A67" t="str">
            <v>Jul</v>
          </cell>
          <cell r="B67">
            <v>4</v>
          </cell>
          <cell r="C67">
            <v>2552774</v>
          </cell>
          <cell r="D67">
            <v>2585140</v>
          </cell>
          <cell r="E67">
            <v>71602</v>
          </cell>
          <cell r="F67">
            <v>5225847</v>
          </cell>
          <cell r="G67">
            <v>125213</v>
          </cell>
          <cell r="H67">
            <v>20.387451782163193</v>
          </cell>
          <cell r="I67">
            <v>41.735658438021609</v>
          </cell>
          <cell r="J67">
            <v>6.389112951530592</v>
          </cell>
        </row>
        <row r="68">
          <cell r="A68" t="str">
            <v>Aug</v>
          </cell>
          <cell r="B68">
            <v>4</v>
          </cell>
          <cell r="C68">
            <v>3351483</v>
          </cell>
          <cell r="D68">
            <v>3513935</v>
          </cell>
          <cell r="E68">
            <v>102834</v>
          </cell>
          <cell r="F68">
            <v>7021450</v>
          </cell>
          <cell r="G68">
            <v>150191.75</v>
          </cell>
          <cell r="H68">
            <v>22.314694382347898</v>
          </cell>
          <cell r="I68">
            <v>46.749904705151913</v>
          </cell>
          <cell r="J68">
            <v>5.3265242598211948</v>
          </cell>
        </row>
        <row r="69">
          <cell r="A69" t="str">
            <v>Sep</v>
          </cell>
          <cell r="B69">
            <v>4</v>
          </cell>
          <cell r="C69">
            <v>2976869</v>
          </cell>
          <cell r="D69">
            <v>3078824</v>
          </cell>
          <cell r="E69">
            <v>115287</v>
          </cell>
          <cell r="F69">
            <v>6212730</v>
          </cell>
          <cell r="G69">
            <v>127895</v>
          </cell>
          <cell r="H69">
            <v>23.275882559912429</v>
          </cell>
          <cell r="I69">
            <v>48.576801282301886</v>
          </cell>
          <cell r="J69">
            <v>6.2551311622815593</v>
          </cell>
        </row>
        <row r="70">
          <cell r="A70" t="str">
            <v>Oct</v>
          </cell>
          <cell r="B70">
            <v>2</v>
          </cell>
          <cell r="C70">
            <v>3380817</v>
          </cell>
          <cell r="D70">
            <v>3827188</v>
          </cell>
          <cell r="E70">
            <v>123452</v>
          </cell>
          <cell r="F70">
            <v>7382735</v>
          </cell>
          <cell r="G70">
            <v>149343</v>
          </cell>
          <cell r="H70">
            <v>22.637934151583938</v>
          </cell>
          <cell r="I70">
            <v>49.43475757149649</v>
          </cell>
          <cell r="J70">
            <v>2.6783980501262197</v>
          </cell>
        </row>
        <row r="71">
          <cell r="A71" t="str">
            <v>Nov</v>
          </cell>
          <cell r="B71">
            <v>1</v>
          </cell>
          <cell r="C71">
            <v>982613</v>
          </cell>
          <cell r="D71">
            <v>1172621</v>
          </cell>
          <cell r="E71">
            <v>29620</v>
          </cell>
          <cell r="F71">
            <v>2200040</v>
          </cell>
          <cell r="G71">
            <v>45127</v>
          </cell>
          <cell r="H71">
            <v>21.774392270702684</v>
          </cell>
          <cell r="I71">
            <v>48.752188268663993</v>
          </cell>
          <cell r="J71">
            <v>4.4319365346688233</v>
          </cell>
        </row>
        <row r="72">
          <cell r="A72" t="str">
            <v>Dec</v>
          </cell>
        </row>
        <row r="73">
          <cell r="A73" t="str">
            <v>YTD</v>
          </cell>
          <cell r="B73">
            <v>40</v>
          </cell>
          <cell r="C73">
            <v>28296270.000062</v>
          </cell>
          <cell r="D73">
            <v>23226163</v>
          </cell>
          <cell r="E73">
            <v>1053591</v>
          </cell>
          <cell r="F73">
            <v>58849806.000062004</v>
          </cell>
          <cell r="G73">
            <v>1364417.9080091333</v>
          </cell>
          <cell r="H73">
            <v>20.738711969377484</v>
          </cell>
          <cell r="I73">
            <v>43.131804159571374</v>
          </cell>
          <cell r="J73">
            <v>5.8633062150826367</v>
          </cell>
          <cell r="K73">
            <v>5.8633062150826367</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S"/>
      <sheetName val="Hourly"/>
      <sheetName val="New Hourly"/>
      <sheetName val="EOS"/>
      <sheetName val="FPP"/>
      <sheetName val="LP"/>
      <sheetName val="Underated"/>
      <sheetName val="2"/>
      <sheetName val="URL"/>
      <sheetName val="ALPS Roster"/>
      <sheetName val="RosterALPS"/>
      <sheetName val="PalletReceive"/>
      <sheetName val="CaseReplen"/>
      <sheetName val="PalletReplen"/>
      <sheetName val="STPBalance"/>
      <sheetName val="Derated"/>
      <sheetName val="PPR"/>
      <sheetName val="ETI"/>
      <sheetName val="STP"/>
      <sheetName val="LC"/>
      <sheetName val="Entitlement"/>
      <sheetName val="VC Performance"/>
      <sheetName val="Manager"/>
      <sheetName val="MgrRaw"/>
      <sheetName val="Robo"/>
      <sheetName val="HourlyRobo"/>
      <sheetName val="AC"/>
      <sheetName val="ALPSIB"/>
      <sheetName val="ALPSOB"/>
      <sheetName val="ALPSt"/>
      <sheetName val="ALPSv"/>
      <sheetName val="ShiftCodes"/>
      <sheetName val="R"/>
      <sheetName val="1"/>
      <sheetName val="3"/>
      <sheetName val="4"/>
      <sheetName val="5"/>
      <sheetName val="6"/>
      <sheetName val="7"/>
      <sheetName val="8"/>
      <sheetName val="9"/>
      <sheetName val="10"/>
      <sheetName val="11"/>
      <sheetName val="12"/>
      <sheetName val="Q1"/>
      <sheetName val="Q2"/>
      <sheetName val="Q3"/>
      <sheetName val="Q4"/>
      <sheetName val="9.3.2020 SMF1 SOS Hourly JA-OB"/>
    </sheetNames>
    <sheetDataSet>
      <sheetData sheetId="0"/>
      <sheetData sheetId="1" refreshError="1"/>
      <sheetData sheetId="2">
        <row r="2">
          <cell r="C2">
            <v>45007</v>
          </cell>
          <cell r="H2" t="str">
            <v>40 Week 1 in path, 75% of HC on LC impacting SIPS</v>
          </cell>
        </row>
        <row r="3">
          <cell r="C3">
            <v>12</v>
          </cell>
          <cell r="H3" t="str">
            <v>Dwelling work on sleds actively getting stowed out</v>
          </cell>
        </row>
        <row r="4">
          <cell r="H4" t="str">
            <v xml:space="preserve">SOS, first break diluting rates </v>
          </cell>
        </row>
        <row r="6">
          <cell r="C6">
            <v>14.7</v>
          </cell>
          <cell r="H6" t="str">
            <v xml:space="preserve">40 Week 1( 15 Day3+25Day4) impacting Takt time. 75% of HC on LC. Some Day1s still signed into stations while being coached </v>
          </cell>
        </row>
        <row r="7">
          <cell r="C7">
            <v>7.9</v>
          </cell>
        </row>
        <row r="8">
          <cell r="H8" t="str">
            <v>High due to lunch break and break offenders</v>
          </cell>
        </row>
        <row r="9">
          <cell r="C9">
            <v>5.6</v>
          </cell>
          <cell r="H9" t="str">
            <v>Upstaffed for stations on NW-SW</v>
          </cell>
        </row>
        <row r="10">
          <cell r="C10">
            <v>127</v>
          </cell>
          <cell r="H10" t="str">
            <v>LS on FL impacting CPH</v>
          </cell>
        </row>
      </sheetData>
      <sheetData sheetId="3">
        <row r="3">
          <cell r="H3">
            <v>0</v>
          </cell>
        </row>
        <row r="19">
          <cell r="B19" t="str">
            <v xml:space="preserve">Trained 1 PS, 1 PG </v>
          </cell>
        </row>
        <row r="24">
          <cell r="B24" t="str">
            <v>Planned HC: 365/207
Actual HC: 359/204
5 LS from OB</v>
          </cell>
        </row>
        <row r="25">
          <cell r="M25">
            <v>41643</v>
          </cell>
          <cell r="N25">
            <v>42978</v>
          </cell>
          <cell r="O25">
            <v>46895</v>
          </cell>
          <cell r="P25">
            <v>25126</v>
          </cell>
          <cell r="Q25">
            <v>30981</v>
          </cell>
          <cell r="R25">
            <v>52948</v>
          </cell>
          <cell r="S25">
            <v>39208</v>
          </cell>
          <cell r="T25">
            <v>22408</v>
          </cell>
        </row>
        <row r="26">
          <cell r="M26">
            <v>3</v>
          </cell>
          <cell r="N26">
            <v>3</v>
          </cell>
          <cell r="O26">
            <v>3</v>
          </cell>
          <cell r="P26">
            <v>0</v>
          </cell>
          <cell r="Q26">
            <v>0</v>
          </cell>
          <cell r="R26">
            <v>0</v>
          </cell>
          <cell r="S26">
            <v>0</v>
          </cell>
          <cell r="T26">
            <v>0</v>
          </cell>
        </row>
        <row r="27">
          <cell r="M27">
            <v>0</v>
          </cell>
          <cell r="N27">
            <v>0</v>
          </cell>
          <cell r="O27">
            <v>0</v>
          </cell>
          <cell r="P27">
            <v>0</v>
          </cell>
          <cell r="Q27">
            <v>0</v>
          </cell>
          <cell r="R27">
            <v>0</v>
          </cell>
          <cell r="S27">
            <v>0</v>
          </cell>
          <cell r="T27">
            <v>0</v>
          </cell>
        </row>
        <row r="28">
          <cell r="M28">
            <v>13</v>
          </cell>
          <cell r="N28">
            <v>6</v>
          </cell>
          <cell r="O28">
            <v>6</v>
          </cell>
          <cell r="P28">
            <v>6</v>
          </cell>
          <cell r="Q28">
            <v>0</v>
          </cell>
          <cell r="R28">
            <v>0</v>
          </cell>
          <cell r="S28">
            <v>6</v>
          </cell>
          <cell r="T28">
            <v>0</v>
          </cell>
        </row>
        <row r="29">
          <cell r="M29">
            <v>0</v>
          </cell>
          <cell r="N29">
            <v>0</v>
          </cell>
          <cell r="O29">
            <v>0</v>
          </cell>
          <cell r="P29">
            <v>0</v>
          </cell>
          <cell r="Q29">
            <v>0</v>
          </cell>
          <cell r="R29">
            <v>0</v>
          </cell>
          <cell r="S29">
            <v>0</v>
          </cell>
          <cell r="T29">
            <v>0</v>
          </cell>
        </row>
        <row r="33">
          <cell r="B33" t="str">
            <v>ETI Entitlement</v>
          </cell>
        </row>
        <row r="34">
          <cell r="B34" t="str">
            <v/>
          </cell>
        </row>
        <row r="35">
          <cell r="B35" t="str">
            <v/>
          </cell>
        </row>
        <row r="36">
          <cell r="B36" t="str">
            <v/>
          </cell>
        </row>
        <row r="50">
          <cell r="H50" t="str">
            <v>Barrier: Came in under planned HC 
Action: Got 5 LS from OB, flipped IB counters back to stow 
Barrier: SEV2 affecting the wifi impacting stow 
Action: stood down stowers https://tt.amazon.com/0516589433</v>
          </cell>
        </row>
        <row r="54">
          <cell r="H54" t="str">
            <v xml:space="preserve">Barrier: 2nd half VET coming in and at station capacity 
Action: Partnered with CAP to get additional stations back for stow
Barrier: WaterSpider was unsure of the priortization of workflow, priortized finding Recatives and RSR over keeping sleds full.
Actions: Coached AA for priortization of workflow, there are down times for RSR and reactives and keeping sleds full is always a high priority </v>
          </cell>
        </row>
        <row r="58">
          <cell r="H58" t="str">
            <v>Barrier: Inability to find enough scanners for WS to use, creating an issue with unopened master packs which generated unneeded problem solve piles at stations.
Action: Attempted to find enough scanners and coached WS how to read FBA labels to assist with masterpack identification.
Barrier: VRC door 5 stuck on 4N
Action: https://tt.amazon.com/0516669856</v>
          </cell>
        </row>
        <row r="62">
          <cell r="H62" t="str">
            <v xml:space="preserve">Barrier: Mix imbalanced on N side leading to 4N being hung with exclusively decant 
Action: Sent FL work up to mix in with decant and improve stowers takt time </v>
          </cell>
        </row>
        <row r="68">
          <cell r="G68">
            <v>938</v>
          </cell>
          <cell r="H68" t="str">
            <v xml:space="preserve">Staffed 20 hours in IOL </v>
          </cell>
        </row>
        <row r="69">
          <cell r="B69">
            <v>7</v>
          </cell>
          <cell r="G69">
            <v>198</v>
          </cell>
          <cell r="H69" t="str">
            <v>Staffed 11 hours</v>
          </cell>
        </row>
        <row r="70">
          <cell r="G70">
            <v>0</v>
          </cell>
        </row>
        <row r="71">
          <cell r="B71">
            <v>75000</v>
          </cell>
        </row>
        <row r="72">
          <cell r="G72">
            <v>600</v>
          </cell>
        </row>
        <row r="73">
          <cell r="B73">
            <v>7</v>
          </cell>
          <cell r="G73">
            <v>2400</v>
          </cell>
          <cell r="H73" t="str">
            <v>Staffed 4 PS, 2 auditors and 4 stowers</v>
          </cell>
        </row>
        <row r="74">
          <cell r="G74">
            <v>0</v>
          </cell>
        </row>
        <row r="75">
          <cell r="B75">
            <v>173</v>
          </cell>
          <cell r="G75">
            <v>300</v>
          </cell>
          <cell r="H75" t="str">
            <v>Staffed 11 hours</v>
          </cell>
        </row>
        <row r="76">
          <cell r="G76">
            <v>150</v>
          </cell>
        </row>
        <row r="77">
          <cell r="B77">
            <v>1119777</v>
          </cell>
        </row>
        <row r="78">
          <cell r="G78">
            <v>8</v>
          </cell>
        </row>
        <row r="79">
          <cell r="B79">
            <v>81506</v>
          </cell>
          <cell r="G79">
            <v>4</v>
          </cell>
        </row>
        <row r="80">
          <cell r="G80">
            <v>41453</v>
          </cell>
          <cell r="H80" t="str">
            <v>Elevated PC99 and SIPS</v>
          </cell>
        </row>
        <row r="81">
          <cell r="B81">
            <v>8</v>
          </cell>
          <cell r="G81">
            <v>22</v>
          </cell>
        </row>
        <row r="82">
          <cell r="G82">
            <v>3</v>
          </cell>
        </row>
        <row r="83">
          <cell r="B83">
            <v>0.17699999999999999</v>
          </cell>
        </row>
        <row r="85">
          <cell r="G85">
            <v>5.3</v>
          </cell>
        </row>
        <row r="86">
          <cell r="G86">
            <v>18</v>
          </cell>
        </row>
        <row r="87">
          <cell r="G87">
            <v>1.2999999999999999E-3</v>
          </cell>
        </row>
        <row r="88">
          <cell r="G88">
            <v>131</v>
          </cell>
        </row>
        <row r="101">
          <cell r="L101" t="str">
            <v>Vets stowing at 95% smalls for 43% of total hours led to missing smalls at 96%, 255 on a plan of 264. Water spiders not providing mix adequately on sleds even though mix was available on pallets, not notifying stowers of smalls on rear sleds. AAs scanning into multiple containers on rear sled to reach containers signed into goal, but turning pods away due to no smalls on front sled. AAs not working rear sled generating 6205 NSTA resulting in 60.8 hours of pod gaps.</v>
          </cell>
        </row>
        <row r="127">
          <cell r="L127" t="str">
            <v>Kept DL upstaffed due to reaching capacity in Q1</v>
          </cell>
        </row>
      </sheetData>
      <sheetData sheetId="4" refreshError="1"/>
      <sheetData sheetId="5" refreshError="1"/>
      <sheetData sheetId="6" refreshError="1"/>
      <sheetData sheetId="7" refreshError="1"/>
      <sheetData sheetId="8">
        <row r="86">
          <cell r="D86" t="e">
            <v>#N/A</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refreshError="1"/>
      <sheetData sheetId="19" refreshError="1"/>
      <sheetData sheetId="20">
        <row r="3">
          <cell r="B3" t="str">
            <v>VC1</v>
          </cell>
        </row>
        <row r="4">
          <cell r="B4" t="str">
            <v>VC2</v>
          </cell>
        </row>
        <row r="5">
          <cell r="B5" t="str">
            <v>VC3</v>
          </cell>
        </row>
        <row r="6">
          <cell r="B6" t="str">
            <v>VC4</v>
          </cell>
        </row>
        <row r="7">
          <cell r="B7" t="str">
            <v>VC5</v>
          </cell>
        </row>
        <row r="8">
          <cell r="B8" t="str">
            <v>VC6</v>
          </cell>
        </row>
        <row r="9">
          <cell r="B9" t="str">
            <v>VC7</v>
          </cell>
        </row>
        <row r="10">
          <cell r="B10" t="str">
            <v>VC8</v>
          </cell>
        </row>
        <row r="11">
          <cell r="B11" t="str">
            <v>VC9</v>
          </cell>
        </row>
        <row r="12">
          <cell r="B12" t="str">
            <v>Vet</v>
          </cell>
        </row>
      </sheetData>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ow r="19">
          <cell r="M19">
            <v>0</v>
          </cell>
        </row>
      </sheetData>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xplanations"/>
      <sheetName val="Title"/>
      <sheetName val="Wins"/>
      <sheetName val="Margin Roll"/>
      <sheetName val="Q3 Forecast"/>
      <sheetName val="FY 2000"/>
      <sheetName val="Appendix title"/>
      <sheetName val="Metrics"/>
      <sheetName val="Other by Product"/>
      <sheetName val="Margin Query"/>
      <sheetName val="plan by product"/>
      <sheetName val="essbase intl query"/>
      <sheetName val="Graphs"/>
      <sheetName val="waterfall"/>
      <sheetName val="Metrics Query"/>
      <sheetName val="essbase ship mgn"/>
      <sheetName val="Rev&amp;Mgn query"/>
      <sheetName val="2000 by Q"/>
      <sheetName val="Upgrades"/>
      <sheetName val="plan by prod que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30">
          <cell r="B30" t="str">
            <v>Free Replace</v>
          </cell>
          <cell r="C30" t="str">
            <v>Split by Ship Tool</v>
          </cell>
          <cell r="D30" t="str">
            <v>Units Qty Group</v>
          </cell>
          <cell r="E30" t="str">
            <v>US DCs</v>
          </cell>
          <cell r="F30" t="str">
            <v>Customer Ship Option</v>
          </cell>
          <cell r="G30" t="str">
            <v>Ship Charge Type</v>
          </cell>
          <cell r="H30" t="str">
            <v>Upgrade Reason</v>
          </cell>
        </row>
        <row r="31">
          <cell r="C31" t="str">
            <v>No_per_Ship_Charge</v>
          </cell>
        </row>
        <row r="32">
          <cell r="C32" t="str">
            <v>When_All</v>
          </cell>
          <cell r="J32" t="str">
            <v>Free Replace</v>
          </cell>
          <cell r="K32" t="str">
            <v>Split by Ship Tool</v>
          </cell>
          <cell r="L32" t="str">
            <v>Customer Ship Flag</v>
          </cell>
          <cell r="M32" t="str">
            <v>Charge Reason</v>
          </cell>
          <cell r="N32" t="str">
            <v>Units Qty Group</v>
          </cell>
          <cell r="O32" t="str">
            <v>US DCs</v>
          </cell>
        </row>
        <row r="33">
          <cell r="C33" t="str">
            <v>FY2000</v>
          </cell>
          <cell r="K33" t="str">
            <v>FY2000</v>
          </cell>
        </row>
        <row r="34">
          <cell r="C34" t="str">
            <v>Aug</v>
          </cell>
          <cell r="K34" t="str">
            <v>Aug</v>
          </cell>
        </row>
        <row r="35">
          <cell r="C35" t="str">
            <v>Ship Method</v>
          </cell>
          <cell r="K35" t="str">
            <v>Ship Methods</v>
          </cell>
        </row>
        <row r="36">
          <cell r="C36" t="str">
            <v>Shipments Qty</v>
          </cell>
          <cell r="D36" t="str">
            <v>Units Qty</v>
          </cell>
          <cell r="E36" t="str">
            <v>Ship Charge</v>
          </cell>
          <cell r="F36" t="str">
            <v>Ship Cost</v>
          </cell>
          <cell r="K36" t="str">
            <v>Shipments Qty</v>
          </cell>
          <cell r="L36" t="str">
            <v>Units Qty</v>
          </cell>
          <cell r="M36" t="str">
            <v>Ship Charge</v>
          </cell>
          <cell r="N36" t="str">
            <v>Ship Cost</v>
          </cell>
        </row>
        <row r="37">
          <cell r="A37" t="str">
            <v>Books</v>
          </cell>
          <cell r="C37">
            <v>237921</v>
          </cell>
          <cell r="D37">
            <v>466215</v>
          </cell>
          <cell r="E37">
            <v>646960.84</v>
          </cell>
          <cell r="F37">
            <v>1120011.3899999999</v>
          </cell>
          <cell r="I37" t="str">
            <v>Books</v>
          </cell>
          <cell r="K37">
            <v>2305205</v>
          </cell>
          <cell r="L37">
            <v>4336139</v>
          </cell>
          <cell r="M37">
            <v>14907693.880000003</v>
          </cell>
          <cell r="N37">
            <v>11192524.890000001</v>
          </cell>
        </row>
        <row r="38">
          <cell r="A38" t="str">
            <v>Music</v>
          </cell>
          <cell r="C38">
            <v>61166</v>
          </cell>
          <cell r="D38">
            <v>93825</v>
          </cell>
          <cell r="E38">
            <v>94349.79</v>
          </cell>
          <cell r="F38">
            <v>148904.14000000001</v>
          </cell>
          <cell r="I38" t="str">
            <v>Music</v>
          </cell>
          <cell r="K38">
            <v>508785</v>
          </cell>
          <cell r="L38">
            <v>891064</v>
          </cell>
          <cell r="M38">
            <v>2100199.91</v>
          </cell>
          <cell r="N38">
            <v>1364564.19</v>
          </cell>
        </row>
        <row r="39">
          <cell r="A39" t="str">
            <v>Toys</v>
          </cell>
          <cell r="C39">
            <v>37715</v>
          </cell>
          <cell r="D39">
            <v>52398</v>
          </cell>
          <cell r="E39">
            <v>98191.17</v>
          </cell>
          <cell r="F39">
            <v>205904.28</v>
          </cell>
          <cell r="I39" t="str">
            <v>Toys</v>
          </cell>
          <cell r="K39">
            <v>105473</v>
          </cell>
          <cell r="L39">
            <v>151368</v>
          </cell>
          <cell r="M39">
            <v>515338.34</v>
          </cell>
          <cell r="N39">
            <v>615023.87</v>
          </cell>
        </row>
        <row r="40">
          <cell r="A40" t="str">
            <v>Video Games</v>
          </cell>
          <cell r="C40">
            <v>3317</v>
          </cell>
          <cell r="D40">
            <v>4851</v>
          </cell>
          <cell r="E40">
            <v>6045.32</v>
          </cell>
          <cell r="F40">
            <v>12199.2</v>
          </cell>
          <cell r="I40" t="str">
            <v>Video Games</v>
          </cell>
          <cell r="K40">
            <v>23319</v>
          </cell>
          <cell r="L40">
            <v>30309</v>
          </cell>
          <cell r="M40">
            <v>121268.87</v>
          </cell>
          <cell r="N40">
            <v>82343.509999999995</v>
          </cell>
        </row>
        <row r="41">
          <cell r="A41" t="str">
            <v>Electronics</v>
          </cell>
          <cell r="C41">
            <v>9423</v>
          </cell>
          <cell r="D41">
            <v>12140</v>
          </cell>
          <cell r="E41">
            <v>36896.400000000001</v>
          </cell>
          <cell r="F41">
            <v>63718.77</v>
          </cell>
          <cell r="I41" t="str">
            <v>Electronics</v>
          </cell>
          <cell r="K41">
            <v>74656</v>
          </cell>
          <cell r="L41">
            <v>99179</v>
          </cell>
          <cell r="M41">
            <v>556615.54</v>
          </cell>
          <cell r="N41">
            <v>501203.81</v>
          </cell>
        </row>
        <row r="42">
          <cell r="A42" t="str">
            <v>Software</v>
          </cell>
          <cell r="C42">
            <v>3789</v>
          </cell>
          <cell r="D42">
            <v>4665</v>
          </cell>
          <cell r="E42">
            <v>5494.35</v>
          </cell>
          <cell r="F42">
            <v>15167</v>
          </cell>
          <cell r="I42" t="str">
            <v>Software</v>
          </cell>
          <cell r="K42">
            <v>47874</v>
          </cell>
          <cell r="L42">
            <v>56276</v>
          </cell>
          <cell r="M42">
            <v>275963.14</v>
          </cell>
          <cell r="N42">
            <v>203029.6</v>
          </cell>
        </row>
        <row r="43">
          <cell r="A43" t="str">
            <v>Video</v>
          </cell>
          <cell r="C43">
            <v>21872</v>
          </cell>
          <cell r="D43">
            <v>29042</v>
          </cell>
          <cell r="E43">
            <v>44728.52</v>
          </cell>
          <cell r="F43">
            <v>72570.17</v>
          </cell>
          <cell r="I43" t="str">
            <v>Video</v>
          </cell>
          <cell r="K43">
            <v>165519</v>
          </cell>
          <cell r="L43">
            <v>229111</v>
          </cell>
          <cell r="M43">
            <v>993703.3</v>
          </cell>
          <cell r="N43">
            <v>581274.27</v>
          </cell>
        </row>
        <row r="44">
          <cell r="A44" t="str">
            <v>DVD</v>
          </cell>
          <cell r="C44">
            <v>19796</v>
          </cell>
          <cell r="D44">
            <v>31376</v>
          </cell>
          <cell r="E44">
            <v>36896.92</v>
          </cell>
          <cell r="F44">
            <v>67807.16</v>
          </cell>
          <cell r="I44" t="str">
            <v>DVD</v>
          </cell>
          <cell r="K44">
            <v>218742</v>
          </cell>
          <cell r="L44">
            <v>365166</v>
          </cell>
          <cell r="M44">
            <v>1125718.54</v>
          </cell>
          <cell r="N44">
            <v>770138.79</v>
          </cell>
        </row>
        <row r="45">
          <cell r="A45" t="str">
            <v>Home Improvement</v>
          </cell>
          <cell r="C45">
            <v>9320</v>
          </cell>
          <cell r="D45">
            <v>12563</v>
          </cell>
          <cell r="E45">
            <v>6089.82</v>
          </cell>
          <cell r="F45">
            <v>46871.58</v>
          </cell>
          <cell r="I45" t="str">
            <v>Home Improvement</v>
          </cell>
          <cell r="K45">
            <v>23886</v>
          </cell>
          <cell r="L45">
            <v>32605</v>
          </cell>
          <cell r="M45">
            <v>94833.72</v>
          </cell>
          <cell r="N45">
            <v>138581.44</v>
          </cell>
        </row>
        <row r="46">
          <cell r="A46" t="str">
            <v>kitchens</v>
          </cell>
          <cell r="C46">
            <v>4349</v>
          </cell>
          <cell r="D46">
            <v>5335</v>
          </cell>
          <cell r="E46">
            <v>20982.12</v>
          </cell>
          <cell r="F46">
            <v>24830.58</v>
          </cell>
          <cell r="I46" t="str">
            <v>kitchens</v>
          </cell>
          <cell r="K46">
            <v>17953</v>
          </cell>
          <cell r="L46">
            <v>24032</v>
          </cell>
          <cell r="M46">
            <v>131251.28</v>
          </cell>
          <cell r="N46">
            <v>103683.11</v>
          </cell>
        </row>
        <row r="47">
          <cell r="A47" t="str">
            <v>lawn and garden</v>
          </cell>
          <cell r="C47">
            <v>4216</v>
          </cell>
          <cell r="D47">
            <v>5011</v>
          </cell>
          <cell r="E47">
            <v>2507.2399999999998</v>
          </cell>
          <cell r="F47">
            <v>38644.47</v>
          </cell>
          <cell r="I47" t="str">
            <v>lawn and garden</v>
          </cell>
          <cell r="K47">
            <v>10943</v>
          </cell>
          <cell r="L47">
            <v>13417</v>
          </cell>
          <cell r="M47">
            <v>40616.46</v>
          </cell>
          <cell r="N47">
            <v>110400.63</v>
          </cell>
        </row>
        <row r="48">
          <cell r="A48" t="str">
            <v>Mixed</v>
          </cell>
          <cell r="C48">
            <v>27357</v>
          </cell>
          <cell r="D48">
            <v>130565</v>
          </cell>
          <cell r="E48">
            <v>164688.57</v>
          </cell>
          <cell r="F48">
            <v>159455</v>
          </cell>
          <cell r="I48" t="str">
            <v>Mixed</v>
          </cell>
          <cell r="K48">
            <v>260287</v>
          </cell>
          <cell r="L48">
            <v>1008560</v>
          </cell>
          <cell r="M48">
            <v>2314633.2000000002</v>
          </cell>
          <cell r="N48">
            <v>1401791.53</v>
          </cell>
        </row>
        <row r="49">
          <cell r="A49" t="str">
            <v>Gifts</v>
          </cell>
          <cell r="C49" t="str">
            <v>0</v>
          </cell>
          <cell r="D49" t="str">
            <v>0</v>
          </cell>
          <cell r="E49" t="str">
            <v>0</v>
          </cell>
          <cell r="F49" t="str">
            <v>0</v>
          </cell>
          <cell r="I49" t="str">
            <v>Gifts</v>
          </cell>
          <cell r="K49">
            <v>340</v>
          </cell>
          <cell r="L49">
            <v>369</v>
          </cell>
          <cell r="M49">
            <v>0</v>
          </cell>
          <cell r="N49">
            <v>1164.8900000000001</v>
          </cell>
        </row>
        <row r="50">
          <cell r="A50" t="str">
            <v>Games</v>
          </cell>
          <cell r="C50" t="str">
            <v>0</v>
          </cell>
          <cell r="D50" t="str">
            <v>0</v>
          </cell>
          <cell r="E50" t="str">
            <v>0</v>
          </cell>
          <cell r="F50" t="str">
            <v>0</v>
          </cell>
          <cell r="I50" t="str">
            <v>Games</v>
          </cell>
          <cell r="K50" t="str">
            <v>0</v>
          </cell>
          <cell r="L50" t="str">
            <v>0</v>
          </cell>
          <cell r="M50" t="str">
            <v>0</v>
          </cell>
          <cell r="N50" t="str">
            <v>0</v>
          </cell>
        </row>
        <row r="51">
          <cell r="A51" t="str">
            <v>All Products</v>
          </cell>
          <cell r="C51">
            <v>440241</v>
          </cell>
          <cell r="D51">
            <v>847986</v>
          </cell>
          <cell r="E51">
            <v>1163831.06</v>
          </cell>
          <cell r="F51">
            <v>1976083.74</v>
          </cell>
          <cell r="I51" t="str">
            <v>All Products</v>
          </cell>
          <cell r="K51">
            <v>3762982</v>
          </cell>
          <cell r="L51">
            <v>7237595</v>
          </cell>
          <cell r="M51">
            <v>23177836.18</v>
          </cell>
          <cell r="N51">
            <v>17065724.529999997</v>
          </cell>
        </row>
      </sheetData>
      <sheetData sheetId="15" refreshError="1"/>
      <sheetData sheetId="16" refreshError="1"/>
      <sheetData sheetId="17" refreshError="1"/>
      <sheetData sheetId="18" refreshError="1"/>
      <sheetData sheetId="19"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Absent"/>
      <sheetName val="DCM"/>
      <sheetName val="Master"/>
      <sheetName val="Wk Rec."/>
      <sheetName val="Bridge"/>
      <sheetName val="Trends"/>
      <sheetName val="RSR"/>
      <sheetName val="C-P Sum."/>
      <sheetName val="FY02"/>
      <sheetName val="Graphs"/>
    </sheetNames>
    <sheetDataSet>
      <sheetData sheetId="0" refreshError="1"/>
      <sheetData sheetId="1" refreshError="1"/>
      <sheetData sheetId="2" refreshError="1"/>
      <sheetData sheetId="3" refreshError="1">
        <row r="2">
          <cell r="AH2" t="str">
            <v>Oct</v>
          </cell>
        </row>
        <row r="3">
          <cell r="AH3" t="str">
            <v>Volume</v>
          </cell>
          <cell r="AI3" t="str">
            <v>Hours</v>
          </cell>
          <cell r="AJ3" t="str">
            <v>Actual TPH</v>
          </cell>
          <cell r="AK3" t="str">
            <v>Index</v>
          </cell>
          <cell r="AL3" t="str">
            <v>Hrs @ Index</v>
          </cell>
          <cell r="AM3" t="str">
            <v>BM</v>
          </cell>
          <cell r="AN3" t="str">
            <v>Hrs @ BM</v>
          </cell>
          <cell r="AO3" t="str">
            <v>Plan</v>
          </cell>
          <cell r="AP3" t="str">
            <v>Hrs @ Plan</v>
          </cell>
          <cell r="AQ3" t="str">
            <v>Index Var in Hours</v>
          </cell>
          <cell r="AR3" t="str">
            <v>BM Var in Hours</v>
          </cell>
          <cell r="AS3" t="str">
            <v>Plan Var in Hours</v>
          </cell>
          <cell r="AT3" t="str">
            <v>%Index</v>
          </cell>
          <cell r="AU3" t="str">
            <v>%BM</v>
          </cell>
          <cell r="AV3" t="str">
            <v>%Plan</v>
          </cell>
        </row>
        <row r="4">
          <cell r="AH4">
            <v>1227196</v>
          </cell>
          <cell r="AI4">
            <v>11375.435393655485</v>
          </cell>
          <cell r="AJ4">
            <v>107.88123333586458</v>
          </cell>
          <cell r="AK4">
            <v>143.4</v>
          </cell>
          <cell r="AL4">
            <v>8557.8521617852166</v>
          </cell>
          <cell r="AM4">
            <v>132</v>
          </cell>
          <cell r="AN4">
            <v>9296.939393939394</v>
          </cell>
          <cell r="AO4">
            <v>126.5</v>
          </cell>
          <cell r="AP4">
            <v>9701.154150197628</v>
          </cell>
          <cell r="AQ4">
            <v>-2817.5832318702687</v>
          </cell>
          <cell r="AR4">
            <v>-2078.4959997160913</v>
          </cell>
          <cell r="AS4">
            <v>-1674.2812434578573</v>
          </cell>
          <cell r="AT4">
            <v>0.7523098558986373</v>
          </cell>
          <cell r="AU4">
            <v>0.81728207072624681</v>
          </cell>
          <cell r="AV4">
            <v>0.85281607380130098</v>
          </cell>
        </row>
        <row r="5">
          <cell r="AH5">
            <v>238884</v>
          </cell>
          <cell r="AI5">
            <v>603.28609102418932</v>
          </cell>
          <cell r="AJ5">
            <v>395.97133690659166</v>
          </cell>
          <cell r="AK5">
            <v>550</v>
          </cell>
          <cell r="AL5">
            <v>434.33454545454543</v>
          </cell>
          <cell r="AM5">
            <v>582</v>
          </cell>
          <cell r="AN5">
            <v>410.45360824742266</v>
          </cell>
          <cell r="AO5">
            <v>353.10096393091646</v>
          </cell>
          <cell r="AP5">
            <v>676.53171302794067</v>
          </cell>
          <cell r="AQ5">
            <v>-168.95154556964388</v>
          </cell>
          <cell r="AR5">
            <v>-192.83248277676665</v>
          </cell>
          <cell r="AS5">
            <v>73.24562200375135</v>
          </cell>
          <cell r="AT5">
            <v>0.7199478852847121</v>
          </cell>
          <cell r="AU5">
            <v>0.6803631218326317</v>
          </cell>
          <cell r="AV5">
            <v>1.1214110901834375</v>
          </cell>
        </row>
        <row r="7">
          <cell r="AH7">
            <v>599112</v>
          </cell>
          <cell r="AI7">
            <v>572.58997002731724</v>
          </cell>
          <cell r="AJ7">
            <v>1046.3194106795434</v>
          </cell>
          <cell r="AK7">
            <v>597</v>
          </cell>
          <cell r="AL7">
            <v>1003.5376884422111</v>
          </cell>
          <cell r="AM7">
            <v>1109</v>
          </cell>
          <cell r="AN7">
            <v>540.22723174030659</v>
          </cell>
          <cell r="AO7">
            <v>892.8</v>
          </cell>
          <cell r="AP7">
            <v>671.04838709677426</v>
          </cell>
          <cell r="AQ7">
            <v>430.94771841489387</v>
          </cell>
          <cell r="AR7">
            <v>-32.362738287010643</v>
          </cell>
          <cell r="AS7">
            <v>98.458417069457028</v>
          </cell>
          <cell r="AT7">
            <v>1.7526288286089506</v>
          </cell>
          <cell r="AU7">
            <v>0.94348008176694631</v>
          </cell>
          <cell r="AV7">
            <v>1.1719527449367646</v>
          </cell>
        </row>
        <row r="9">
          <cell r="AH9">
            <v>60287</v>
          </cell>
          <cell r="AI9">
            <v>1720.5054635245426</v>
          </cell>
          <cell r="AJ9">
            <v>35.040283961957918</v>
          </cell>
          <cell r="AK9">
            <v>36</v>
          </cell>
          <cell r="AL9">
            <v>1674.6388888888889</v>
          </cell>
          <cell r="AM9">
            <v>37</v>
          </cell>
          <cell r="AN9">
            <v>1629.3783783783783</v>
          </cell>
          <cell r="AO9">
            <v>37.5</v>
          </cell>
          <cell r="AP9">
            <v>1607.6533333333334</v>
          </cell>
          <cell r="AQ9">
            <v>-45.866574635653706</v>
          </cell>
          <cell r="AR9">
            <v>-91.127085146164291</v>
          </cell>
          <cell r="AS9">
            <v>-112.8521301912092</v>
          </cell>
          <cell r="AT9">
            <v>0.97334122116549771</v>
          </cell>
          <cell r="AU9">
            <v>0.94703470167453818</v>
          </cell>
          <cell r="AV9">
            <v>0.93440757231887783</v>
          </cell>
        </row>
        <row r="10">
          <cell r="AH10">
            <v>2184694</v>
          </cell>
          <cell r="AI10">
            <v>9311.7669497988882</v>
          </cell>
          <cell r="AJ10">
            <v>234.61648168151203</v>
          </cell>
          <cell r="AK10">
            <v>460</v>
          </cell>
          <cell r="AL10">
            <v>4749.3347826086956</v>
          </cell>
          <cell r="AM10">
            <v>388</v>
          </cell>
          <cell r="AN10">
            <v>5630.6546391752581</v>
          </cell>
          <cell r="AO10">
            <v>380.3</v>
          </cell>
          <cell r="AP10">
            <v>5744.6594793584009</v>
          </cell>
          <cell r="AQ10">
            <v>-4562.4321671901926</v>
          </cell>
          <cell r="AR10">
            <v>-3681.11231062363</v>
          </cell>
          <cell r="AS10">
            <v>-3567.1074704404873</v>
          </cell>
          <cell r="AT10">
            <v>0.51003582974241746</v>
          </cell>
          <cell r="AU10">
            <v>0.60468165381833006</v>
          </cell>
          <cell r="AV10">
            <v>0.61692474804499609</v>
          </cell>
        </row>
        <row r="11">
          <cell r="AH11">
            <v>59215</v>
          </cell>
          <cell r="AI11">
            <v>1451.2527365536725</v>
          </cell>
          <cell r="AJ11">
            <v>40.802679304928922</v>
          </cell>
          <cell r="AK11">
            <v>30</v>
          </cell>
          <cell r="AL11">
            <v>1973.8333333333333</v>
          </cell>
          <cell r="AM11">
            <v>45</v>
          </cell>
          <cell r="AN11">
            <v>1315.8888888888889</v>
          </cell>
          <cell r="AO11">
            <v>25</v>
          </cell>
          <cell r="AP11">
            <v>2368.6</v>
          </cell>
          <cell r="AQ11">
            <v>522.58059677966071</v>
          </cell>
          <cell r="AR11">
            <v>-135.36384766478363</v>
          </cell>
          <cell r="AS11">
            <v>917.34726344632736</v>
          </cell>
          <cell r="AT11">
            <v>1.3600893101642975</v>
          </cell>
          <cell r="AU11">
            <v>0.90672620677619831</v>
          </cell>
          <cell r="AV11">
            <v>1.6321071721971567</v>
          </cell>
        </row>
        <row r="12">
          <cell r="AH12">
            <v>3502864</v>
          </cell>
          <cell r="AI12">
            <v>6958.0654964966961</v>
          </cell>
          <cell r="AJ12">
            <v>503.42498238391846</v>
          </cell>
          <cell r="AK12">
            <v>342</v>
          </cell>
          <cell r="AL12">
            <v>10242.292397660818</v>
          </cell>
          <cell r="AM12">
            <v>342</v>
          </cell>
          <cell r="AN12">
            <v>10242.292397660818</v>
          </cell>
          <cell r="AO12">
            <v>463.2</v>
          </cell>
          <cell r="AP12">
            <v>7562.3143350604496</v>
          </cell>
          <cell r="AQ12">
            <v>3284.226901164122</v>
          </cell>
          <cell r="AR12">
            <v>3284.226901164122</v>
          </cell>
          <cell r="AS12">
            <v>604.24883856375345</v>
          </cell>
          <cell r="AT12">
            <v>1.4720028724675978</v>
          </cell>
          <cell r="AU12">
            <v>1.4720028724675978</v>
          </cell>
          <cell r="AV12">
            <v>1.0868414991017239</v>
          </cell>
        </row>
        <row r="13">
          <cell r="AH13">
            <v>0</v>
          </cell>
          <cell r="AI13">
            <v>0</v>
          </cell>
          <cell r="AJ13" t="str">
            <v xml:space="preserve"> </v>
          </cell>
          <cell r="AK13">
            <v>12</v>
          </cell>
          <cell r="AM13">
            <v>20</v>
          </cell>
          <cell r="AO13">
            <v>0</v>
          </cell>
          <cell r="AQ13">
            <v>0</v>
          </cell>
          <cell r="AS13">
            <v>0</v>
          </cell>
          <cell r="AT13" t="str">
            <v xml:space="preserve"> </v>
          </cell>
          <cell r="AU13" t="str">
            <v xml:space="preserve"> </v>
          </cell>
          <cell r="AV13" t="str">
            <v xml:space="preserve"> </v>
          </cell>
        </row>
        <row r="14">
          <cell r="AH14">
            <v>80109</v>
          </cell>
          <cell r="AI14">
            <v>1136.2879919990405</v>
          </cell>
          <cell r="AJ14">
            <v>70.500613017186268</v>
          </cell>
          <cell r="AK14">
            <v>92</v>
          </cell>
          <cell r="AL14">
            <v>870.75</v>
          </cell>
          <cell r="AM14">
            <v>92</v>
          </cell>
          <cell r="AN14">
            <v>870.75</v>
          </cell>
          <cell r="AO14">
            <v>94</v>
          </cell>
          <cell r="AP14">
            <v>852.22340425531911</v>
          </cell>
          <cell r="AQ14">
            <v>-265.53799199904051</v>
          </cell>
          <cell r="AR14">
            <v>-265.53799199904051</v>
          </cell>
          <cell r="AS14">
            <v>-284.0645877437214</v>
          </cell>
          <cell r="AT14">
            <v>0.76631101105637245</v>
          </cell>
          <cell r="AU14">
            <v>0.76631101105637245</v>
          </cell>
          <cell r="AV14">
            <v>0.75000652145942837</v>
          </cell>
        </row>
        <row r="15">
          <cell r="AH15">
            <v>1081712</v>
          </cell>
          <cell r="AI15">
            <v>12891.693096900886</v>
          </cell>
          <cell r="AJ15">
            <v>83.907675420852158</v>
          </cell>
          <cell r="AK15">
            <v>107</v>
          </cell>
          <cell r="AL15">
            <v>10109.457943925234</v>
          </cell>
          <cell r="AM15">
            <v>131</v>
          </cell>
          <cell r="AN15">
            <v>8257.3435114503809</v>
          </cell>
          <cell r="AO15">
            <v>119.1</v>
          </cell>
          <cell r="AP15">
            <v>9082.3845507976494</v>
          </cell>
          <cell r="AQ15">
            <v>-2782.2351529756525</v>
          </cell>
          <cell r="AR15">
            <v>-4634.3495854505054</v>
          </cell>
          <cell r="AS15">
            <v>-3809.3085461032369</v>
          </cell>
          <cell r="AT15">
            <v>0.78418388243787074</v>
          </cell>
          <cell r="AU15">
            <v>0.64051660626604701</v>
          </cell>
          <cell r="AV15">
            <v>0.70451448716080745</v>
          </cell>
        </row>
        <row r="16">
          <cell r="AH16">
            <v>889854</v>
          </cell>
          <cell r="AI16">
            <v>10732.427957994865</v>
          </cell>
          <cell r="AJ16">
            <v>82.912645999838702</v>
          </cell>
          <cell r="AK16">
            <v>106</v>
          </cell>
          <cell r="AL16">
            <v>8394.8490566037744</v>
          </cell>
          <cell r="AM16">
            <v>114</v>
          </cell>
          <cell r="AN16">
            <v>7805.7368421052633</v>
          </cell>
          <cell r="AO16">
            <v>109.6</v>
          </cell>
          <cell r="AP16">
            <v>8119.1058394160591</v>
          </cell>
          <cell r="AQ16">
            <v>-2337.5789013910908</v>
          </cell>
          <cell r="AR16">
            <v>-2926.6911158896019</v>
          </cell>
          <cell r="AS16">
            <v>-2613.3221185788061</v>
          </cell>
          <cell r="AT16">
            <v>0.78219477358338407</v>
          </cell>
          <cell r="AU16">
            <v>0.72730391227928692</v>
          </cell>
          <cell r="AV16">
            <v>0.75650224452407577</v>
          </cell>
        </row>
        <row r="17">
          <cell r="AH17">
            <v>151200</v>
          </cell>
          <cell r="AI17">
            <v>4156.4808681283903</v>
          </cell>
          <cell r="AJ17">
            <v>36.376926731310427</v>
          </cell>
          <cell r="AK17">
            <v>82</v>
          </cell>
          <cell r="AL17">
            <v>1843.9024390243903</v>
          </cell>
          <cell r="AM17">
            <v>98</v>
          </cell>
          <cell r="AN17">
            <v>1542.8571428571429</v>
          </cell>
          <cell r="AO17">
            <v>61</v>
          </cell>
          <cell r="AP17">
            <v>2478.688524590164</v>
          </cell>
          <cell r="AQ17">
            <v>-2312.578429104</v>
          </cell>
          <cell r="AR17">
            <v>-2613.6237252712472</v>
          </cell>
          <cell r="AS17">
            <v>-1677.7923435382263</v>
          </cell>
          <cell r="AT17">
            <v>0.44362105769890764</v>
          </cell>
          <cell r="AU17">
            <v>0.37119312991133085</v>
          </cell>
          <cell r="AV17">
            <v>0.59634306116902336</v>
          </cell>
        </row>
        <row r="18">
          <cell r="AH18">
            <v>76576</v>
          </cell>
          <cell r="AI18">
            <v>1461.7485159388702</v>
          </cell>
          <cell r="AJ18">
            <v>52.386576189417781</v>
          </cell>
          <cell r="AK18">
            <v>123</v>
          </cell>
          <cell r="AL18">
            <v>622.56910569105696</v>
          </cell>
          <cell r="AM18">
            <v>152</v>
          </cell>
          <cell r="AN18">
            <v>503.78947368421052</v>
          </cell>
          <cell r="AO18">
            <v>85</v>
          </cell>
          <cell r="AP18">
            <v>900.89411764705881</v>
          </cell>
          <cell r="AQ18">
            <v>-839.17941024781328</v>
          </cell>
          <cell r="AR18">
            <v>-957.95904225465972</v>
          </cell>
          <cell r="AS18">
            <v>-560.85439829181144</v>
          </cell>
          <cell r="AT18">
            <v>0.42590712349120152</v>
          </cell>
          <cell r="AU18">
            <v>0.34464852756195907</v>
          </cell>
          <cell r="AV18">
            <v>0.61631266105197391</v>
          </cell>
        </row>
        <row r="19">
          <cell r="AH19">
            <v>0</v>
          </cell>
          <cell r="AI19">
            <v>7.4999994069849659E-3</v>
          </cell>
          <cell r="AJ19">
            <v>0</v>
          </cell>
          <cell r="AK19">
            <v>57</v>
          </cell>
          <cell r="AL19">
            <v>0</v>
          </cell>
          <cell r="AM19">
            <v>78</v>
          </cell>
          <cell r="AO19">
            <v>0</v>
          </cell>
          <cell r="AQ19">
            <v>-7.4999994069849659E-3</v>
          </cell>
          <cell r="AS19">
            <v>0</v>
          </cell>
          <cell r="AT19">
            <v>0</v>
          </cell>
          <cell r="AU19">
            <v>0</v>
          </cell>
          <cell r="AV19">
            <v>1</v>
          </cell>
        </row>
        <row r="20">
          <cell r="AH20">
            <v>14476</v>
          </cell>
          <cell r="AI20">
            <v>1095.7560432026601</v>
          </cell>
          <cell r="AJ20">
            <v>13.210969804638042</v>
          </cell>
          <cell r="AK20">
            <v>22</v>
          </cell>
          <cell r="AL20">
            <v>658</v>
          </cell>
          <cell r="AM20">
            <v>22</v>
          </cell>
          <cell r="AN20">
            <v>658</v>
          </cell>
          <cell r="AO20">
            <v>17.7</v>
          </cell>
          <cell r="AP20">
            <v>817.8531073446328</v>
          </cell>
          <cell r="AQ20">
            <v>-437.75604320266007</v>
          </cell>
          <cell r="AR20">
            <v>-437.75604320266007</v>
          </cell>
          <cell r="AS20">
            <v>-277.90293585802726</v>
          </cell>
          <cell r="AT20">
            <v>0.60049862748354732</v>
          </cell>
          <cell r="AU20">
            <v>0.60049862748354732</v>
          </cell>
          <cell r="AV20">
            <v>0.74638247483830744</v>
          </cell>
        </row>
        <row r="21">
          <cell r="AH21">
            <v>889854</v>
          </cell>
          <cell r="AI21">
            <v>5219.6474588979027</v>
          </cell>
          <cell r="AJ21">
            <v>170.48162869372931</v>
          </cell>
          <cell r="AK21">
            <v>570</v>
          </cell>
          <cell r="AL21">
            <v>1561.1473684210525</v>
          </cell>
          <cell r="AM21">
            <v>598</v>
          </cell>
          <cell r="AN21">
            <v>1488.0501672240803</v>
          </cell>
          <cell r="AO21">
            <v>265.39999999999998</v>
          </cell>
          <cell r="AP21">
            <v>3352.8786737000755</v>
          </cell>
          <cell r="AQ21">
            <v>-3658.5000904768503</v>
          </cell>
          <cell r="AR21">
            <v>-3731.5972916738224</v>
          </cell>
          <cell r="AS21">
            <v>-1866.7687851978271</v>
          </cell>
          <cell r="AT21">
            <v>0.29909057665566546</v>
          </cell>
          <cell r="AU21">
            <v>0.28508633560824298</v>
          </cell>
          <cell r="AV21">
            <v>0.64235730479928155</v>
          </cell>
        </row>
        <row r="22">
          <cell r="AH22">
            <v>18098</v>
          </cell>
          <cell r="AI22">
            <v>2556.355950029716</v>
          </cell>
          <cell r="AJ22">
            <v>7.0796087687982663</v>
          </cell>
          <cell r="AK22">
            <v>16</v>
          </cell>
          <cell r="AL22">
            <v>1131.125</v>
          </cell>
          <cell r="AM22">
            <v>16</v>
          </cell>
          <cell r="AN22">
            <v>1131.125</v>
          </cell>
          <cell r="AO22">
            <v>13</v>
          </cell>
          <cell r="AP22">
            <v>1392.1538461538462</v>
          </cell>
          <cell r="AQ22">
            <v>-1425.230950029716</v>
          </cell>
          <cell r="AR22">
            <v>-1425.230950029716</v>
          </cell>
          <cell r="AS22">
            <v>-1164.2021038758699</v>
          </cell>
          <cell r="AT22">
            <v>0.44247554804989164</v>
          </cell>
          <cell r="AU22">
            <v>0.44247554804989164</v>
          </cell>
          <cell r="AV22">
            <v>0.54458528990755894</v>
          </cell>
        </row>
        <row r="23">
          <cell r="AH23">
            <v>1597</v>
          </cell>
          <cell r="AI23">
            <v>200.12526728193728</v>
          </cell>
          <cell r="AJ23">
            <v>7.9800018343018122</v>
          </cell>
          <cell r="AK23">
            <v>16</v>
          </cell>
          <cell r="AL23">
            <v>99.8125</v>
          </cell>
          <cell r="AM23">
            <v>12</v>
          </cell>
          <cell r="AN23">
            <v>133.08333333333334</v>
          </cell>
          <cell r="AO23">
            <v>13</v>
          </cell>
          <cell r="AP23">
            <v>122.84615384615384</v>
          </cell>
          <cell r="AQ23">
            <v>-100.31276728193728</v>
          </cell>
          <cell r="AR23">
            <v>-67.041933948603941</v>
          </cell>
          <cell r="AS23">
            <v>-77.279113435783444</v>
          </cell>
          <cell r="AT23">
            <v>0.49875011464386326</v>
          </cell>
          <cell r="AU23">
            <v>0.66500015285848446</v>
          </cell>
          <cell r="AV23">
            <v>0.61384629494629328</v>
          </cell>
        </row>
        <row r="24">
          <cell r="AH24">
            <v>30251</v>
          </cell>
          <cell r="AI24">
            <v>1616.3782595780842</v>
          </cell>
          <cell r="AJ24">
            <v>18.715297499668349</v>
          </cell>
          <cell r="AK24">
            <v>21</v>
          </cell>
          <cell r="AL24">
            <v>1440.5238095238096</v>
          </cell>
          <cell r="AM24">
            <v>25</v>
          </cell>
          <cell r="AN24">
            <v>1210.04</v>
          </cell>
          <cell r="AO24">
            <v>23.6</v>
          </cell>
          <cell r="AP24">
            <v>1281.8220338983051</v>
          </cell>
          <cell r="AQ24">
            <v>-175.85445005427459</v>
          </cell>
          <cell r="AR24">
            <v>-406.33825957808426</v>
          </cell>
          <cell r="AS24">
            <v>-334.55622567977912</v>
          </cell>
          <cell r="AT24">
            <v>0.89120464284135015</v>
          </cell>
          <cell r="AU24">
            <v>0.74861189998673405</v>
          </cell>
          <cell r="AV24">
            <v>0.79302108049442166</v>
          </cell>
        </row>
        <row r="25">
          <cell r="AH25">
            <v>1180455</v>
          </cell>
          <cell r="AI25">
            <v>3725.4789261481142</v>
          </cell>
          <cell r="AJ25">
            <v>316.85993221293251</v>
          </cell>
          <cell r="AK25">
            <v>820</v>
          </cell>
          <cell r="AL25">
            <v>1439.5792682926829</v>
          </cell>
          <cell r="AM25">
            <v>820</v>
          </cell>
          <cell r="AN25">
            <v>1439.5792682926829</v>
          </cell>
          <cell r="AO25">
            <v>535</v>
          </cell>
          <cell r="AP25">
            <v>2206.4579439252338</v>
          </cell>
          <cell r="AQ25">
            <v>-2285.8996578554315</v>
          </cell>
          <cell r="AR25">
            <v>-2285.8996578554315</v>
          </cell>
          <cell r="AS25">
            <v>-1519.0209822228803</v>
          </cell>
          <cell r="AT25">
            <v>0.38641455147918596</v>
          </cell>
          <cell r="AU25">
            <v>0.38641455147918596</v>
          </cell>
          <cell r="AV25">
            <v>0.5922615555381916</v>
          </cell>
        </row>
        <row r="26">
          <cell r="AH26">
            <v>1180455</v>
          </cell>
          <cell r="AI26">
            <v>2887.668726171205</v>
          </cell>
          <cell r="AJ26">
            <v>408.79169736522363</v>
          </cell>
          <cell r="AK26">
            <v>820</v>
          </cell>
          <cell r="AL26">
            <v>1439.5792682926829</v>
          </cell>
          <cell r="AM26">
            <v>820</v>
          </cell>
          <cell r="AN26">
            <v>1439.5792682926829</v>
          </cell>
          <cell r="AO26">
            <v>636.4</v>
          </cell>
          <cell r="AP26">
            <v>1854.8947203016971</v>
          </cell>
          <cell r="AQ26">
            <v>-1448.0894578785221</v>
          </cell>
          <cell r="AR26">
            <v>-1448.0894578785221</v>
          </cell>
          <cell r="AS26">
            <v>-1032.7740058695078</v>
          </cell>
          <cell r="AT26">
            <v>0.49852646020149216</v>
          </cell>
          <cell r="AU26">
            <v>0.49852646020149216</v>
          </cell>
          <cell r="AV26">
            <v>0.64235024727407863</v>
          </cell>
        </row>
        <row r="27">
          <cell r="AH27">
            <v>1180455</v>
          </cell>
          <cell r="AI27">
            <v>6613.1476523193196</v>
          </cell>
          <cell r="AJ27">
            <v>178.50123149541332</v>
          </cell>
          <cell r="AK27">
            <v>410</v>
          </cell>
          <cell r="AL27">
            <v>2879.1585365853657</v>
          </cell>
          <cell r="AM27">
            <v>410</v>
          </cell>
          <cell r="AN27">
            <v>2879.1585365853657</v>
          </cell>
          <cell r="AO27">
            <v>290.65562574696941</v>
          </cell>
          <cell r="AP27">
            <v>4061.3526642269308</v>
          </cell>
          <cell r="AQ27">
            <v>-3733.9891157339539</v>
          </cell>
          <cell r="AR27">
            <v>-3733.9891157339539</v>
          </cell>
          <cell r="AS27">
            <v>-2551.7949880923888</v>
          </cell>
          <cell r="AT27">
            <v>0.43536885730588615</v>
          </cell>
          <cell r="AU27">
            <v>0.43536885730588615</v>
          </cell>
          <cell r="AV27">
            <v>0.61413306911460841</v>
          </cell>
        </row>
        <row r="28">
          <cell r="AH28">
            <v>0</v>
          </cell>
          <cell r="AI28">
            <v>4666.7438739402378</v>
          </cell>
          <cell r="AJ28">
            <v>0</v>
          </cell>
          <cell r="AK28">
            <v>4.6699999999999998E-2</v>
          </cell>
          <cell r="AL28">
            <v>2454.9454910593568</v>
          </cell>
          <cell r="AM28">
            <v>4.6699999999999998E-2</v>
          </cell>
          <cell r="AN28">
            <v>2294.2770250256881</v>
          </cell>
          <cell r="AO28">
            <v>1.4514928038275858</v>
          </cell>
          <cell r="AP28">
            <v>7121</v>
          </cell>
          <cell r="AQ28">
            <v>-2211.798382880881</v>
          </cell>
          <cell r="AR28">
            <v>-2372.4668489145497</v>
          </cell>
          <cell r="AS28">
            <v>2454.2561260597622</v>
          </cell>
          <cell r="AT28">
            <v>0.52605104487694765</v>
          </cell>
          <cell r="AU28">
            <v>0.49162265746728839</v>
          </cell>
          <cell r="AV28">
            <v>1.5259033262495243</v>
          </cell>
        </row>
        <row r="29">
          <cell r="AH29">
            <v>0</v>
          </cell>
          <cell r="AI29">
            <v>2451.4168189908919</v>
          </cell>
          <cell r="AJ29">
            <v>0</v>
          </cell>
          <cell r="AK29">
            <v>4.6699999999999998E-2</v>
          </cell>
          <cell r="AL29">
            <v>2454.9454910593568</v>
          </cell>
          <cell r="AM29">
            <v>4.6699999999999998E-2</v>
          </cell>
          <cell r="AN29">
            <v>2294.2770250256881</v>
          </cell>
          <cell r="AO29">
            <v>0.71341452231379721</v>
          </cell>
          <cell r="AP29">
            <v>3500</v>
          </cell>
          <cell r="AQ29">
            <v>3.5286720684648571</v>
          </cell>
          <cell r="AR29">
            <v>-157.13979396520381</v>
          </cell>
          <cell r="AS29">
            <v>1048.5831810091081</v>
          </cell>
          <cell r="AT29">
            <v>1.0014394418938177</v>
          </cell>
          <cell r="AU29">
            <v>0.93589837813469468</v>
          </cell>
          <cell r="AV29">
            <v>1.4277457725205418</v>
          </cell>
        </row>
        <row r="30">
          <cell r="AH30">
            <v>0</v>
          </cell>
          <cell r="AI30">
            <v>4498.2074940629254</v>
          </cell>
          <cell r="AJ30">
            <v>0</v>
          </cell>
          <cell r="AK30">
            <v>4.6699999999999998E-2</v>
          </cell>
          <cell r="AL30">
            <v>2454.9454910593568</v>
          </cell>
          <cell r="AM30">
            <v>4.6699999999999998E-2</v>
          </cell>
          <cell r="AN30">
            <v>2294.2770250256881</v>
          </cell>
          <cell r="AO30">
            <v>1.3878969949813273</v>
          </cell>
          <cell r="AP30">
            <v>6809</v>
          </cell>
          <cell r="AQ30">
            <v>-2043.2620030035687</v>
          </cell>
          <cell r="AR30">
            <v>-2203.9304690372373</v>
          </cell>
          <cell r="AS30">
            <v>2310.7925059370746</v>
          </cell>
          <cell r="AT30">
            <v>0.54576083791145236</v>
          </cell>
          <cell r="AU30">
            <v>0.5100425064992774</v>
          </cell>
          <cell r="AV30">
            <v>1.5137140758817893</v>
          </cell>
        </row>
        <row r="31">
          <cell r="AI31">
            <v>11616.368186994056</v>
          </cell>
          <cell r="AK31">
            <v>0.15</v>
          </cell>
          <cell r="AL31">
            <v>7453.3901094244757</v>
          </cell>
          <cell r="AM31">
            <v>0.15</v>
          </cell>
          <cell r="AN31">
            <v>6937.3243726996297</v>
          </cell>
          <cell r="AP31">
            <v>17430</v>
          </cell>
          <cell r="AQ31">
            <v>-4162.9780775695799</v>
          </cell>
          <cell r="AR31">
            <v>-4679.0438142944258</v>
          </cell>
          <cell r="AS31">
            <v>5813.6318130059444</v>
          </cell>
          <cell r="AT31">
            <v>0.64162826017941277</v>
          </cell>
          <cell r="AU31">
            <v>0.59720252156494247</v>
          </cell>
          <cell r="AV31">
            <v>1.500468969252801</v>
          </cell>
        </row>
        <row r="33">
          <cell r="AH33">
            <v>3445258</v>
          </cell>
          <cell r="AI33">
            <v>91289.326850345911</v>
          </cell>
          <cell r="AJ33">
            <v>37.739986906113828</v>
          </cell>
          <cell r="AK33">
            <v>52.509606608368159</v>
          </cell>
          <cell r="AL33">
            <v>65611.95603112648</v>
          </cell>
          <cell r="AM33">
            <v>55.187174162995142</v>
          </cell>
          <cell r="AN33">
            <v>62428.599620347319</v>
          </cell>
          <cell r="AO33">
            <v>44.043397973195894</v>
          </cell>
          <cell r="AP33">
            <v>78224.164313950721</v>
          </cell>
          <cell r="AQ33">
            <v>-25677.370819219461</v>
          </cell>
          <cell r="AR33">
            <v>-28860.719729999211</v>
          </cell>
          <cell r="AS33">
            <v>-13065.155036395798</v>
          </cell>
          <cell r="AT33">
            <v>0.71872537891189259</v>
          </cell>
          <cell r="AU33">
            <v>0.68385430996428431</v>
          </cell>
          <cell r="AV33">
            <v>0.85688181754463577</v>
          </cell>
        </row>
        <row r="35">
          <cell r="AH35">
            <v>2184694</v>
          </cell>
          <cell r="AI35">
            <v>25034.836604584096</v>
          </cell>
          <cell r="AJ35">
            <v>87.266157734776812</v>
          </cell>
          <cell r="AK35">
            <v>118.77512547368046</v>
          </cell>
          <cell r="AL35">
            <v>18393.531400512889</v>
          </cell>
          <cell r="AM35">
            <v>116.06179026818901</v>
          </cell>
          <cell r="AN35">
            <v>18823.542140369649</v>
          </cell>
          <cell r="AO35">
            <v>105.18686202860103</v>
          </cell>
          <cell r="AP35">
            <v>20769.647063014076</v>
          </cell>
          <cell r="AQ35">
            <v>-6641.3052040712064</v>
          </cell>
          <cell r="AR35">
            <v>-6211.2944642144466</v>
          </cell>
          <cell r="AS35">
            <v>-4265.1895415700201</v>
          </cell>
          <cell r="AT35">
            <v>0.7347174535640818</v>
          </cell>
          <cell r="AU35">
            <v>0.75189394832810275</v>
          </cell>
          <cell r="AV35">
            <v>0.82962982307665523</v>
          </cell>
        </row>
        <row r="36">
          <cell r="AH36">
            <v>1180455</v>
          </cell>
          <cell r="AI36">
            <v>46543.768570272048</v>
          </cell>
          <cell r="AJ36">
            <v>25.362256565403428</v>
          </cell>
          <cell r="AK36">
            <v>41.072810859846882</v>
          </cell>
          <cell r="AL36">
            <v>28740.545759774686</v>
          </cell>
          <cell r="AM36">
            <v>46.094986847932468</v>
          </cell>
          <cell r="AN36">
            <v>25609.184007239775</v>
          </cell>
          <cell r="AO36">
            <v>37.344377258012003</v>
          </cell>
          <cell r="AP36">
            <v>31609.979511620877</v>
          </cell>
          <cell r="AQ36">
            <v>-17803.222810497362</v>
          </cell>
          <cell r="AR36">
            <v>-20934.584563032273</v>
          </cell>
          <cell r="AS36">
            <v>-14933.789058651171</v>
          </cell>
          <cell r="AT36">
            <v>0.61749502978861814</v>
          </cell>
          <cell r="AU36">
            <v>0.55021724269221739</v>
          </cell>
          <cell r="AV36">
            <v>0.67914525365293421</v>
          </cell>
        </row>
        <row r="37">
          <cell r="AH37">
            <v>80109</v>
          </cell>
          <cell r="AI37">
            <v>19710.721675489767</v>
          </cell>
          <cell r="AJ37">
            <v>4.0642347509586791</v>
          </cell>
          <cell r="AK37">
            <v>4.3354002134100478</v>
          </cell>
          <cell r="AL37">
            <v>18477.878870838904</v>
          </cell>
          <cell r="AM37">
            <v>4.4515205178208124</v>
          </cell>
          <cell r="AN37">
            <v>17995.873472737891</v>
          </cell>
          <cell r="AO37">
            <v>3.099649171830027</v>
          </cell>
          <cell r="AP37">
            <v>25844.537739315769</v>
          </cell>
          <cell r="AQ37">
            <v>-1232.8428046508634</v>
          </cell>
          <cell r="AR37">
            <v>-1714.8482027519094</v>
          </cell>
          <cell r="AS37">
            <v>6133.8160638259769</v>
          </cell>
          <cell r="AT37">
            <v>0.93745318791732013</v>
          </cell>
          <cell r="AU37">
            <v>0.91299921783765603</v>
          </cell>
          <cell r="AV37">
            <v>1.3111918561284015</v>
          </cell>
        </row>
        <row r="39">
          <cell r="AH39">
            <v>3445258</v>
          </cell>
          <cell r="AI39">
            <v>91289.326850345911</v>
          </cell>
          <cell r="AJ39">
            <v>37.739986906113828</v>
          </cell>
          <cell r="AK39">
            <v>52.509606608368159</v>
          </cell>
          <cell r="AL39">
            <v>65611.95603112648</v>
          </cell>
          <cell r="AM39">
            <v>55.187174162995142</v>
          </cell>
          <cell r="AN39">
            <v>62428.599620347319</v>
          </cell>
          <cell r="AO39">
            <v>44.043397973195894</v>
          </cell>
          <cell r="AP39">
            <v>78224.164313950721</v>
          </cell>
          <cell r="AQ39">
            <v>-25677.370819219432</v>
          </cell>
          <cell r="AR39">
            <v>-28860.727229998593</v>
          </cell>
          <cell r="AS39">
            <v>-13065.16253639519</v>
          </cell>
          <cell r="AT39">
            <v>0.71872537891189259</v>
          </cell>
          <cell r="AU39">
            <v>0.68385430996428442</v>
          </cell>
          <cell r="AV39">
            <v>0.85688181754463577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angeLog"/>
      <sheetName val="Refresh"/>
      <sheetName val="FlowPath"/>
      <sheetName val="Productivity"/>
      <sheetName val="ProdCalcs"/>
      <sheetName val="RateQuery"/>
      <sheetName val="DataClerkQuery"/>
      <sheetName val="ProdQuery3"/>
      <sheetName val="ProdQuery2"/>
      <sheetName val="ShiftAnalysis"/>
      <sheetName val="ProdQuery"/>
      <sheetName val="ABE2ChartData"/>
      <sheetName val="ABE3ChartData"/>
      <sheetName val="WeeklySummari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4">
          <cell r="A4">
            <v>38211</v>
          </cell>
          <cell r="B4" t="str">
            <v>Picking</v>
          </cell>
        </row>
        <row r="5">
          <cell r="B5" t="str">
            <v>Levimatic</v>
          </cell>
        </row>
        <row r="6">
          <cell r="B6" t="str">
            <v>Picking</v>
          </cell>
        </row>
        <row r="7">
          <cell r="B7" t="str">
            <v>Levimatic</v>
          </cell>
        </row>
        <row r="8">
          <cell r="B8" t="str">
            <v>Picking</v>
          </cell>
        </row>
        <row r="9">
          <cell r="B9" t="str">
            <v>Levimatic</v>
          </cell>
        </row>
        <row r="10">
          <cell r="B10" t="str">
            <v>Sortation</v>
          </cell>
        </row>
        <row r="11">
          <cell r="B11" t="str">
            <v>Rebin</v>
          </cell>
        </row>
        <row r="12">
          <cell r="B12" t="str">
            <v>Stack</v>
          </cell>
        </row>
        <row r="13">
          <cell r="B13" t="str">
            <v>Bundler</v>
          </cell>
        </row>
        <row r="14">
          <cell r="B14" t="str">
            <v>Giftwrap</v>
          </cell>
        </row>
        <row r="15">
          <cell r="B15" t="str">
            <v>Picking</v>
          </cell>
        </row>
        <row r="16">
          <cell r="B16" t="str">
            <v>Levimatic</v>
          </cell>
        </row>
        <row r="17">
          <cell r="B17" t="str">
            <v>BMV Receive</v>
          </cell>
        </row>
        <row r="18">
          <cell r="B18" t="str">
            <v>BMV Stow</v>
          </cell>
        </row>
        <row r="19">
          <cell r="B19" t="str">
            <v>CustomerService</v>
          </cell>
        </row>
        <row r="20">
          <cell r="B20" t="str">
            <v>QA</v>
          </cell>
        </row>
        <row r="21">
          <cell r="B21" t="str">
            <v>Sortation</v>
          </cell>
        </row>
        <row r="22">
          <cell r="B22" t="str">
            <v>Rebin</v>
          </cell>
        </row>
        <row r="23">
          <cell r="B23" t="str">
            <v>Stack</v>
          </cell>
        </row>
        <row r="24">
          <cell r="B24" t="str">
            <v>Bundler</v>
          </cell>
        </row>
        <row r="25">
          <cell r="B25" t="str">
            <v>Giftwrap</v>
          </cell>
        </row>
        <row r="26">
          <cell r="B26" t="str">
            <v>Shipping</v>
          </cell>
        </row>
        <row r="27">
          <cell r="B27" t="str">
            <v>Autobox</v>
          </cell>
        </row>
        <row r="28">
          <cell r="B28" t="str">
            <v>Autobox2</v>
          </cell>
        </row>
        <row r="29">
          <cell r="B29" t="str">
            <v>ShipSupport</v>
          </cell>
        </row>
        <row r="30">
          <cell r="B30" t="str">
            <v>BMV Receive</v>
          </cell>
        </row>
        <row r="31">
          <cell r="B31" t="str">
            <v>BMV Stow</v>
          </cell>
        </row>
        <row r="32">
          <cell r="B32" t="str">
            <v>Offsite1Ship</v>
          </cell>
        </row>
        <row r="33">
          <cell r="B33" t="str">
            <v>Offsite1Receive</v>
          </cell>
        </row>
        <row r="34">
          <cell r="B34" t="str">
            <v>CustomerService</v>
          </cell>
        </row>
        <row r="35">
          <cell r="B35" t="str">
            <v>Shipping</v>
          </cell>
        </row>
        <row r="36">
          <cell r="B36" t="str">
            <v>Autobox</v>
          </cell>
        </row>
        <row r="37">
          <cell r="B37" t="str">
            <v>Autobox2</v>
          </cell>
        </row>
        <row r="38">
          <cell r="B38" t="str">
            <v>ShipSupport</v>
          </cell>
        </row>
        <row r="39">
          <cell r="B39" t="str">
            <v>QA</v>
          </cell>
        </row>
        <row r="40">
          <cell r="B40" t="str">
            <v>Sortation</v>
          </cell>
        </row>
        <row r="41">
          <cell r="B41" t="str">
            <v>Rebin</v>
          </cell>
        </row>
        <row r="42">
          <cell r="B42" t="str">
            <v>Stack</v>
          </cell>
        </row>
        <row r="43">
          <cell r="B43" t="str">
            <v>Bundler</v>
          </cell>
        </row>
        <row r="44">
          <cell r="B44" t="str">
            <v>Giftwrap</v>
          </cell>
        </row>
        <row r="45">
          <cell r="B45" t="str">
            <v>Picking</v>
          </cell>
        </row>
        <row r="46">
          <cell r="B46" t="str">
            <v>Levimatic</v>
          </cell>
        </row>
        <row r="47">
          <cell r="B47" t="str">
            <v>Office</v>
          </cell>
        </row>
        <row r="48">
          <cell r="B48" t="str">
            <v>Training</v>
          </cell>
        </row>
        <row r="49">
          <cell r="B49" t="str">
            <v>InventoryControl</v>
          </cell>
        </row>
        <row r="50">
          <cell r="B50" t="str">
            <v>Office</v>
          </cell>
        </row>
        <row r="51">
          <cell r="B51" t="str">
            <v>Offsite1Receive</v>
          </cell>
        </row>
        <row r="52">
          <cell r="B52" t="str">
            <v>BMV Receive</v>
          </cell>
        </row>
        <row r="53">
          <cell r="B53" t="str">
            <v>BMV Receive</v>
          </cell>
        </row>
        <row r="54">
          <cell r="B54" t="str">
            <v>Picking</v>
          </cell>
        </row>
        <row r="55">
          <cell r="B55" t="str">
            <v>QA</v>
          </cell>
        </row>
        <row r="56">
          <cell r="B56" t="str">
            <v>Facilities</v>
          </cell>
        </row>
        <row r="57">
          <cell r="B57" t="str">
            <v>Facilities</v>
          </cell>
        </row>
        <row r="58">
          <cell r="B58" t="str">
            <v>SNOC</v>
          </cell>
        </row>
        <row r="59">
          <cell r="B59" t="str">
            <v>SNOC</v>
          </cell>
        </row>
        <row r="60">
          <cell r="B60" t="str">
            <v>Sortation</v>
          </cell>
        </row>
        <row r="61">
          <cell r="B61" t="str">
            <v>Shipping</v>
          </cell>
        </row>
        <row r="62">
          <cell r="B62" t="str">
            <v>CustomerService</v>
          </cell>
        </row>
        <row r="63">
          <cell r="B63" t="str">
            <v>Bundler</v>
          </cell>
        </row>
        <row r="64">
          <cell r="B64" t="str">
            <v>InventoryControl</v>
          </cell>
        </row>
        <row r="65">
          <cell r="B65" t="str">
            <v>Shipping</v>
          </cell>
        </row>
        <row r="66">
          <cell r="B66" t="str">
            <v>Autobox</v>
          </cell>
        </row>
        <row r="67">
          <cell r="B67" t="str">
            <v>Autobox2</v>
          </cell>
        </row>
        <row r="68">
          <cell r="B68" t="str">
            <v>ShipSupport</v>
          </cell>
        </row>
        <row r="69">
          <cell r="B69" t="str">
            <v>QA</v>
          </cell>
        </row>
        <row r="70">
          <cell r="B70" t="str">
            <v>Picking</v>
          </cell>
        </row>
        <row r="71">
          <cell r="B71" t="str">
            <v>Levimatic</v>
          </cell>
        </row>
        <row r="72">
          <cell r="B72" t="str">
            <v>Training</v>
          </cell>
        </row>
        <row r="73">
          <cell r="B73" t="str">
            <v>BMV Receive</v>
          </cell>
        </row>
        <row r="74">
          <cell r="B74" t="str">
            <v>BMV Stow</v>
          </cell>
        </row>
        <row r="75">
          <cell r="B75" t="str">
            <v>Replenishment</v>
          </cell>
        </row>
        <row r="76">
          <cell r="B76" t="str">
            <v>Sortation</v>
          </cell>
        </row>
        <row r="77">
          <cell r="B77" t="str">
            <v>Rebin</v>
          </cell>
        </row>
        <row r="78">
          <cell r="B78" t="str">
            <v>Stack</v>
          </cell>
        </row>
        <row r="79">
          <cell r="B79" t="str">
            <v>Bundler</v>
          </cell>
        </row>
        <row r="80">
          <cell r="B80" t="str">
            <v>Giftwrap</v>
          </cell>
        </row>
        <row r="81">
          <cell r="B81" t="str">
            <v>CustomerService</v>
          </cell>
        </row>
        <row r="82">
          <cell r="B82" t="str">
            <v>Office</v>
          </cell>
        </row>
        <row r="83">
          <cell r="B83" t="str">
            <v>Office</v>
          </cell>
        </row>
        <row r="84">
          <cell r="B84" t="str">
            <v>Offsite1Receive</v>
          </cell>
        </row>
        <row r="85">
          <cell r="B85" t="str">
            <v>BMV Receive</v>
          </cell>
        </row>
        <row r="86">
          <cell r="B86" t="str">
            <v>Picking</v>
          </cell>
        </row>
        <row r="87">
          <cell r="B87" t="str">
            <v>QA</v>
          </cell>
        </row>
        <row r="88">
          <cell r="B88" t="str">
            <v>Facilities</v>
          </cell>
        </row>
        <row r="89">
          <cell r="B89" t="str">
            <v>Facilities</v>
          </cell>
        </row>
        <row r="90">
          <cell r="B90" t="str">
            <v>SNOC</v>
          </cell>
        </row>
        <row r="91">
          <cell r="B91" t="str">
            <v>SNOC</v>
          </cell>
        </row>
        <row r="92">
          <cell r="B92" t="str">
            <v>Sortation</v>
          </cell>
        </row>
        <row r="93">
          <cell r="B93" t="str">
            <v>Shipping</v>
          </cell>
        </row>
        <row r="94">
          <cell r="B94" t="str">
            <v>CustomerService</v>
          </cell>
        </row>
        <row r="95">
          <cell r="B95" t="str">
            <v>Bundler</v>
          </cell>
        </row>
        <row r="96">
          <cell r="B96" t="str">
            <v>Office</v>
          </cell>
        </row>
        <row r="97">
          <cell r="B97" t="str">
            <v>BMV Receive</v>
          </cell>
        </row>
        <row r="98">
          <cell r="B98" t="str">
            <v>BMV Stow</v>
          </cell>
        </row>
        <row r="99">
          <cell r="B99" t="str">
            <v>Replenishment</v>
          </cell>
        </row>
        <row r="100">
          <cell r="B100" t="str">
            <v>Offsite1Ship</v>
          </cell>
        </row>
        <row r="101">
          <cell r="B101" t="str">
            <v>Offsite1Receive</v>
          </cell>
        </row>
        <row r="102">
          <cell r="B102" t="str">
            <v>Picking</v>
          </cell>
        </row>
        <row r="103">
          <cell r="B103" t="str">
            <v>Levimatic</v>
          </cell>
        </row>
        <row r="104">
          <cell r="B104" t="str">
            <v>CReturns</v>
          </cell>
        </row>
        <row r="105">
          <cell r="B105" t="str">
            <v>Vreturns</v>
          </cell>
        </row>
        <row r="106">
          <cell r="B106" t="str">
            <v>InventoryControl</v>
          </cell>
        </row>
        <row r="107">
          <cell r="B107" t="str">
            <v>Sortation</v>
          </cell>
        </row>
        <row r="108">
          <cell r="B108" t="str">
            <v>Rebin</v>
          </cell>
        </row>
        <row r="109">
          <cell r="B109" t="str">
            <v>Stack</v>
          </cell>
        </row>
        <row r="110">
          <cell r="B110" t="str">
            <v>Bundler</v>
          </cell>
        </row>
        <row r="111">
          <cell r="B111" t="str">
            <v>Giftwrap</v>
          </cell>
        </row>
        <row r="112">
          <cell r="B112" t="str">
            <v>Shipping</v>
          </cell>
        </row>
        <row r="113">
          <cell r="B113" t="str">
            <v>Autobox</v>
          </cell>
        </row>
        <row r="114">
          <cell r="B114" t="str">
            <v>Autobox2</v>
          </cell>
        </row>
        <row r="115">
          <cell r="B115" t="str">
            <v>ShipSupport</v>
          </cell>
        </row>
        <row r="116">
          <cell r="B116" t="str">
            <v>Picking</v>
          </cell>
        </row>
        <row r="117">
          <cell r="B117" t="str">
            <v>Levimatic</v>
          </cell>
        </row>
        <row r="118">
          <cell r="B118" t="str">
            <v>QA</v>
          </cell>
        </row>
        <row r="119">
          <cell r="B119" t="str">
            <v>CustomerService</v>
          </cell>
        </row>
        <row r="120">
          <cell r="B120" t="str">
            <v>Training</v>
          </cell>
        </row>
        <row r="121">
          <cell r="B121" t="str">
            <v>Office</v>
          </cell>
        </row>
        <row r="122">
          <cell r="B122" t="str">
            <v>BMV Receive</v>
          </cell>
        </row>
        <row r="123">
          <cell r="B123" t="str">
            <v>QA</v>
          </cell>
        </row>
        <row r="124">
          <cell r="B124" t="str">
            <v>Facilities</v>
          </cell>
        </row>
        <row r="125">
          <cell r="B125" t="str">
            <v>SNOC</v>
          </cell>
        </row>
        <row r="126">
          <cell r="B126" t="str">
            <v>SNOC</v>
          </cell>
        </row>
        <row r="127">
          <cell r="B127" t="str">
            <v>Sortation</v>
          </cell>
        </row>
        <row r="128">
          <cell r="B128" t="str">
            <v>Shipping</v>
          </cell>
        </row>
        <row r="129">
          <cell r="B129" t="str">
            <v>CustomerService</v>
          </cell>
        </row>
        <row r="130">
          <cell r="B130" t="str">
            <v>Bundler</v>
          </cell>
        </row>
        <row r="131">
          <cell r="B131" t="str">
            <v>Picking</v>
          </cell>
        </row>
        <row r="132">
          <cell r="B132" t="str">
            <v>Levimatic</v>
          </cell>
        </row>
        <row r="133">
          <cell r="B133" t="str">
            <v>CReturns</v>
          </cell>
        </row>
        <row r="134">
          <cell r="B134" t="str">
            <v>Offsite1Receive</v>
          </cell>
        </row>
        <row r="135">
          <cell r="B135" t="str">
            <v>Offsite1Ship</v>
          </cell>
        </row>
        <row r="136">
          <cell r="B136" t="str">
            <v>Sortation</v>
          </cell>
        </row>
        <row r="137">
          <cell r="B137" t="str">
            <v>Rebin</v>
          </cell>
        </row>
        <row r="138">
          <cell r="B138" t="str">
            <v>Stack</v>
          </cell>
        </row>
        <row r="139">
          <cell r="B139" t="str">
            <v>Bundler</v>
          </cell>
        </row>
        <row r="140">
          <cell r="B140" t="str">
            <v>Giftwrap</v>
          </cell>
        </row>
        <row r="141">
          <cell r="B141" t="str">
            <v>Replenishment</v>
          </cell>
        </row>
        <row r="142">
          <cell r="B142" t="str">
            <v>Replenishment</v>
          </cell>
        </row>
        <row r="143">
          <cell r="B143" t="str">
            <v>BMV Receive</v>
          </cell>
        </row>
        <row r="144">
          <cell r="B144" t="str">
            <v>BMV Stow</v>
          </cell>
        </row>
        <row r="145">
          <cell r="B145" t="str">
            <v>BMV Stow</v>
          </cell>
        </row>
        <row r="146">
          <cell r="B146" t="str">
            <v>InventoryControl</v>
          </cell>
        </row>
        <row r="147">
          <cell r="B147" t="str">
            <v>QA</v>
          </cell>
        </row>
        <row r="148">
          <cell r="B148" t="str">
            <v>CustomerService</v>
          </cell>
        </row>
        <row r="149">
          <cell r="B149" t="str">
            <v>BMV Receive</v>
          </cell>
        </row>
        <row r="150">
          <cell r="B150" t="str">
            <v>Sortation</v>
          </cell>
        </row>
        <row r="151">
          <cell r="B151" t="str">
            <v>Rebin</v>
          </cell>
        </row>
        <row r="152">
          <cell r="B152" t="str">
            <v>Stack</v>
          </cell>
        </row>
        <row r="153">
          <cell r="B153" t="str">
            <v>Bundler</v>
          </cell>
        </row>
        <row r="154">
          <cell r="B154" t="str">
            <v>Giftwrap</v>
          </cell>
        </row>
        <row r="155">
          <cell r="B155" t="str">
            <v>Shipping</v>
          </cell>
        </row>
        <row r="156">
          <cell r="B156" t="str">
            <v>Autobox</v>
          </cell>
        </row>
        <row r="157">
          <cell r="B157" t="str">
            <v>Autobox2</v>
          </cell>
        </row>
        <row r="158">
          <cell r="B158" t="str">
            <v>ShipSupport</v>
          </cell>
        </row>
        <row r="159">
          <cell r="B159" t="str">
            <v>Picking</v>
          </cell>
        </row>
        <row r="160">
          <cell r="B160" t="str">
            <v>Levimatic</v>
          </cell>
        </row>
        <row r="161">
          <cell r="B161" t="str">
            <v>Vreturns</v>
          </cell>
        </row>
        <row r="162">
          <cell r="B162" t="str">
            <v>Office</v>
          </cell>
        </row>
        <row r="163">
          <cell r="B163" t="str">
            <v>Office</v>
          </cell>
        </row>
        <row r="164">
          <cell r="B164" t="str">
            <v>Offsite1Receive</v>
          </cell>
        </row>
        <row r="165">
          <cell r="B165" t="str">
            <v>Shipping</v>
          </cell>
        </row>
        <row r="166">
          <cell r="B166" t="str">
            <v>Autobox</v>
          </cell>
        </row>
        <row r="167">
          <cell r="B167" t="str">
            <v>Autobox2</v>
          </cell>
        </row>
        <row r="168">
          <cell r="B168" t="str">
            <v>ShipSupport</v>
          </cell>
        </row>
        <row r="169">
          <cell r="B169" t="str">
            <v>Training</v>
          </cell>
        </row>
        <row r="170">
          <cell r="B170" t="str">
            <v>Training</v>
          </cell>
        </row>
        <row r="171">
          <cell r="B171" t="str">
            <v>QA</v>
          </cell>
        </row>
        <row r="172">
          <cell r="B172" t="str">
            <v>Facilities</v>
          </cell>
        </row>
        <row r="173">
          <cell r="B173" t="str">
            <v>Facilities</v>
          </cell>
        </row>
        <row r="174">
          <cell r="B174" t="str">
            <v>SNOC</v>
          </cell>
        </row>
        <row r="175">
          <cell r="B175" t="str">
            <v>SNOC</v>
          </cell>
        </row>
        <row r="176">
          <cell r="B176" t="str">
            <v>CustomerService</v>
          </cell>
        </row>
        <row r="177">
          <cell r="B177" t="str">
            <v>Picking</v>
          </cell>
        </row>
        <row r="178">
          <cell r="B178" t="str">
            <v>Levimatic</v>
          </cell>
        </row>
        <row r="179">
          <cell r="B179" t="str">
            <v>Office</v>
          </cell>
        </row>
        <row r="180">
          <cell r="B180" t="str">
            <v>Offsite1Ship</v>
          </cell>
        </row>
        <row r="181">
          <cell r="B181" t="str">
            <v>Offsite1Receive</v>
          </cell>
        </row>
        <row r="182">
          <cell r="B182" t="str">
            <v>Sortation</v>
          </cell>
        </row>
        <row r="183">
          <cell r="B183" t="str">
            <v>Rebin</v>
          </cell>
        </row>
        <row r="184">
          <cell r="B184" t="str">
            <v>Stack</v>
          </cell>
        </row>
        <row r="185">
          <cell r="B185" t="str">
            <v>Bundler</v>
          </cell>
        </row>
        <row r="186">
          <cell r="B186" t="str">
            <v>Giftwrap</v>
          </cell>
        </row>
        <row r="187">
          <cell r="B187" t="str">
            <v>BMV Receive</v>
          </cell>
        </row>
        <row r="188">
          <cell r="B188" t="str">
            <v>BMV Stow</v>
          </cell>
        </row>
        <row r="189">
          <cell r="B189" t="str">
            <v>QA</v>
          </cell>
        </row>
        <row r="190">
          <cell r="B190" t="str">
            <v>InventoryControl</v>
          </cell>
        </row>
        <row r="191">
          <cell r="B191" t="str">
            <v>Replenishment</v>
          </cell>
        </row>
        <row r="192">
          <cell r="B192" t="str">
            <v>CReturns</v>
          </cell>
        </row>
        <row r="193">
          <cell r="B193" t="str">
            <v>CustomerService</v>
          </cell>
        </row>
        <row r="194">
          <cell r="B194" t="str">
            <v>Shipping</v>
          </cell>
        </row>
        <row r="195">
          <cell r="B195" t="str">
            <v>Autobox</v>
          </cell>
        </row>
        <row r="196">
          <cell r="B196" t="str">
            <v>Autobox2</v>
          </cell>
        </row>
        <row r="197">
          <cell r="B197" t="str">
            <v>ShipSupport</v>
          </cell>
        </row>
        <row r="198">
          <cell r="B198" t="str">
            <v>BMV Receive</v>
          </cell>
        </row>
        <row r="199">
          <cell r="B199" t="str">
            <v>Sortation</v>
          </cell>
        </row>
        <row r="200">
          <cell r="B200" t="str">
            <v>Rebin</v>
          </cell>
        </row>
        <row r="201">
          <cell r="B201" t="str">
            <v>Stack</v>
          </cell>
        </row>
        <row r="202">
          <cell r="B202" t="str">
            <v>Bundler</v>
          </cell>
        </row>
        <row r="203">
          <cell r="B203" t="str">
            <v>Giftwrap</v>
          </cell>
        </row>
        <row r="204">
          <cell r="B204" t="str">
            <v>BMV Stow</v>
          </cell>
        </row>
        <row r="205">
          <cell r="B205" t="str">
            <v>Vreturns</v>
          </cell>
        </row>
        <row r="206">
          <cell r="B206" t="str">
            <v>Picking</v>
          </cell>
        </row>
        <row r="207">
          <cell r="B207" t="str">
            <v>Levimatic</v>
          </cell>
        </row>
        <row r="208">
          <cell r="B208" t="str">
            <v>Shipping</v>
          </cell>
        </row>
        <row r="209">
          <cell r="B209" t="str">
            <v>Autobox</v>
          </cell>
        </row>
        <row r="210">
          <cell r="B210" t="str">
            <v>Autobox2</v>
          </cell>
        </row>
        <row r="211">
          <cell r="B211" t="str">
            <v>ShipSupport</v>
          </cell>
        </row>
        <row r="212">
          <cell r="B212" t="str">
            <v>Replenishment</v>
          </cell>
        </row>
        <row r="213">
          <cell r="B213" t="str">
            <v>Office</v>
          </cell>
        </row>
        <row r="214">
          <cell r="B214" t="str">
            <v>QA</v>
          </cell>
        </row>
        <row r="215">
          <cell r="B215" t="str">
            <v>Facilities</v>
          </cell>
        </row>
        <row r="216">
          <cell r="B216" t="str">
            <v>Facilities</v>
          </cell>
        </row>
        <row r="217">
          <cell r="B217" t="str">
            <v>SNOC</v>
          </cell>
        </row>
        <row r="218">
          <cell r="B218" t="str">
            <v>SNOC</v>
          </cell>
        </row>
        <row r="219">
          <cell r="B219" t="str">
            <v>CustomerService</v>
          </cell>
        </row>
        <row r="220">
          <cell r="B220" t="str">
            <v>Training</v>
          </cell>
        </row>
        <row r="221">
          <cell r="B221" t="str">
            <v>Picking</v>
          </cell>
        </row>
        <row r="222">
          <cell r="B222" t="str">
            <v>Levimatic</v>
          </cell>
        </row>
        <row r="223">
          <cell r="B223" t="str">
            <v>Offsite1Receive</v>
          </cell>
        </row>
        <row r="224">
          <cell r="B224" t="str">
            <v>Offsite1Ship</v>
          </cell>
        </row>
        <row r="225">
          <cell r="B225" t="str">
            <v>InventoryControl</v>
          </cell>
        </row>
        <row r="226">
          <cell r="B226" t="str">
            <v>BMV Receive</v>
          </cell>
        </row>
        <row r="227">
          <cell r="B227" t="str">
            <v>BMV Stow</v>
          </cell>
        </row>
        <row r="228">
          <cell r="B228" t="str">
            <v>BMV Receive</v>
          </cell>
        </row>
        <row r="229">
          <cell r="B229" t="str">
            <v>Shipping</v>
          </cell>
        </row>
        <row r="230">
          <cell r="B230" t="str">
            <v>Autobox</v>
          </cell>
        </row>
        <row r="231">
          <cell r="B231" t="str">
            <v>Autobox2</v>
          </cell>
        </row>
        <row r="232">
          <cell r="B232" t="str">
            <v>ShipSupport</v>
          </cell>
        </row>
        <row r="233">
          <cell r="B233" t="str">
            <v>Picking</v>
          </cell>
        </row>
        <row r="234">
          <cell r="B234" t="str">
            <v>Levimatic</v>
          </cell>
        </row>
        <row r="235">
          <cell r="B235" t="str">
            <v>Sortation</v>
          </cell>
        </row>
        <row r="236">
          <cell r="B236" t="str">
            <v>Rebin</v>
          </cell>
        </row>
        <row r="237">
          <cell r="B237" t="str">
            <v>Stack</v>
          </cell>
        </row>
        <row r="238">
          <cell r="B238" t="str">
            <v>Bundler</v>
          </cell>
        </row>
        <row r="239">
          <cell r="B239" t="str">
            <v>Giftwrap</v>
          </cell>
        </row>
        <row r="240">
          <cell r="B240" t="str">
            <v>QA</v>
          </cell>
        </row>
        <row r="241">
          <cell r="B241" t="str">
            <v>BMV Stow</v>
          </cell>
        </row>
        <row r="242">
          <cell r="B242" t="str">
            <v>CustomerService</v>
          </cell>
        </row>
        <row r="243">
          <cell r="B243" t="str">
            <v>Replenishment</v>
          </cell>
        </row>
        <row r="244">
          <cell r="B244" t="str">
            <v>CReturns</v>
          </cell>
        </row>
        <row r="245">
          <cell r="B245" t="str">
            <v>Vreturns</v>
          </cell>
        </row>
        <row r="246">
          <cell r="B246" t="str">
            <v>Sortation</v>
          </cell>
        </row>
        <row r="247">
          <cell r="B247" t="str">
            <v>Rebin</v>
          </cell>
        </row>
        <row r="248">
          <cell r="B248" t="str">
            <v>Stack</v>
          </cell>
        </row>
        <row r="249">
          <cell r="B249" t="str">
            <v>Bundler</v>
          </cell>
        </row>
        <row r="250">
          <cell r="B250" t="str">
            <v>Giftwrap</v>
          </cell>
        </row>
        <row r="251">
          <cell r="B251" t="str">
            <v>Shipping</v>
          </cell>
        </row>
        <row r="252">
          <cell r="B252" t="str">
            <v>Autobox</v>
          </cell>
        </row>
        <row r="253">
          <cell r="B253" t="str">
            <v>Autobox2</v>
          </cell>
        </row>
        <row r="254">
          <cell r="B254" t="str">
            <v>ShipSupport</v>
          </cell>
        </row>
        <row r="255">
          <cell r="B255" t="str">
            <v>Office</v>
          </cell>
        </row>
        <row r="256">
          <cell r="B256" t="str">
            <v>Office</v>
          </cell>
        </row>
        <row r="257">
          <cell r="B257" t="str">
            <v>QA</v>
          </cell>
        </row>
        <row r="258">
          <cell r="B258" t="str">
            <v>Facilities</v>
          </cell>
        </row>
        <row r="259">
          <cell r="B259" t="str">
            <v>Facilities</v>
          </cell>
        </row>
        <row r="260">
          <cell r="B260" t="str">
            <v>SNOC</v>
          </cell>
        </row>
        <row r="261">
          <cell r="B261" t="str">
            <v>SNOC</v>
          </cell>
        </row>
        <row r="262">
          <cell r="B262" t="str">
            <v>CustomerService</v>
          </cell>
        </row>
        <row r="263">
          <cell r="B263" t="str">
            <v>Training</v>
          </cell>
        </row>
        <row r="264">
          <cell r="B264" t="str">
            <v>Picking</v>
          </cell>
        </row>
        <row r="265">
          <cell r="B265" t="str">
            <v>Levimatic</v>
          </cell>
        </row>
        <row r="266">
          <cell r="B266" t="str">
            <v>Sortation</v>
          </cell>
        </row>
        <row r="267">
          <cell r="B267" t="str">
            <v>Rebin</v>
          </cell>
        </row>
        <row r="268">
          <cell r="B268" t="str">
            <v>Stack</v>
          </cell>
        </row>
        <row r="269">
          <cell r="B269" t="str">
            <v>Bundler</v>
          </cell>
        </row>
        <row r="270">
          <cell r="B270" t="str">
            <v>Giftwrap</v>
          </cell>
        </row>
        <row r="271">
          <cell r="B271" t="str">
            <v>BMV Receive</v>
          </cell>
        </row>
        <row r="272">
          <cell r="B272" t="str">
            <v>BMV Stow</v>
          </cell>
        </row>
        <row r="273">
          <cell r="B273" t="str">
            <v>Replenishment</v>
          </cell>
        </row>
        <row r="274">
          <cell r="B274" t="str">
            <v>BMV Receive</v>
          </cell>
        </row>
        <row r="275">
          <cell r="B275" t="str">
            <v>BMV Stow</v>
          </cell>
        </row>
        <row r="276">
          <cell r="B276" t="str">
            <v>Sortation</v>
          </cell>
        </row>
        <row r="277">
          <cell r="B277" t="str">
            <v>Rebin</v>
          </cell>
        </row>
        <row r="278">
          <cell r="B278" t="str">
            <v>Stack</v>
          </cell>
        </row>
        <row r="279">
          <cell r="B279" t="str">
            <v>Bundler</v>
          </cell>
        </row>
        <row r="280">
          <cell r="B280" t="str">
            <v>Giftwrap</v>
          </cell>
        </row>
        <row r="281">
          <cell r="B281" t="str">
            <v>Shipping</v>
          </cell>
        </row>
        <row r="282">
          <cell r="B282" t="str">
            <v>Autobox</v>
          </cell>
        </row>
        <row r="283">
          <cell r="B283" t="str">
            <v>Autobox2</v>
          </cell>
        </row>
        <row r="284">
          <cell r="B284" t="str">
            <v>ShipSupport</v>
          </cell>
        </row>
        <row r="285">
          <cell r="B285" t="str">
            <v>Offsite1Receive</v>
          </cell>
        </row>
        <row r="286">
          <cell r="B286" t="str">
            <v>Offsite1Ship</v>
          </cell>
        </row>
        <row r="287">
          <cell r="B287" t="str">
            <v>Picking</v>
          </cell>
        </row>
        <row r="288">
          <cell r="B288" t="str">
            <v>Levimatic</v>
          </cell>
        </row>
        <row r="289">
          <cell r="B289" t="str">
            <v>Vreturns</v>
          </cell>
        </row>
        <row r="290">
          <cell r="B290" t="str">
            <v>CReturns</v>
          </cell>
        </row>
        <row r="291">
          <cell r="B291" t="str">
            <v>Shipping</v>
          </cell>
        </row>
        <row r="292">
          <cell r="B292" t="str">
            <v>Autobox</v>
          </cell>
        </row>
        <row r="293">
          <cell r="B293" t="str">
            <v>Autobox2</v>
          </cell>
        </row>
        <row r="294">
          <cell r="B294" t="str">
            <v>ShipSupport</v>
          </cell>
        </row>
        <row r="295">
          <cell r="B295" t="str">
            <v>InventoryControl</v>
          </cell>
        </row>
        <row r="296">
          <cell r="B296" t="str">
            <v>Office</v>
          </cell>
        </row>
        <row r="297">
          <cell r="B297" t="str">
            <v>Office</v>
          </cell>
        </row>
        <row r="298">
          <cell r="B298" t="str">
            <v>QA</v>
          </cell>
        </row>
        <row r="299">
          <cell r="B299" t="str">
            <v>QA</v>
          </cell>
        </row>
        <row r="300">
          <cell r="B300" t="str">
            <v>Facilities</v>
          </cell>
        </row>
        <row r="301">
          <cell r="B301" t="str">
            <v>Facilities</v>
          </cell>
        </row>
        <row r="302">
          <cell r="B302" t="str">
            <v>SNOC</v>
          </cell>
        </row>
        <row r="303">
          <cell r="B303" t="str">
            <v>SNOC</v>
          </cell>
        </row>
        <row r="304">
          <cell r="B304" t="str">
            <v>CustomerService</v>
          </cell>
        </row>
        <row r="305">
          <cell r="B305" t="str">
            <v>CustomerService</v>
          </cell>
        </row>
        <row r="306">
          <cell r="B306" t="str">
            <v>Vreturns</v>
          </cell>
        </row>
        <row r="307">
          <cell r="B307" t="str">
            <v>Training</v>
          </cell>
        </row>
        <row r="308">
          <cell r="B308" t="str">
            <v>Training</v>
          </cell>
        </row>
        <row r="309">
          <cell r="B309" t="str">
            <v>Replenishment</v>
          </cell>
        </row>
        <row r="310">
          <cell r="B310" t="str">
            <v>Picking</v>
          </cell>
        </row>
        <row r="311">
          <cell r="B311" t="str">
            <v>Levimatic</v>
          </cell>
        </row>
        <row r="312">
          <cell r="B312" t="str">
            <v>Sortation</v>
          </cell>
        </row>
        <row r="313">
          <cell r="B313" t="str">
            <v>Rebin</v>
          </cell>
        </row>
        <row r="314">
          <cell r="B314" t="str">
            <v>Stack</v>
          </cell>
        </row>
        <row r="315">
          <cell r="B315" t="str">
            <v>Bundler</v>
          </cell>
        </row>
        <row r="316">
          <cell r="B316" t="str">
            <v>Giftwrap</v>
          </cell>
        </row>
        <row r="317">
          <cell r="B317" t="str">
            <v>Office</v>
          </cell>
        </row>
        <row r="318">
          <cell r="B318" t="str">
            <v>Training</v>
          </cell>
        </row>
        <row r="319">
          <cell r="B319" t="str">
            <v>Shipping</v>
          </cell>
        </row>
        <row r="320">
          <cell r="B320" t="str">
            <v>Autobox</v>
          </cell>
        </row>
        <row r="321">
          <cell r="B321">
            <v>6.1900129999999995</v>
          </cell>
        </row>
        <row r="322">
          <cell r="B322">
            <v>0</v>
          </cell>
        </row>
        <row r="323">
          <cell r="B323" t="str">
            <v>InventoryControl</v>
          </cell>
        </row>
        <row r="324">
          <cell r="B324" t="str">
            <v>Office</v>
          </cell>
        </row>
        <row r="325">
          <cell r="B325" t="str">
            <v>Offsite1Receive</v>
          </cell>
        </row>
        <row r="326">
          <cell r="B326" t="str">
            <v>BMV Receive</v>
          </cell>
        </row>
        <row r="327">
          <cell r="B327" t="str">
            <v>BMV Receive</v>
          </cell>
        </row>
        <row r="328">
          <cell r="B328" t="str">
            <v>Picking</v>
          </cell>
        </row>
        <row r="329">
          <cell r="B329" t="str">
            <v>QA</v>
          </cell>
        </row>
        <row r="330">
          <cell r="B330" t="str">
            <v>QA</v>
          </cell>
        </row>
        <row r="331">
          <cell r="B331" t="str">
            <v>Facilities</v>
          </cell>
        </row>
        <row r="332">
          <cell r="B332" t="str">
            <v>Facilities</v>
          </cell>
        </row>
        <row r="333">
          <cell r="B333" t="str">
            <v>SNOC</v>
          </cell>
        </row>
        <row r="334">
          <cell r="B334" t="str">
            <v>SNOC</v>
          </cell>
        </row>
        <row r="335">
          <cell r="B335" t="str">
            <v>Sortation</v>
          </cell>
        </row>
        <row r="336">
          <cell r="B336" t="str">
            <v>Shipping</v>
          </cell>
        </row>
        <row r="337">
          <cell r="B337" t="str">
            <v>CustomerService</v>
          </cell>
        </row>
        <row r="338">
          <cell r="B338" t="str">
            <v>CustomerService</v>
          </cell>
        </row>
        <row r="339">
          <cell r="B339" t="str">
            <v>Bundler</v>
          </cell>
        </row>
        <row r="340">
          <cell r="B340" t="str">
            <v>SNOC</v>
          </cell>
        </row>
        <row r="341">
          <cell r="B341" t="str">
            <v>SNOC</v>
          </cell>
        </row>
        <row r="342">
          <cell r="B342" t="str">
            <v>Sortation</v>
          </cell>
        </row>
        <row r="343">
          <cell r="B343">
            <v>-14.060021399999998</v>
          </cell>
        </row>
        <row r="344">
          <cell r="B344">
            <v>0</v>
          </cell>
        </row>
        <row r="345">
          <cell r="B345">
            <v>33.0300139</v>
          </cell>
        </row>
        <row r="346">
          <cell r="B346">
            <v>0</v>
          </cell>
        </row>
        <row r="347">
          <cell r="B347" t="str">
            <v>QA</v>
          </cell>
        </row>
        <row r="348">
          <cell r="B348" t="str">
            <v>Facilities</v>
          </cell>
        </row>
        <row r="349">
          <cell r="B349" t="str">
            <v>Facilities</v>
          </cell>
        </row>
        <row r="350">
          <cell r="B350" t="str">
            <v>SNOC</v>
          </cell>
        </row>
        <row r="351">
          <cell r="B351">
            <v>-1.7700098899999999</v>
          </cell>
        </row>
        <row r="352">
          <cell r="B352">
            <v>0</v>
          </cell>
        </row>
        <row r="353">
          <cell r="B353" t="str">
            <v>Shipping</v>
          </cell>
        </row>
        <row r="354">
          <cell r="B354" t="str">
            <v>CustomerService</v>
          </cell>
        </row>
        <row r="355">
          <cell r="B355" t="str">
            <v>CustomerService</v>
          </cell>
        </row>
        <row r="356">
          <cell r="B356" t="str">
            <v>Offsite1Receive</v>
          </cell>
        </row>
        <row r="357">
          <cell r="B357" t="str">
            <v>Bundler</v>
          </cell>
        </row>
        <row r="358">
          <cell r="B358" t="str">
            <v>InventoryControl</v>
          </cell>
        </row>
        <row r="359">
          <cell r="B359" t="str">
            <v>Facilities</v>
          </cell>
        </row>
        <row r="360">
          <cell r="B360" t="str">
            <v>Facilities</v>
          </cell>
        </row>
        <row r="361">
          <cell r="B361" t="str">
            <v>SNOC</v>
          </cell>
        </row>
        <row r="362">
          <cell r="B362" t="str">
            <v>SNOC</v>
          </cell>
        </row>
        <row r="363">
          <cell r="B363" t="str">
            <v>Sortation</v>
          </cell>
        </row>
        <row r="364">
          <cell r="B364">
            <v>-11.909976299999999</v>
          </cell>
        </row>
        <row r="365">
          <cell r="B365">
            <v>0</v>
          </cell>
        </row>
        <row r="366">
          <cell r="B366" t="str">
            <v>Bundler</v>
          </cell>
        </row>
        <row r="367">
          <cell r="B367" t="str">
            <v>Autobox</v>
          </cell>
        </row>
        <row r="368">
          <cell r="B368" t="str">
            <v>Autobox2</v>
          </cell>
        </row>
        <row r="369">
          <cell r="B369" t="str">
            <v>ShipSupport</v>
          </cell>
        </row>
        <row r="370">
          <cell r="B370" t="str">
            <v>BMV Receive</v>
          </cell>
        </row>
        <row r="371">
          <cell r="B371" t="str">
            <v>Picking</v>
          </cell>
        </row>
        <row r="372">
          <cell r="B372" t="str">
            <v>QA</v>
          </cell>
        </row>
        <row r="373">
          <cell r="B373" t="str">
            <v>Facilities</v>
          </cell>
        </row>
        <row r="374">
          <cell r="B374" t="str">
            <v>SNOC</v>
          </cell>
        </row>
        <row r="375">
          <cell r="B375">
            <v>1.250028700000001</v>
          </cell>
        </row>
        <row r="376">
          <cell r="B376">
            <v>0</v>
          </cell>
        </row>
        <row r="377">
          <cell r="B377" t="str">
            <v>Shipping</v>
          </cell>
        </row>
        <row r="378">
          <cell r="B378" t="str">
            <v>CustomerService</v>
          </cell>
        </row>
        <row r="379">
          <cell r="B379" t="str">
            <v>Offsite1Receive</v>
          </cell>
        </row>
        <row r="380">
          <cell r="B380" t="str">
            <v>Bundler</v>
          </cell>
        </row>
        <row r="381">
          <cell r="B381" t="str">
            <v>Replenishment</v>
          </cell>
        </row>
        <row r="382">
          <cell r="B382" t="str">
            <v>Offsite2Receive</v>
          </cell>
        </row>
        <row r="383">
          <cell r="B383" t="str">
            <v>Offsite2Ship</v>
          </cell>
        </row>
        <row r="384">
          <cell r="B384" t="str">
            <v>QA</v>
          </cell>
        </row>
        <row r="385">
          <cell r="B385" t="str">
            <v>Facilities</v>
          </cell>
        </row>
        <row r="386">
          <cell r="B386" t="str">
            <v>Facilities</v>
          </cell>
        </row>
        <row r="387">
          <cell r="B387" t="str">
            <v>SNOC</v>
          </cell>
        </row>
        <row r="388">
          <cell r="B388" t="str">
            <v>SNOC</v>
          </cell>
        </row>
        <row r="389">
          <cell r="B389">
            <v>33.140000999999998</v>
          </cell>
        </row>
        <row r="390">
          <cell r="B390">
            <v>0</v>
          </cell>
        </row>
        <row r="391">
          <cell r="B391" t="str">
            <v>CustomerService</v>
          </cell>
        </row>
        <row r="392">
          <cell r="B392" t="str">
            <v>Offsite1Receive</v>
          </cell>
        </row>
        <row r="393">
          <cell r="B393" t="str">
            <v>Offsite2Ship</v>
          </cell>
        </row>
        <row r="394">
          <cell r="B394" t="str">
            <v>Shipping</v>
          </cell>
        </row>
        <row r="395">
          <cell r="B395" t="str">
            <v>Autobox</v>
          </cell>
        </row>
        <row r="396">
          <cell r="B396" t="str">
            <v>Autobox2</v>
          </cell>
        </row>
        <row r="397">
          <cell r="B397" t="str">
            <v>ShipSupport</v>
          </cell>
        </row>
        <row r="398">
          <cell r="B398" t="str">
            <v>Sortation</v>
          </cell>
        </row>
        <row r="399">
          <cell r="B399" t="str">
            <v>Rebin</v>
          </cell>
        </row>
        <row r="400">
          <cell r="B400" t="str">
            <v>Stack</v>
          </cell>
        </row>
        <row r="401">
          <cell r="B401" t="str">
            <v>Bundler</v>
          </cell>
        </row>
        <row r="402">
          <cell r="B402" t="str">
            <v>Giftwrap</v>
          </cell>
        </row>
        <row r="403">
          <cell r="B403" t="str">
            <v>Offsite1Ship</v>
          </cell>
        </row>
        <row r="404">
          <cell r="B404" t="str">
            <v>Sortation</v>
          </cell>
        </row>
        <row r="405">
          <cell r="B405" t="str">
            <v>Rebin</v>
          </cell>
        </row>
        <row r="406">
          <cell r="B406" t="str">
            <v>Stack</v>
          </cell>
        </row>
        <row r="407">
          <cell r="B407" t="str">
            <v>Bundler</v>
          </cell>
        </row>
        <row r="408">
          <cell r="B408" t="str">
            <v>Giftwrap</v>
          </cell>
        </row>
        <row r="409">
          <cell r="B409" t="str">
            <v>Shipping</v>
          </cell>
        </row>
        <row r="410">
          <cell r="B410" t="str">
            <v>Autobox</v>
          </cell>
        </row>
        <row r="411">
          <cell r="B411" t="str">
            <v>Autobox2</v>
          </cell>
        </row>
        <row r="412">
          <cell r="B412" t="str">
            <v>ShipSupport</v>
          </cell>
        </row>
        <row r="413">
          <cell r="B413" t="str">
            <v>Picking</v>
          </cell>
        </row>
        <row r="414">
          <cell r="B414" t="str">
            <v>Levimatic</v>
          </cell>
        </row>
        <row r="415">
          <cell r="B415" t="str">
            <v>InventoryControl</v>
          </cell>
        </row>
        <row r="416">
          <cell r="B416" t="str">
            <v>BMV Receive</v>
          </cell>
        </row>
        <row r="417">
          <cell r="B417" t="str">
            <v>Picking</v>
          </cell>
        </row>
        <row r="418">
          <cell r="B418" t="str">
            <v>Levimatic</v>
          </cell>
        </row>
        <row r="419">
          <cell r="B419" t="str">
            <v>BMV Stow</v>
          </cell>
        </row>
        <row r="420">
          <cell r="B420" t="str">
            <v>CReturns</v>
          </cell>
        </row>
        <row r="421">
          <cell r="B421" t="str">
            <v>Vreturns</v>
          </cell>
        </row>
        <row r="422">
          <cell r="B422" t="str">
            <v>Replenishment</v>
          </cell>
        </row>
        <row r="423">
          <cell r="B423" t="str">
            <v>Offsite2Receive</v>
          </cell>
        </row>
        <row r="424">
          <cell r="B424" t="str">
            <v>BMV Receive</v>
          </cell>
        </row>
        <row r="425">
          <cell r="B425" t="str">
            <v>BMV Stow</v>
          </cell>
        </row>
        <row r="426">
          <cell r="B426" t="str">
            <v>ManualVDF</v>
          </cell>
        </row>
        <row r="427">
          <cell r="B427" t="str">
            <v>Replenishment</v>
          </cell>
        </row>
        <row r="428">
          <cell r="B428" t="str">
            <v>Offsite1Receive</v>
          </cell>
        </row>
        <row r="429">
          <cell r="B429" t="str">
            <v>ManualVDF</v>
          </cell>
        </row>
        <row r="430">
          <cell r="B430" t="str">
            <v>Office</v>
          </cell>
        </row>
        <row r="431">
          <cell r="B431" t="str">
            <v>Training</v>
          </cell>
        </row>
        <row r="432">
          <cell r="B432" t="str">
            <v>Training</v>
          </cell>
        </row>
        <row r="433">
          <cell r="B433" t="str">
            <v>InventoryControl</v>
          </cell>
        </row>
        <row r="434">
          <cell r="B434" t="str">
            <v>Office</v>
          </cell>
        </row>
        <row r="435">
          <cell r="B435" t="str">
            <v>QA</v>
          </cell>
        </row>
        <row r="436">
          <cell r="B436" t="str">
            <v>QA</v>
          </cell>
        </row>
        <row r="437">
          <cell r="B437" t="str">
            <v>Facilities</v>
          </cell>
        </row>
        <row r="438">
          <cell r="B438" t="str">
            <v>Facilities</v>
          </cell>
        </row>
        <row r="439">
          <cell r="B439" t="str">
            <v>SNOC</v>
          </cell>
        </row>
        <row r="440">
          <cell r="B440" t="str">
            <v>SNOC</v>
          </cell>
        </row>
        <row r="441">
          <cell r="B441" t="str">
            <v>Swat</v>
          </cell>
        </row>
        <row r="442">
          <cell r="B442" t="str">
            <v>CustomerService</v>
          </cell>
        </row>
        <row r="443">
          <cell r="B443" t="str">
            <v>CustomerService</v>
          </cell>
        </row>
        <row r="444">
          <cell r="B444" t="str">
            <v>Offsite1Ship</v>
          </cell>
        </row>
        <row r="445">
          <cell r="B445" t="str">
            <v>ManualVDF</v>
          </cell>
        </row>
        <row r="446">
          <cell r="B446" t="str">
            <v>Shipping</v>
          </cell>
        </row>
        <row r="447">
          <cell r="B447" t="str">
            <v>Autobox</v>
          </cell>
        </row>
        <row r="448">
          <cell r="B448" t="str">
            <v>Autobox2</v>
          </cell>
        </row>
        <row r="449">
          <cell r="B449" t="str">
            <v>ShipSupport</v>
          </cell>
        </row>
        <row r="450">
          <cell r="B450" t="str">
            <v>Sortation</v>
          </cell>
        </row>
        <row r="451">
          <cell r="B451" t="str">
            <v>Rebin</v>
          </cell>
        </row>
        <row r="452">
          <cell r="B452" t="str">
            <v>Stack</v>
          </cell>
        </row>
        <row r="453">
          <cell r="B453" t="str">
            <v>Bundler</v>
          </cell>
        </row>
        <row r="454">
          <cell r="B454" t="str">
            <v>Giftwrap</v>
          </cell>
        </row>
        <row r="455">
          <cell r="B455" t="str">
            <v>Shipping</v>
          </cell>
        </row>
        <row r="456">
          <cell r="B456" t="str">
            <v>Autobox</v>
          </cell>
        </row>
        <row r="457">
          <cell r="B457" t="str">
            <v>Autobox2</v>
          </cell>
        </row>
        <row r="458">
          <cell r="B458" t="str">
            <v>ShipSupport</v>
          </cell>
        </row>
        <row r="459">
          <cell r="B459" t="str">
            <v>Sortation</v>
          </cell>
        </row>
        <row r="460">
          <cell r="B460" t="str">
            <v>Rebin</v>
          </cell>
        </row>
        <row r="461">
          <cell r="B461" t="str">
            <v>Stack</v>
          </cell>
        </row>
        <row r="462">
          <cell r="B462" t="str">
            <v>Bundler</v>
          </cell>
        </row>
        <row r="463">
          <cell r="B463" t="str">
            <v>Giftwrap</v>
          </cell>
        </row>
        <row r="464">
          <cell r="B464" t="str">
            <v>Offsite1Receive</v>
          </cell>
        </row>
        <row r="465">
          <cell r="B465" t="str">
            <v>Picking</v>
          </cell>
        </row>
        <row r="466">
          <cell r="B466" t="str">
            <v>Levimatic</v>
          </cell>
        </row>
        <row r="467">
          <cell r="B467" t="str">
            <v>Picking</v>
          </cell>
        </row>
        <row r="468">
          <cell r="B468" t="str">
            <v>Levimatic</v>
          </cell>
        </row>
        <row r="469">
          <cell r="B469" t="str">
            <v>BMV Receive</v>
          </cell>
        </row>
        <row r="470">
          <cell r="B470" t="str">
            <v>BMV Stow</v>
          </cell>
        </row>
        <row r="471">
          <cell r="B471" t="str">
            <v>Replenishment</v>
          </cell>
        </row>
        <row r="472">
          <cell r="B472" t="str">
            <v>Vreturns</v>
          </cell>
        </row>
        <row r="473">
          <cell r="B473" t="str">
            <v>Offsite2Ship</v>
          </cell>
        </row>
        <row r="474">
          <cell r="B474" t="str">
            <v>Offsite2Receive</v>
          </cell>
        </row>
        <row r="475">
          <cell r="B475" t="str">
            <v>BMV Receive</v>
          </cell>
        </row>
        <row r="476">
          <cell r="B476" t="str">
            <v>InventoryControl</v>
          </cell>
        </row>
        <row r="477">
          <cell r="B477" t="str">
            <v>CReturns</v>
          </cell>
        </row>
        <row r="478">
          <cell r="B478" t="str">
            <v>ManualVDF</v>
          </cell>
        </row>
        <row r="479">
          <cell r="B479" t="str">
            <v>Office</v>
          </cell>
        </row>
        <row r="480">
          <cell r="B480" t="str">
            <v>Office</v>
          </cell>
        </row>
        <row r="481">
          <cell r="B481" t="str">
            <v>Training</v>
          </cell>
        </row>
        <row r="482">
          <cell r="B482" t="str">
            <v>Training</v>
          </cell>
        </row>
        <row r="483">
          <cell r="B483" t="str">
            <v>BMV Stow</v>
          </cell>
        </row>
        <row r="484">
          <cell r="B484" t="str">
            <v>InventoryControl</v>
          </cell>
        </row>
        <row r="485">
          <cell r="B485" t="str">
            <v>QA</v>
          </cell>
        </row>
        <row r="486">
          <cell r="B486" t="str">
            <v>QA</v>
          </cell>
        </row>
        <row r="487">
          <cell r="B487" t="str">
            <v>Facilities</v>
          </cell>
        </row>
        <row r="488">
          <cell r="B488" t="str">
            <v>Facilities</v>
          </cell>
        </row>
        <row r="489">
          <cell r="B489" t="str">
            <v>SNOC</v>
          </cell>
        </row>
        <row r="490">
          <cell r="B490" t="str">
            <v>SNOC</v>
          </cell>
        </row>
        <row r="491">
          <cell r="B491" t="str">
            <v>Swat</v>
          </cell>
        </row>
        <row r="492">
          <cell r="B492" t="str">
            <v>CustomerService</v>
          </cell>
        </row>
        <row r="493">
          <cell r="B493" t="str">
            <v>CustomerService</v>
          </cell>
        </row>
        <row r="494">
          <cell r="B494" t="str">
            <v>Replenishment</v>
          </cell>
        </row>
        <row r="495">
          <cell r="B495" t="str">
            <v>Offsite1Receive</v>
          </cell>
        </row>
        <row r="496">
          <cell r="B496" t="str">
            <v>Offsite1Ship</v>
          </cell>
        </row>
        <row r="497">
          <cell r="B497" t="str">
            <v>Shipping</v>
          </cell>
        </row>
        <row r="498">
          <cell r="B498" t="str">
            <v>Autobox</v>
          </cell>
        </row>
        <row r="499">
          <cell r="B499" t="str">
            <v>Autobox2</v>
          </cell>
        </row>
        <row r="500">
          <cell r="B500" t="str">
            <v>ShipSupport</v>
          </cell>
        </row>
        <row r="501">
          <cell r="B501" t="str">
            <v>ManualVDF</v>
          </cell>
        </row>
        <row r="502">
          <cell r="B502" t="str">
            <v>Sortation</v>
          </cell>
        </row>
        <row r="503">
          <cell r="B503" t="str">
            <v>Rebin</v>
          </cell>
        </row>
        <row r="504">
          <cell r="B504" t="str">
            <v>Stack</v>
          </cell>
        </row>
        <row r="505">
          <cell r="B505" t="str">
            <v>Bundler</v>
          </cell>
        </row>
        <row r="506">
          <cell r="B506" t="str">
            <v>Giftwrap</v>
          </cell>
        </row>
        <row r="507">
          <cell r="B507" t="str">
            <v>Shipping</v>
          </cell>
        </row>
        <row r="508">
          <cell r="B508" t="str">
            <v>Autobox</v>
          </cell>
        </row>
        <row r="509">
          <cell r="B509" t="str">
            <v>Autobox2</v>
          </cell>
        </row>
        <row r="510">
          <cell r="B510" t="str">
            <v>ShipSupport</v>
          </cell>
        </row>
        <row r="511">
          <cell r="B511" t="str">
            <v>ManualVDF</v>
          </cell>
        </row>
        <row r="512">
          <cell r="B512" t="str">
            <v>Picking</v>
          </cell>
        </row>
        <row r="513">
          <cell r="B513" t="str">
            <v>Levimatic</v>
          </cell>
        </row>
        <row r="514">
          <cell r="B514" t="str">
            <v>Sortation</v>
          </cell>
        </row>
        <row r="515">
          <cell r="B515" t="str">
            <v>Rebin</v>
          </cell>
        </row>
        <row r="516">
          <cell r="B516" t="str">
            <v>Stack</v>
          </cell>
        </row>
        <row r="517">
          <cell r="B517" t="str">
            <v>Bundler</v>
          </cell>
        </row>
        <row r="518">
          <cell r="B518" t="str">
            <v>Giftwrap</v>
          </cell>
        </row>
        <row r="519">
          <cell r="B519" t="str">
            <v>Picking</v>
          </cell>
        </row>
        <row r="520">
          <cell r="B520" t="str">
            <v>Levimatic</v>
          </cell>
        </row>
        <row r="521">
          <cell r="B521" t="str">
            <v>QA</v>
          </cell>
        </row>
        <row r="522">
          <cell r="B522" t="str">
            <v>CustomerService</v>
          </cell>
        </row>
        <row r="523">
          <cell r="B523" t="str">
            <v>BMV Receive</v>
          </cell>
        </row>
        <row r="524">
          <cell r="B524" t="str">
            <v>BMV Stow</v>
          </cell>
        </row>
        <row r="525">
          <cell r="B525" t="str">
            <v>BMV Stow</v>
          </cell>
        </row>
        <row r="526">
          <cell r="B526" t="str">
            <v>CReturns</v>
          </cell>
        </row>
        <row r="527">
          <cell r="B527" t="str">
            <v>Vreturns</v>
          </cell>
        </row>
        <row r="528">
          <cell r="B528" t="str">
            <v>Replenishment</v>
          </cell>
        </row>
        <row r="529">
          <cell r="B529" t="str">
            <v>Offsite2Receive</v>
          </cell>
        </row>
        <row r="530">
          <cell r="B530" t="str">
            <v>Offsite2Ship</v>
          </cell>
        </row>
        <row r="531">
          <cell r="B531" t="str">
            <v>BMV Receive</v>
          </cell>
        </row>
        <row r="532">
          <cell r="B532" t="str">
            <v>Offsite1Receive</v>
          </cell>
        </row>
        <row r="533">
          <cell r="B533" t="str">
            <v>Replenishment</v>
          </cell>
        </row>
        <row r="534">
          <cell r="B534" t="str">
            <v>Office</v>
          </cell>
        </row>
        <row r="535">
          <cell r="B535" t="str">
            <v>Office</v>
          </cell>
        </row>
        <row r="536">
          <cell r="B536" t="str">
            <v>Training</v>
          </cell>
        </row>
        <row r="537">
          <cell r="B537" t="str">
            <v>Training</v>
          </cell>
        </row>
        <row r="538">
          <cell r="B538" t="str">
            <v>InventoryControl</v>
          </cell>
        </row>
        <row r="539">
          <cell r="B539" t="str">
            <v>InventoryControl</v>
          </cell>
        </row>
        <row r="540">
          <cell r="B540" t="str">
            <v>QA</v>
          </cell>
        </row>
        <row r="541">
          <cell r="B541" t="str">
            <v>Facilities</v>
          </cell>
        </row>
        <row r="542">
          <cell r="B542" t="str">
            <v>Facilities</v>
          </cell>
        </row>
        <row r="543">
          <cell r="B543" t="str">
            <v>SNOC</v>
          </cell>
        </row>
        <row r="544">
          <cell r="B544" t="str">
            <v>SNOC</v>
          </cell>
        </row>
        <row r="545">
          <cell r="B545" t="str">
            <v>Swat</v>
          </cell>
        </row>
        <row r="546">
          <cell r="B546" t="str">
            <v>CustomerService</v>
          </cell>
        </row>
        <row r="547">
          <cell r="B547" t="str">
            <v>Offsite1Ship</v>
          </cell>
        </row>
        <row r="548">
          <cell r="B548" t="str">
            <v>Sortation</v>
          </cell>
        </row>
        <row r="549">
          <cell r="B549" t="str">
            <v>Rebin</v>
          </cell>
        </row>
        <row r="550">
          <cell r="B550" t="str">
            <v>Stack</v>
          </cell>
        </row>
        <row r="551">
          <cell r="B551" t="str">
            <v>Bundler</v>
          </cell>
        </row>
        <row r="552">
          <cell r="B552" t="str">
            <v>Giftwrap</v>
          </cell>
        </row>
        <row r="553">
          <cell r="B553" t="str">
            <v>Picking</v>
          </cell>
        </row>
        <row r="554">
          <cell r="B554" t="str">
            <v>Levimatic</v>
          </cell>
        </row>
        <row r="555">
          <cell r="B555" t="str">
            <v>Shipping</v>
          </cell>
        </row>
        <row r="556">
          <cell r="B556" t="str">
            <v>Autobox</v>
          </cell>
        </row>
        <row r="557">
          <cell r="B557" t="str">
            <v>Autobox2</v>
          </cell>
        </row>
        <row r="558">
          <cell r="B558" t="str">
            <v>ShipSupport</v>
          </cell>
        </row>
        <row r="559">
          <cell r="B559" t="str">
            <v>ManualVDF</v>
          </cell>
        </row>
        <row r="560">
          <cell r="B560" t="str">
            <v>Offsite1Ship</v>
          </cell>
        </row>
        <row r="561">
          <cell r="B561" t="str">
            <v>Picking</v>
          </cell>
        </row>
        <row r="562">
          <cell r="B562" t="str">
            <v>Levimatic</v>
          </cell>
        </row>
        <row r="563">
          <cell r="B563" t="str">
            <v>Shipping</v>
          </cell>
        </row>
        <row r="564">
          <cell r="B564" t="str">
            <v>Autobox</v>
          </cell>
        </row>
        <row r="565">
          <cell r="B565" t="str">
            <v>Autobox2</v>
          </cell>
        </row>
        <row r="566">
          <cell r="B566" t="str">
            <v>ShipSupport</v>
          </cell>
        </row>
        <row r="567">
          <cell r="B567" t="str">
            <v>ManualVDF</v>
          </cell>
        </row>
        <row r="568">
          <cell r="B568" t="str">
            <v>Sortation</v>
          </cell>
        </row>
        <row r="569">
          <cell r="B569" t="str">
            <v>Rebin</v>
          </cell>
        </row>
        <row r="570">
          <cell r="B570" t="str">
            <v>Stack</v>
          </cell>
        </row>
        <row r="571">
          <cell r="B571" t="str">
            <v>Bundler</v>
          </cell>
        </row>
        <row r="572">
          <cell r="B572" t="str">
            <v>Giftwrap</v>
          </cell>
        </row>
        <row r="573">
          <cell r="B573" t="str">
            <v>Office</v>
          </cell>
        </row>
        <row r="574">
          <cell r="B574" t="str">
            <v>Training</v>
          </cell>
        </row>
        <row r="575">
          <cell r="B575" t="str">
            <v>Facilities</v>
          </cell>
        </row>
        <row r="576">
          <cell r="B576" t="str">
            <v>Offsite2Receive</v>
          </cell>
        </row>
        <row r="577">
          <cell r="B577" t="str">
            <v>Offsite2Ship</v>
          </cell>
        </row>
        <row r="578">
          <cell r="B578" t="str">
            <v>Offsite1Receive</v>
          </cell>
        </row>
        <row r="579">
          <cell r="B579" t="str">
            <v>BMV Receive</v>
          </cell>
        </row>
        <row r="580">
          <cell r="B580" t="str">
            <v>Replenishment</v>
          </cell>
        </row>
        <row r="581">
          <cell r="B581" t="str">
            <v>Replenishment</v>
          </cell>
        </row>
        <row r="582">
          <cell r="B582" t="str">
            <v>BMV Receive</v>
          </cell>
        </row>
        <row r="583">
          <cell r="B583" t="str">
            <v>InventoryControl</v>
          </cell>
        </row>
        <row r="584">
          <cell r="B584" t="str">
            <v>InventoryControl</v>
          </cell>
        </row>
        <row r="585">
          <cell r="B585" t="str">
            <v>Office</v>
          </cell>
        </row>
        <row r="586">
          <cell r="B586" t="str">
            <v>QA</v>
          </cell>
        </row>
        <row r="587">
          <cell r="B587" t="str">
            <v>QA</v>
          </cell>
        </row>
        <row r="588">
          <cell r="B588" t="str">
            <v>Facilities</v>
          </cell>
        </row>
        <row r="589">
          <cell r="B589" t="str">
            <v>SNOC</v>
          </cell>
        </row>
        <row r="590">
          <cell r="B590" t="str">
            <v>SNOC</v>
          </cell>
        </row>
        <row r="591">
          <cell r="B591" t="str">
            <v>Swat</v>
          </cell>
        </row>
        <row r="592">
          <cell r="B592" t="str">
            <v>CustomerService</v>
          </cell>
        </row>
        <row r="593">
          <cell r="B593" t="str">
            <v>CustomerService</v>
          </cell>
        </row>
        <row r="594">
          <cell r="B594" t="str">
            <v>Training</v>
          </cell>
        </row>
        <row r="600">
          <cell r="B600">
            <v>199.13002230000001</v>
          </cell>
        </row>
        <row r="601">
          <cell r="B601">
            <v>0</v>
          </cell>
        </row>
      </sheetData>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nthly_Bridge"/>
      <sheetName val="Daily_OUTPUT"/>
      <sheetName val="Weekly_OUTPUT"/>
      <sheetName val="Monthly_OUTPUT"/>
      <sheetName val="Daily-Weekly_INPUT"/>
      <sheetName val="Monthly_INPUT"/>
      <sheetName val="Variable_Costs"/>
      <sheetName val="%_PLAN"/>
      <sheetName val="Auto_Process_path_hrs_bridge"/>
      <sheetName val="VOL_&amp;_HOURS"/>
      <sheetName val="Productivity_Trends"/>
      <sheetName val="%_INDEX"/>
      <sheetName val="%_Benchmark"/>
      <sheetName val="Sev_1-2"/>
      <sheetName val="Daily-Weekly_OPEX-INPUT"/>
      <sheetName val="OPEX-TOTAL"/>
      <sheetName val="Planned Volume"/>
      <sheetName val="Trend_Graphs"/>
      <sheetName val="PHL4_Process_Paths_2005"/>
      <sheetName val="Non-Cor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3">
          <cell r="F3">
            <v>1</v>
          </cell>
          <cell r="G3">
            <v>2</v>
          </cell>
          <cell r="H3">
            <v>3</v>
          </cell>
          <cell r="I3">
            <v>4</v>
          </cell>
          <cell r="J3">
            <v>5</v>
          </cell>
          <cell r="K3">
            <v>6</v>
          </cell>
          <cell r="L3">
            <v>7</v>
          </cell>
          <cell r="M3">
            <v>8</v>
          </cell>
          <cell r="N3">
            <v>9</v>
          </cell>
          <cell r="O3">
            <v>10</v>
          </cell>
          <cell r="P3">
            <v>11</v>
          </cell>
          <cell r="Q3">
            <v>12</v>
          </cell>
          <cell r="R3">
            <v>13</v>
          </cell>
          <cell r="S3">
            <v>14</v>
          </cell>
          <cell r="T3">
            <v>15</v>
          </cell>
          <cell r="U3">
            <v>16</v>
          </cell>
          <cell r="V3">
            <v>17</v>
          </cell>
          <cell r="W3">
            <v>18</v>
          </cell>
          <cell r="X3">
            <v>19</v>
          </cell>
          <cell r="Y3">
            <v>20</v>
          </cell>
          <cell r="Z3">
            <v>21</v>
          </cell>
          <cell r="AA3">
            <v>22</v>
          </cell>
          <cell r="AB3">
            <v>23</v>
          </cell>
          <cell r="AC3">
            <v>24</v>
          </cell>
          <cell r="AD3">
            <v>25</v>
          </cell>
          <cell r="AE3">
            <v>26</v>
          </cell>
          <cell r="AF3">
            <v>27</v>
          </cell>
          <cell r="AG3">
            <v>28</v>
          </cell>
          <cell r="AH3">
            <v>29</v>
          </cell>
          <cell r="AI3">
            <v>30</v>
          </cell>
          <cell r="AJ3">
            <v>31</v>
          </cell>
          <cell r="AK3">
            <v>32</v>
          </cell>
          <cell r="AL3">
            <v>33</v>
          </cell>
          <cell r="AM3">
            <v>34</v>
          </cell>
          <cell r="AN3">
            <v>35</v>
          </cell>
          <cell r="AO3">
            <v>36</v>
          </cell>
          <cell r="AP3">
            <v>37</v>
          </cell>
          <cell r="AQ3">
            <v>38</v>
          </cell>
          <cell r="AR3">
            <v>39</v>
          </cell>
          <cell r="AS3">
            <v>40</v>
          </cell>
          <cell r="AT3">
            <v>41</v>
          </cell>
          <cell r="AU3">
            <v>42</v>
          </cell>
          <cell r="AV3">
            <v>43</v>
          </cell>
          <cell r="AW3">
            <v>44</v>
          </cell>
          <cell r="AX3">
            <v>45</v>
          </cell>
          <cell r="AY3">
            <v>46</v>
          </cell>
          <cell r="AZ3">
            <v>47</v>
          </cell>
          <cell r="BA3">
            <v>48</v>
          </cell>
          <cell r="BB3">
            <v>49</v>
          </cell>
          <cell r="BC3">
            <v>50</v>
          </cell>
          <cell r="BD3">
            <v>51</v>
          </cell>
          <cell r="BE3">
            <v>52</v>
          </cell>
          <cell r="BF3">
            <v>53</v>
          </cell>
          <cell r="BH3">
            <v>38353</v>
          </cell>
          <cell r="BI3">
            <v>38384</v>
          </cell>
          <cell r="BJ3">
            <v>38412</v>
          </cell>
          <cell r="BK3">
            <v>38443</v>
          </cell>
          <cell r="BL3">
            <v>38473</v>
          </cell>
          <cell r="BM3">
            <v>38504</v>
          </cell>
          <cell r="BN3">
            <v>38534</v>
          </cell>
          <cell r="BO3">
            <v>38565</v>
          </cell>
          <cell r="BP3">
            <v>38596</v>
          </cell>
          <cell r="BQ3">
            <v>38626</v>
          </cell>
          <cell r="BR3">
            <v>38657</v>
          </cell>
          <cell r="BS3">
            <v>38687</v>
          </cell>
          <cell r="BU3" t="str">
            <v>Q1</v>
          </cell>
          <cell r="BV3" t="str">
            <v>Q2</v>
          </cell>
          <cell r="BW3" t="str">
            <v>Q3</v>
          </cell>
          <cell r="BX3" t="str">
            <v>Q4</v>
          </cell>
          <cell r="BY3" t="str">
            <v xml:space="preserve">TOTAL  </v>
          </cell>
        </row>
        <row r="4">
          <cell r="B4" t="str">
            <v>% PLAN</v>
          </cell>
          <cell r="F4">
            <v>38354</v>
          </cell>
          <cell r="G4">
            <v>38361</v>
          </cell>
          <cell r="H4">
            <v>38368</v>
          </cell>
          <cell r="I4">
            <v>38375</v>
          </cell>
          <cell r="J4">
            <v>38382</v>
          </cell>
          <cell r="K4">
            <v>38389</v>
          </cell>
          <cell r="L4">
            <v>38396</v>
          </cell>
          <cell r="M4">
            <v>38403</v>
          </cell>
          <cell r="N4">
            <v>38410</v>
          </cell>
          <cell r="O4">
            <v>38417</v>
          </cell>
          <cell r="P4">
            <v>38424</v>
          </cell>
          <cell r="Q4">
            <v>38431</v>
          </cell>
          <cell r="R4">
            <v>38438</v>
          </cell>
          <cell r="S4">
            <v>38445</v>
          </cell>
          <cell r="T4">
            <v>38452</v>
          </cell>
          <cell r="U4">
            <v>38459</v>
          </cell>
          <cell r="V4">
            <v>38466</v>
          </cell>
          <cell r="W4">
            <v>38473</v>
          </cell>
          <cell r="X4">
            <v>38480</v>
          </cell>
          <cell r="Y4">
            <v>38487</v>
          </cell>
          <cell r="Z4">
            <v>38494</v>
          </cell>
          <cell r="AA4">
            <v>38501</v>
          </cell>
          <cell r="AB4">
            <v>38508</v>
          </cell>
          <cell r="AC4">
            <v>38515</v>
          </cell>
          <cell r="AD4">
            <v>38522</v>
          </cell>
          <cell r="AE4">
            <v>38529</v>
          </cell>
          <cell r="AF4">
            <v>38536</v>
          </cell>
          <cell r="AG4">
            <v>38543</v>
          </cell>
          <cell r="AH4">
            <v>38550</v>
          </cell>
          <cell r="AI4">
            <v>38557</v>
          </cell>
          <cell r="AJ4">
            <v>38564</v>
          </cell>
          <cell r="AK4">
            <v>38571</v>
          </cell>
          <cell r="AL4">
            <v>38578</v>
          </cell>
          <cell r="AM4">
            <v>38585</v>
          </cell>
          <cell r="AN4">
            <v>38592</v>
          </cell>
          <cell r="AO4">
            <v>38599</v>
          </cell>
          <cell r="AP4">
            <v>38606</v>
          </cell>
          <cell r="AQ4">
            <v>38613</v>
          </cell>
          <cell r="AR4">
            <v>38620</v>
          </cell>
          <cell r="AS4">
            <v>38627</v>
          </cell>
          <cell r="AT4">
            <v>38634</v>
          </cell>
          <cell r="AU4">
            <v>38641</v>
          </cell>
          <cell r="AV4">
            <v>38648</v>
          </cell>
          <cell r="AW4">
            <v>38655</v>
          </cell>
          <cell r="AX4">
            <v>38662</v>
          </cell>
          <cell r="AY4">
            <v>38669</v>
          </cell>
          <cell r="AZ4">
            <v>38676</v>
          </cell>
          <cell r="BA4">
            <v>38683</v>
          </cell>
          <cell r="BB4">
            <v>38690</v>
          </cell>
          <cell r="BC4">
            <v>38697</v>
          </cell>
          <cell r="BD4">
            <v>38704</v>
          </cell>
          <cell r="BE4">
            <v>38711</v>
          </cell>
          <cell r="BF4">
            <v>38718</v>
          </cell>
          <cell r="BH4">
            <v>1</v>
          </cell>
          <cell r="BI4">
            <v>2</v>
          </cell>
          <cell r="BJ4">
            <v>3</v>
          </cell>
          <cell r="BK4">
            <v>4</v>
          </cell>
          <cell r="BL4">
            <v>5</v>
          </cell>
          <cell r="BM4">
            <v>6</v>
          </cell>
          <cell r="BN4">
            <v>7</v>
          </cell>
          <cell r="BO4">
            <v>8</v>
          </cell>
          <cell r="BP4">
            <v>9</v>
          </cell>
          <cell r="BQ4">
            <v>10</v>
          </cell>
          <cell r="BR4">
            <v>11</v>
          </cell>
          <cell r="BS4">
            <v>12</v>
          </cell>
        </row>
        <row r="5">
          <cell r="B5" t="str">
            <v>Each Receive - Direct</v>
          </cell>
          <cell r="S5">
            <v>1.7446091282400142</v>
          </cell>
          <cell r="T5">
            <v>0.62002026368597141</v>
          </cell>
          <cell r="U5">
            <v>0.24223307983020428</v>
          </cell>
          <cell r="V5">
            <v>0.20451374159257502</v>
          </cell>
          <cell r="W5">
            <v>1.2210855660881366</v>
          </cell>
          <cell r="X5">
            <v>3.7975210961940644</v>
          </cell>
          <cell r="Y5">
            <v>2.9384279696376012</v>
          </cell>
          <cell r="Z5">
            <v>0.18434429224215682</v>
          </cell>
          <cell r="AA5">
            <v>0</v>
          </cell>
          <cell r="AB5">
            <v>0</v>
          </cell>
          <cell r="AC5">
            <v>0</v>
          </cell>
          <cell r="AD5">
            <v>0</v>
          </cell>
          <cell r="AE5">
            <v>0</v>
          </cell>
          <cell r="AF5">
            <v>0</v>
          </cell>
          <cell r="AG5">
            <v>0</v>
          </cell>
          <cell r="AH5">
            <v>0</v>
          </cell>
          <cell r="AI5">
            <v>0</v>
          </cell>
          <cell r="AJ5">
            <v>0</v>
          </cell>
          <cell r="AK5">
            <v>0</v>
          </cell>
          <cell r="AL5">
            <v>0</v>
          </cell>
          <cell r="AM5">
            <v>0</v>
          </cell>
          <cell r="AN5">
            <v>0</v>
          </cell>
          <cell r="AO5">
            <v>0</v>
          </cell>
          <cell r="AP5">
            <v>0</v>
          </cell>
          <cell r="AQ5">
            <v>0</v>
          </cell>
          <cell r="AR5">
            <v>0</v>
          </cell>
          <cell r="AS5">
            <v>0</v>
          </cell>
          <cell r="AT5">
            <v>0</v>
          </cell>
          <cell r="AU5">
            <v>0</v>
          </cell>
          <cell r="AV5">
            <v>0</v>
          </cell>
          <cell r="AW5">
            <v>9.8316498316498304</v>
          </cell>
          <cell r="AX5">
            <v>0</v>
          </cell>
          <cell r="AY5">
            <v>0</v>
          </cell>
          <cell r="AZ5">
            <v>0</v>
          </cell>
          <cell r="BA5">
            <v>0</v>
          </cell>
          <cell r="BB5">
            <v>0</v>
          </cell>
          <cell r="BC5">
            <v>0</v>
          </cell>
          <cell r="BD5">
            <v>0</v>
          </cell>
          <cell r="BE5">
            <v>0</v>
          </cell>
          <cell r="BF5">
            <v>0</v>
          </cell>
          <cell r="BH5">
            <v>0</v>
          </cell>
          <cell r="BI5">
            <v>0</v>
          </cell>
          <cell r="BJ5">
            <v>0</v>
          </cell>
          <cell r="BK5">
            <v>0.44999763403004089</v>
          </cell>
          <cell r="BL5">
            <v>2.4628949349030407</v>
          </cell>
          <cell r="BM5">
            <v>-7.5783229061418638</v>
          </cell>
          <cell r="BN5">
            <v>0</v>
          </cell>
          <cell r="BO5">
            <v>0</v>
          </cell>
          <cell r="BP5">
            <v>0</v>
          </cell>
          <cell r="BQ5">
            <v>4.0069599801143427</v>
          </cell>
          <cell r="BR5">
            <v>-1.7673378076062638</v>
          </cell>
          <cell r="BS5">
            <v>188.44444444444443</v>
          </cell>
          <cell r="BU5" t="e">
            <v>#DIV/0!</v>
          </cell>
          <cell r="BV5">
            <v>0.96404661248813794</v>
          </cell>
          <cell r="BW5" t="e">
            <v>#DIV/0!</v>
          </cell>
          <cell r="BX5">
            <v>2.9422222222222225</v>
          </cell>
          <cell r="BY5">
            <v>0.87516194062107533</v>
          </cell>
        </row>
        <row r="6">
          <cell r="B6" t="str">
            <v>Each Receive - Indirect</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cell r="AR6">
            <v>0</v>
          </cell>
          <cell r="AS6">
            <v>0</v>
          </cell>
          <cell r="AT6">
            <v>0</v>
          </cell>
          <cell r="AU6">
            <v>0</v>
          </cell>
          <cell r="AV6">
            <v>0</v>
          </cell>
          <cell r="AW6">
            <v>0</v>
          </cell>
          <cell r="AX6">
            <v>0</v>
          </cell>
          <cell r="AY6">
            <v>0</v>
          </cell>
          <cell r="AZ6">
            <v>0</v>
          </cell>
          <cell r="BA6">
            <v>0</v>
          </cell>
          <cell r="BB6">
            <v>0</v>
          </cell>
          <cell r="BC6">
            <v>0</v>
          </cell>
          <cell r="BD6">
            <v>0</v>
          </cell>
          <cell r="BE6">
            <v>0</v>
          </cell>
          <cell r="BF6">
            <v>0</v>
          </cell>
          <cell r="BH6">
            <v>0</v>
          </cell>
          <cell r="BI6">
            <v>0</v>
          </cell>
          <cell r="BJ6">
            <v>0</v>
          </cell>
          <cell r="BK6">
            <v>0</v>
          </cell>
          <cell r="BL6">
            <v>0</v>
          </cell>
          <cell r="BM6">
            <v>0</v>
          </cell>
          <cell r="BN6">
            <v>0</v>
          </cell>
          <cell r="BO6">
            <v>0</v>
          </cell>
          <cell r="BP6">
            <v>0</v>
          </cell>
          <cell r="BQ6">
            <v>0</v>
          </cell>
          <cell r="BR6">
            <v>0</v>
          </cell>
          <cell r="BS6">
            <v>0</v>
          </cell>
          <cell r="BU6" t="e">
            <v>#DIV/0!</v>
          </cell>
          <cell r="BV6" t="e">
            <v>#DIV/0!</v>
          </cell>
          <cell r="BW6" t="e">
            <v>#DIV/0!</v>
          </cell>
          <cell r="BX6" t="e">
            <v>#DIV/0!</v>
          </cell>
          <cell r="BY6" t="e">
            <v>#DIV/0!</v>
          </cell>
        </row>
        <row r="7">
          <cell r="B7" t="str">
            <v>Each Receive - Total</v>
          </cell>
          <cell r="S7">
            <v>1.7446091282400142</v>
          </cell>
          <cell r="T7">
            <v>0.62002026368597141</v>
          </cell>
          <cell r="U7">
            <v>0.24223307983020428</v>
          </cell>
          <cell r="V7">
            <v>0.20451374159257502</v>
          </cell>
          <cell r="W7">
            <v>1.2210855660881366</v>
          </cell>
          <cell r="X7">
            <v>3.7975210961940644</v>
          </cell>
          <cell r="Y7">
            <v>2.9384279696376012</v>
          </cell>
          <cell r="Z7">
            <v>0.18434429224215682</v>
          </cell>
          <cell r="AA7">
            <v>0</v>
          </cell>
          <cell r="AB7">
            <v>0</v>
          </cell>
          <cell r="AC7">
            <v>0</v>
          </cell>
          <cell r="AD7">
            <v>0</v>
          </cell>
          <cell r="AE7">
            <v>0</v>
          </cell>
          <cell r="AF7">
            <v>0</v>
          </cell>
          <cell r="AG7">
            <v>0</v>
          </cell>
          <cell r="AH7">
            <v>0</v>
          </cell>
          <cell r="AI7">
            <v>0</v>
          </cell>
          <cell r="AJ7">
            <v>0</v>
          </cell>
          <cell r="AK7">
            <v>0</v>
          </cell>
          <cell r="AL7">
            <v>0</v>
          </cell>
          <cell r="AM7">
            <v>0</v>
          </cell>
          <cell r="AN7">
            <v>0</v>
          </cell>
          <cell r="AO7">
            <v>0</v>
          </cell>
          <cell r="AP7">
            <v>0</v>
          </cell>
          <cell r="AQ7">
            <v>0</v>
          </cell>
          <cell r="AR7">
            <v>0</v>
          </cell>
          <cell r="AS7">
            <v>0</v>
          </cell>
          <cell r="AT7">
            <v>0</v>
          </cell>
          <cell r="AU7">
            <v>0</v>
          </cell>
          <cell r="AV7">
            <v>0</v>
          </cell>
          <cell r="AW7">
            <v>9.8316498316498304</v>
          </cell>
          <cell r="AX7">
            <v>0</v>
          </cell>
          <cell r="AY7">
            <v>0</v>
          </cell>
          <cell r="AZ7">
            <v>0</v>
          </cell>
          <cell r="BA7">
            <v>0</v>
          </cell>
          <cell r="BB7">
            <v>0</v>
          </cell>
          <cell r="BC7">
            <v>0</v>
          </cell>
          <cell r="BD7">
            <v>0</v>
          </cell>
          <cell r="BE7">
            <v>0</v>
          </cell>
          <cell r="BF7">
            <v>0</v>
          </cell>
          <cell r="BH7">
            <v>0</v>
          </cell>
          <cell r="BI7">
            <v>0</v>
          </cell>
          <cell r="BJ7">
            <v>0</v>
          </cell>
          <cell r="BK7">
            <v>0.44999763403004089</v>
          </cell>
          <cell r="BL7">
            <v>2.4628949349030407</v>
          </cell>
          <cell r="BM7">
            <v>-7.5783229061418638</v>
          </cell>
          <cell r="BN7">
            <v>0</v>
          </cell>
          <cell r="BO7">
            <v>0</v>
          </cell>
          <cell r="BP7">
            <v>0</v>
          </cell>
          <cell r="BQ7">
            <v>4.0069599801143427</v>
          </cell>
          <cell r="BR7">
            <v>-1.7673378076062638</v>
          </cell>
          <cell r="BS7">
            <v>188.44444444444443</v>
          </cell>
          <cell r="BU7" t="e">
            <v>#DIV/0!</v>
          </cell>
          <cell r="BV7">
            <v>0.96404661248813794</v>
          </cell>
          <cell r="BW7" t="e">
            <v>#DIV/0!</v>
          </cell>
          <cell r="BX7">
            <v>2.9422222222222225</v>
          </cell>
          <cell r="BY7">
            <v>0.87516194062107533</v>
          </cell>
        </row>
        <row r="8">
          <cell r="B8" t="str">
            <v>LP Receive - Direct</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0</v>
          </cell>
          <cell r="AR8">
            <v>0</v>
          </cell>
          <cell r="AS8">
            <v>0</v>
          </cell>
          <cell r="AT8">
            <v>0</v>
          </cell>
          <cell r="AU8">
            <v>0</v>
          </cell>
          <cell r="AV8">
            <v>0</v>
          </cell>
          <cell r="AW8">
            <v>0</v>
          </cell>
          <cell r="AX8">
            <v>0</v>
          </cell>
          <cell r="AY8">
            <v>0</v>
          </cell>
          <cell r="AZ8">
            <v>0</v>
          </cell>
          <cell r="BA8">
            <v>0</v>
          </cell>
          <cell r="BB8">
            <v>0</v>
          </cell>
          <cell r="BC8">
            <v>0</v>
          </cell>
          <cell r="BD8">
            <v>0</v>
          </cell>
          <cell r="BE8">
            <v>0</v>
          </cell>
          <cell r="BF8">
            <v>0</v>
          </cell>
          <cell r="BH8">
            <v>0</v>
          </cell>
          <cell r="BI8">
            <v>0</v>
          </cell>
          <cell r="BJ8">
            <v>0</v>
          </cell>
          <cell r="BK8">
            <v>0</v>
          </cell>
          <cell r="BL8">
            <v>0</v>
          </cell>
          <cell r="BM8">
            <v>0</v>
          </cell>
          <cell r="BN8">
            <v>0</v>
          </cell>
          <cell r="BO8">
            <v>0</v>
          </cell>
          <cell r="BP8">
            <v>0</v>
          </cell>
          <cell r="BQ8">
            <v>0</v>
          </cell>
          <cell r="BR8">
            <v>0</v>
          </cell>
          <cell r="BS8">
            <v>0</v>
          </cell>
          <cell r="BU8" t="e">
            <v>#DIV/0!</v>
          </cell>
          <cell r="BV8" t="e">
            <v>#DIV/0!</v>
          </cell>
          <cell r="BW8" t="e">
            <v>#DIV/0!</v>
          </cell>
          <cell r="BX8" t="e">
            <v>#DIV/0!</v>
          </cell>
          <cell r="BY8" t="e">
            <v>#DIV/0!</v>
          </cell>
        </row>
        <row r="9">
          <cell r="B9" t="str">
            <v>LP Receive - Indirect</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H9">
            <v>0</v>
          </cell>
          <cell r="BI9">
            <v>0</v>
          </cell>
          <cell r="BJ9">
            <v>0</v>
          </cell>
          <cell r="BK9">
            <v>0</v>
          </cell>
          <cell r="BL9">
            <v>0</v>
          </cell>
          <cell r="BM9">
            <v>0</v>
          </cell>
          <cell r="BN9">
            <v>0</v>
          </cell>
          <cell r="BO9">
            <v>0</v>
          </cell>
          <cell r="BP9">
            <v>0</v>
          </cell>
          <cell r="BQ9">
            <v>0</v>
          </cell>
          <cell r="BR9">
            <v>0</v>
          </cell>
          <cell r="BS9">
            <v>0</v>
          </cell>
          <cell r="BU9" t="e">
            <v>#DIV/0!</v>
          </cell>
          <cell r="BV9" t="e">
            <v>#DIV/0!</v>
          </cell>
          <cell r="BW9" t="e">
            <v>#DIV/0!</v>
          </cell>
          <cell r="BX9" t="e">
            <v>#DIV/0!</v>
          </cell>
          <cell r="BY9" t="e">
            <v>#DIV/0!</v>
          </cell>
        </row>
        <row r="10">
          <cell r="B10" t="str">
            <v>LP Receive - Total</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H10">
            <v>0</v>
          </cell>
          <cell r="BI10">
            <v>0</v>
          </cell>
          <cell r="BJ10">
            <v>0</v>
          </cell>
          <cell r="BK10">
            <v>0</v>
          </cell>
          <cell r="BL10">
            <v>0</v>
          </cell>
          <cell r="BM10">
            <v>0</v>
          </cell>
          <cell r="BN10">
            <v>0</v>
          </cell>
          <cell r="BO10">
            <v>0</v>
          </cell>
          <cell r="BP10">
            <v>0</v>
          </cell>
          <cell r="BQ10">
            <v>0</v>
          </cell>
          <cell r="BR10">
            <v>0</v>
          </cell>
          <cell r="BS10">
            <v>0</v>
          </cell>
          <cell r="BU10" t="e">
            <v>#DIV/0!</v>
          </cell>
          <cell r="BV10" t="e">
            <v>#DIV/0!</v>
          </cell>
          <cell r="BW10" t="e">
            <v>#DIV/0!</v>
          </cell>
          <cell r="BX10" t="e">
            <v>#DIV/0!</v>
          </cell>
          <cell r="BY10" t="e">
            <v>#DIV/0!</v>
          </cell>
        </row>
        <row r="11">
          <cell r="B11" t="str">
            <v>Case Receive - Direct (Units)</v>
          </cell>
          <cell r="S11">
            <v>0</v>
          </cell>
          <cell r="T11">
            <v>0</v>
          </cell>
          <cell r="U11">
            <v>0</v>
          </cell>
          <cell r="V11">
            <v>0</v>
          </cell>
          <cell r="W11">
            <v>0</v>
          </cell>
          <cell r="X11">
            <v>0</v>
          </cell>
          <cell r="Y11">
            <v>0</v>
          </cell>
          <cell r="Z11">
            <v>0</v>
          </cell>
          <cell r="AA11">
            <v>7.6589147286821708</v>
          </cell>
          <cell r="AB11">
            <v>2.2909553457856329</v>
          </cell>
          <cell r="AC11">
            <v>1.8744734625105308</v>
          </cell>
          <cell r="AD11">
            <v>1.4053410288122399</v>
          </cell>
          <cell r="AE11">
            <v>1.8035548816443432</v>
          </cell>
          <cell r="AF11">
            <v>2.0034074623566562</v>
          </cell>
          <cell r="AG11">
            <v>2.038341550978954</v>
          </cell>
          <cell r="AH11">
            <v>1.6846044972525589</v>
          </cell>
          <cell r="AI11">
            <v>1.5072431914802764</v>
          </cell>
          <cell r="AJ11">
            <v>0.9842069847399566</v>
          </cell>
          <cell r="AK11">
            <v>0.98483286839461104</v>
          </cell>
          <cell r="AL11">
            <v>2.0016968566404452</v>
          </cell>
          <cell r="AM11">
            <v>1.3432163918373365</v>
          </cell>
          <cell r="AN11">
            <v>2.5324490093577774</v>
          </cell>
          <cell r="AO11">
            <v>2.646619967113597</v>
          </cell>
          <cell r="AP11">
            <v>1.9975456339826041</v>
          </cell>
          <cell r="AQ11">
            <v>1.527612084594151</v>
          </cell>
          <cell r="AR11">
            <v>1.9563310852087363</v>
          </cell>
          <cell r="AS11">
            <v>1.3712549777812337</v>
          </cell>
          <cell r="AT11">
            <v>1.2071768552115247</v>
          </cell>
          <cell r="AU11">
            <v>0.9325166319602074</v>
          </cell>
          <cell r="AV11">
            <v>0.89474642411162963</v>
          </cell>
          <cell r="AW11">
            <v>0.7130741776139301</v>
          </cell>
          <cell r="AX11">
            <v>0.7303279487541009</v>
          </cell>
          <cell r="AY11">
            <v>0.82398291317502048</v>
          </cell>
          <cell r="AZ11">
            <v>1.1682947919902384</v>
          </cell>
          <cell r="BA11">
            <v>1.1958417443180345</v>
          </cell>
          <cell r="BB11">
            <v>0.76788022252387744</v>
          </cell>
          <cell r="BC11">
            <v>0</v>
          </cell>
          <cell r="BD11">
            <v>0</v>
          </cell>
          <cell r="BE11">
            <v>0</v>
          </cell>
          <cell r="BF11">
            <v>0</v>
          </cell>
          <cell r="BH11">
            <v>0</v>
          </cell>
          <cell r="BI11">
            <v>0</v>
          </cell>
          <cell r="BJ11">
            <v>0</v>
          </cell>
          <cell r="BK11">
            <v>0</v>
          </cell>
          <cell r="BL11">
            <v>0</v>
          </cell>
          <cell r="BM11">
            <v>1.8504268200184797</v>
          </cell>
          <cell r="BN11">
            <v>1.765476183135726</v>
          </cell>
          <cell r="BO11">
            <v>1.1792651468312585</v>
          </cell>
          <cell r="BP11">
            <v>1.9176524703540259</v>
          </cell>
          <cell r="BQ11">
            <v>1.0647635126001491</v>
          </cell>
          <cell r="BR11">
            <v>0.84727929299664395</v>
          </cell>
          <cell r="BS11">
            <v>1.0122673154307023</v>
          </cell>
          <cell r="BU11" t="e">
            <v>#DIV/0!</v>
          </cell>
          <cell r="BV11">
            <v>1.8119699670501812</v>
          </cell>
          <cell r="BW11">
            <v>1.5890040858471033</v>
          </cell>
          <cell r="BX11">
            <v>0.96899692198661835</v>
          </cell>
          <cell r="BY11">
            <v>1.3109424464713042</v>
          </cell>
        </row>
        <row r="12">
          <cell r="B12" t="str">
            <v>Case Receive- Indirect (Units)</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H12">
            <v>0</v>
          </cell>
          <cell r="BI12">
            <v>0</v>
          </cell>
          <cell r="BJ12">
            <v>0</v>
          </cell>
          <cell r="BK12">
            <v>0</v>
          </cell>
          <cell r="BL12">
            <v>0</v>
          </cell>
          <cell r="BM12">
            <v>0</v>
          </cell>
          <cell r="BN12">
            <v>0</v>
          </cell>
          <cell r="BO12">
            <v>0</v>
          </cell>
          <cell r="BP12">
            <v>0</v>
          </cell>
          <cell r="BQ12">
            <v>0</v>
          </cell>
          <cell r="BR12">
            <v>0</v>
          </cell>
          <cell r="BS12">
            <v>0</v>
          </cell>
          <cell r="BU12" t="e">
            <v>#DIV/0!</v>
          </cell>
          <cell r="BV12" t="e">
            <v>#DIV/0!</v>
          </cell>
          <cell r="BW12" t="e">
            <v>#DIV/0!</v>
          </cell>
          <cell r="BX12" t="e">
            <v>#DIV/0!</v>
          </cell>
          <cell r="BY12" t="e">
            <v>#DIV/0!</v>
          </cell>
        </row>
        <row r="13">
          <cell r="B13" t="str">
            <v>Case Receive - Total (Units)</v>
          </cell>
          <cell r="S13">
            <v>0</v>
          </cell>
          <cell r="T13">
            <v>0</v>
          </cell>
          <cell r="U13">
            <v>0</v>
          </cell>
          <cell r="V13">
            <v>0</v>
          </cell>
          <cell r="W13">
            <v>0</v>
          </cell>
          <cell r="X13">
            <v>0</v>
          </cell>
          <cell r="Y13">
            <v>0</v>
          </cell>
          <cell r="Z13">
            <v>0</v>
          </cell>
          <cell r="AA13">
            <v>7.6589147286821708</v>
          </cell>
          <cell r="AB13">
            <v>2.2909553457856329</v>
          </cell>
          <cell r="AC13">
            <v>1.8744734625105308</v>
          </cell>
          <cell r="AD13">
            <v>1.4053410288122399</v>
          </cell>
          <cell r="AE13">
            <v>1.8035548816443432</v>
          </cell>
          <cell r="AF13">
            <v>2.0034074623566562</v>
          </cell>
          <cell r="AG13">
            <v>2.038341550978954</v>
          </cell>
          <cell r="AH13">
            <v>1.6846044972525589</v>
          </cell>
          <cell r="AI13">
            <v>1.5072431914802764</v>
          </cell>
          <cell r="AJ13">
            <v>0.9842069847399566</v>
          </cell>
          <cell r="AK13">
            <v>0.98483286839461104</v>
          </cell>
          <cell r="AL13">
            <v>2.0016968566404452</v>
          </cell>
          <cell r="AM13">
            <v>1.3432163918373365</v>
          </cell>
          <cell r="AN13">
            <v>2.5324490093577774</v>
          </cell>
          <cell r="AO13">
            <v>2.646619967113597</v>
          </cell>
          <cell r="AP13">
            <v>1.9975456339826041</v>
          </cell>
          <cell r="AQ13">
            <v>1.527612084594151</v>
          </cell>
          <cell r="AR13">
            <v>1.9563310852087363</v>
          </cell>
          <cell r="AS13">
            <v>1.3712549777812337</v>
          </cell>
          <cell r="AT13">
            <v>1.2071768552115247</v>
          </cell>
          <cell r="AU13">
            <v>0.9325166319602074</v>
          </cell>
          <cell r="AV13">
            <v>0.89474642411162963</v>
          </cell>
          <cell r="AW13">
            <v>0.7130741776139301</v>
          </cell>
          <cell r="AX13">
            <v>0.7303279487541009</v>
          </cell>
          <cell r="AY13">
            <v>0.82398291317502048</v>
          </cell>
          <cell r="AZ13">
            <v>1.1682947919902384</v>
          </cell>
          <cell r="BA13">
            <v>1.1958417443180345</v>
          </cell>
          <cell r="BB13">
            <v>0.76788022252387744</v>
          </cell>
          <cell r="BC13">
            <v>0</v>
          </cell>
          <cell r="BD13">
            <v>0</v>
          </cell>
          <cell r="BE13">
            <v>0</v>
          </cell>
          <cell r="BF13">
            <v>0</v>
          </cell>
          <cell r="BH13">
            <v>0</v>
          </cell>
          <cell r="BI13">
            <v>0</v>
          </cell>
          <cell r="BJ13">
            <v>0</v>
          </cell>
          <cell r="BK13">
            <v>0</v>
          </cell>
          <cell r="BL13">
            <v>0</v>
          </cell>
          <cell r="BM13">
            <v>1.8504268200184797</v>
          </cell>
          <cell r="BN13">
            <v>1.765476183135726</v>
          </cell>
          <cell r="BO13">
            <v>1.1792651468312585</v>
          </cell>
          <cell r="BP13">
            <v>1.9176524703540259</v>
          </cell>
          <cell r="BQ13">
            <v>1.0647635126001491</v>
          </cell>
          <cell r="BR13">
            <v>0.84727929299664395</v>
          </cell>
          <cell r="BS13">
            <v>1.0122673154307023</v>
          </cell>
          <cell r="BU13" t="e">
            <v>#DIV/0!</v>
          </cell>
          <cell r="BV13">
            <v>1.8119699670501812</v>
          </cell>
          <cell r="BW13">
            <v>1.5890040858471033</v>
          </cell>
          <cell r="BX13">
            <v>0.96899692198661835</v>
          </cell>
          <cell r="BY13">
            <v>1.3109424464713042</v>
          </cell>
        </row>
        <row r="14">
          <cell r="B14" t="str">
            <v>Case Receive - Direct (Cases)</v>
          </cell>
          <cell r="S14">
            <v>0</v>
          </cell>
          <cell r="T14">
            <v>0</v>
          </cell>
          <cell r="U14">
            <v>0</v>
          </cell>
          <cell r="V14">
            <v>0</v>
          </cell>
          <cell r="W14">
            <v>0</v>
          </cell>
          <cell r="X14">
            <v>0</v>
          </cell>
          <cell r="Y14">
            <v>0</v>
          </cell>
          <cell r="Z14">
            <v>0</v>
          </cell>
          <cell r="AA14">
            <v>15.503875968992249</v>
          </cell>
          <cell r="AB14">
            <v>4.4185579433621198</v>
          </cell>
          <cell r="AC14">
            <v>4.3976411120471779</v>
          </cell>
          <cell r="AD14">
            <v>3.23210114057991</v>
          </cell>
          <cell r="AE14">
            <v>3.8278156852834635</v>
          </cell>
          <cell r="AF14">
            <v>2.1593774392918053</v>
          </cell>
          <cell r="AG14">
            <v>2.0183042345707602</v>
          </cell>
          <cell r="AH14">
            <v>2.026361581862647</v>
          </cell>
          <cell r="AI14">
            <v>1.6936556935998877</v>
          </cell>
          <cell r="AJ14">
            <v>1.0186660302488377</v>
          </cell>
          <cell r="AK14">
            <v>0.8374140793905398</v>
          </cell>
          <cell r="AL14">
            <v>1.8133198762527061</v>
          </cell>
          <cell r="AM14">
            <v>1.6027383947873151</v>
          </cell>
          <cell r="AN14">
            <v>3.6550312680340085</v>
          </cell>
          <cell r="AO14">
            <v>2.536696454102489</v>
          </cell>
          <cell r="AP14">
            <v>2.2781636420825673</v>
          </cell>
          <cell r="AQ14">
            <v>1.51742800403019</v>
          </cell>
          <cell r="AR14">
            <v>1.9653163219257703</v>
          </cell>
          <cell r="AS14">
            <v>1.5807975040771785</v>
          </cell>
          <cell r="AT14">
            <v>1.7215904357595373</v>
          </cell>
          <cell r="AU14">
            <v>1.2474320847205398</v>
          </cell>
          <cell r="AV14">
            <v>1.3866802851962594</v>
          </cell>
          <cell r="AW14">
            <v>1.1614006020499221</v>
          </cell>
          <cell r="AX14">
            <v>1.2293368858510265</v>
          </cell>
          <cell r="AY14">
            <v>1.4779033497701783</v>
          </cell>
          <cell r="AZ14">
            <v>2.0201251701501386</v>
          </cell>
          <cell r="BA14">
            <v>2.1730531420294477</v>
          </cell>
          <cell r="BB14">
            <v>1.4254572086631094</v>
          </cell>
          <cell r="BC14">
            <v>0</v>
          </cell>
          <cell r="BD14">
            <v>0</v>
          </cell>
          <cell r="BE14">
            <v>0</v>
          </cell>
          <cell r="BF14">
            <v>0</v>
          </cell>
          <cell r="BH14">
            <v>0</v>
          </cell>
          <cell r="BI14">
            <v>0</v>
          </cell>
          <cell r="BJ14">
            <v>0</v>
          </cell>
          <cell r="BK14">
            <v>0</v>
          </cell>
          <cell r="BL14">
            <v>0</v>
          </cell>
          <cell r="BM14">
            <v>4.0114186421745073</v>
          </cell>
          <cell r="BN14">
            <v>1.9295092954059818</v>
          </cell>
          <cell r="BO14">
            <v>1.1554155647417497</v>
          </cell>
          <cell r="BP14">
            <v>2.0950523139392634</v>
          </cell>
          <cell r="BQ14">
            <v>1.4615186962770272</v>
          </cell>
          <cell r="BR14">
            <v>1.4656048925968612</v>
          </cell>
          <cell r="BS14">
            <v>1.8308517149125696</v>
          </cell>
          <cell r="BU14" t="e">
            <v>#DIV/0!</v>
          </cell>
          <cell r="BV14">
            <v>3.9280505590666026</v>
          </cell>
          <cell r="BW14">
            <v>1.6857979740886115</v>
          </cell>
          <cell r="BX14">
            <v>1.4922703950164953</v>
          </cell>
          <cell r="BY14">
            <v>1.7913585390687992</v>
          </cell>
        </row>
        <row r="15">
          <cell r="B15" t="str">
            <v>Case Receive - Indirect (Cases)</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H15">
            <v>0</v>
          </cell>
          <cell r="BI15">
            <v>0</v>
          </cell>
          <cell r="BJ15">
            <v>0</v>
          </cell>
          <cell r="BK15">
            <v>0</v>
          </cell>
          <cell r="BL15">
            <v>0</v>
          </cell>
          <cell r="BM15">
            <v>0</v>
          </cell>
          <cell r="BN15">
            <v>0</v>
          </cell>
          <cell r="BO15">
            <v>0</v>
          </cell>
          <cell r="BP15">
            <v>0</v>
          </cell>
          <cell r="BQ15">
            <v>0</v>
          </cell>
          <cell r="BR15">
            <v>0</v>
          </cell>
          <cell r="BS15">
            <v>0</v>
          </cell>
          <cell r="BU15" t="e">
            <v>#DIV/0!</v>
          </cell>
          <cell r="BV15" t="e">
            <v>#DIV/0!</v>
          </cell>
          <cell r="BW15" t="e">
            <v>#DIV/0!</v>
          </cell>
          <cell r="BX15" t="e">
            <v>#DIV/0!</v>
          </cell>
          <cell r="BY15" t="e">
            <v>#DIV/0!</v>
          </cell>
        </row>
        <row r="16">
          <cell r="B16" t="str">
            <v>Case Receive - Total (Cases)</v>
          </cell>
          <cell r="S16">
            <v>0</v>
          </cell>
          <cell r="T16">
            <v>0</v>
          </cell>
          <cell r="U16">
            <v>0</v>
          </cell>
          <cell r="V16">
            <v>0</v>
          </cell>
          <cell r="W16">
            <v>0</v>
          </cell>
          <cell r="X16">
            <v>0</v>
          </cell>
          <cell r="Y16">
            <v>0</v>
          </cell>
          <cell r="Z16">
            <v>0</v>
          </cell>
          <cell r="AA16">
            <v>15.503875968992249</v>
          </cell>
          <cell r="AB16">
            <v>4.4185579433621198</v>
          </cell>
          <cell r="AC16">
            <v>4.3976411120471779</v>
          </cell>
          <cell r="AD16">
            <v>3.23210114057991</v>
          </cell>
          <cell r="AE16">
            <v>3.8278156852834635</v>
          </cell>
          <cell r="AF16">
            <v>2.1593774392918053</v>
          </cell>
          <cell r="AG16">
            <v>2.0183042345707602</v>
          </cell>
          <cell r="AH16">
            <v>2.026361581862647</v>
          </cell>
          <cell r="AI16">
            <v>1.6936556935998877</v>
          </cell>
          <cell r="AJ16">
            <v>1.0186660302488377</v>
          </cell>
          <cell r="AK16">
            <v>0.8374140793905398</v>
          </cell>
          <cell r="AL16">
            <v>1.8133198762527061</v>
          </cell>
          <cell r="AM16">
            <v>1.6027383947873151</v>
          </cell>
          <cell r="AN16">
            <v>3.6550312680340085</v>
          </cell>
          <cell r="AO16">
            <v>2.536696454102489</v>
          </cell>
          <cell r="AP16">
            <v>2.2781636420825673</v>
          </cell>
          <cell r="AQ16">
            <v>1.51742800403019</v>
          </cell>
          <cell r="AR16">
            <v>1.9653163219257703</v>
          </cell>
          <cell r="AS16">
            <v>1.5807975040771785</v>
          </cell>
          <cell r="AT16">
            <v>1.7215904357595373</v>
          </cell>
          <cell r="AU16">
            <v>1.2474320847205398</v>
          </cell>
          <cell r="AV16">
            <v>1.3866802851962594</v>
          </cell>
          <cell r="AW16">
            <v>1.1614006020499221</v>
          </cell>
          <cell r="AX16">
            <v>1.2293368858510265</v>
          </cell>
          <cell r="AY16">
            <v>1.4779033497701783</v>
          </cell>
          <cell r="AZ16">
            <v>2.0201251701501386</v>
          </cell>
          <cell r="BA16">
            <v>2.1730531420294477</v>
          </cell>
          <cell r="BB16">
            <v>1.4254572086631094</v>
          </cell>
          <cell r="BC16">
            <v>0</v>
          </cell>
          <cell r="BD16">
            <v>0</v>
          </cell>
          <cell r="BE16">
            <v>0</v>
          </cell>
          <cell r="BF16">
            <v>0</v>
          </cell>
          <cell r="BH16">
            <v>0</v>
          </cell>
          <cell r="BI16">
            <v>0</v>
          </cell>
          <cell r="BJ16">
            <v>0</v>
          </cell>
          <cell r="BK16">
            <v>0</v>
          </cell>
          <cell r="BL16">
            <v>0</v>
          </cell>
          <cell r="BM16">
            <v>4.0114186421745073</v>
          </cell>
          <cell r="BN16">
            <v>1.9295092954059818</v>
          </cell>
          <cell r="BO16">
            <v>1.1554155647417497</v>
          </cell>
          <cell r="BP16">
            <v>2.0950523139392634</v>
          </cell>
          <cell r="BQ16">
            <v>1.4615186962770272</v>
          </cell>
          <cell r="BR16">
            <v>1.4656048925968612</v>
          </cell>
          <cell r="BS16">
            <v>1.8308517149125696</v>
          </cell>
          <cell r="BU16" t="e">
            <v>#DIV/0!</v>
          </cell>
          <cell r="BV16">
            <v>3.9280505590666026</v>
          </cell>
          <cell r="BW16">
            <v>1.6857979740886115</v>
          </cell>
          <cell r="BX16">
            <v>1.4922703950164953</v>
          </cell>
          <cell r="BY16">
            <v>1.7913585390687992</v>
          </cell>
        </row>
        <row r="17">
          <cell r="B17" t="str">
            <v>Pallet Receive - Direct (Units)</v>
          </cell>
          <cell r="S17">
            <v>0</v>
          </cell>
          <cell r="T17">
            <v>0</v>
          </cell>
          <cell r="U17">
            <v>0</v>
          </cell>
          <cell r="V17">
            <v>0</v>
          </cell>
          <cell r="W17">
            <v>1.7728461888230449</v>
          </cell>
          <cell r="X17">
            <v>0.40305090061999455</v>
          </cell>
          <cell r="Y17">
            <v>0.46287036539874743</v>
          </cell>
          <cell r="Z17">
            <v>0.9394813040051303</v>
          </cell>
          <cell r="AA17">
            <v>0.35956773020681398</v>
          </cell>
          <cell r="AB17">
            <v>0.61765745620823675</v>
          </cell>
          <cell r="AC17">
            <v>0.52138145587650464</v>
          </cell>
          <cell r="AD17">
            <v>0.33408817318626322</v>
          </cell>
          <cell r="AE17">
            <v>0.39420266825145772</v>
          </cell>
          <cell r="AF17">
            <v>0.35070196296118694</v>
          </cell>
          <cell r="AG17">
            <v>0.23315765826647999</v>
          </cell>
          <cell r="AH17">
            <v>0.26425470876135904</v>
          </cell>
          <cell r="AI17">
            <v>0.30495361278698269</v>
          </cell>
          <cell r="AJ17">
            <v>0.39286896083853223</v>
          </cell>
          <cell r="AK17">
            <v>0.41080720502811352</v>
          </cell>
          <cell r="AL17">
            <v>0.52691662567479958</v>
          </cell>
          <cell r="AM17">
            <v>0.69181865088294492</v>
          </cell>
          <cell r="AN17">
            <v>0.93688471140326413</v>
          </cell>
          <cell r="AO17">
            <v>1.2383851046907304</v>
          </cell>
          <cell r="AP17">
            <v>1.1919167622214173</v>
          </cell>
          <cell r="AQ17">
            <v>0.86397262797371333</v>
          </cell>
          <cell r="AR17">
            <v>0.975982575065372</v>
          </cell>
          <cell r="AS17">
            <v>0.99179377543569158</v>
          </cell>
          <cell r="AT17">
            <v>0.99389950911902836</v>
          </cell>
          <cell r="AU17">
            <v>1.0167765908742645</v>
          </cell>
          <cell r="AV17">
            <v>0.89176972557188994</v>
          </cell>
          <cell r="AW17">
            <v>0.72776298412919793</v>
          </cell>
          <cell r="AX17">
            <v>0.92889383252572777</v>
          </cell>
          <cell r="AY17">
            <v>0.5827711152810312</v>
          </cell>
          <cell r="AZ17">
            <v>0.64875577610856572</v>
          </cell>
          <cell r="BA17">
            <v>0.9466584715562415</v>
          </cell>
          <cell r="BB17">
            <v>1.1158049751960308</v>
          </cell>
          <cell r="BC17">
            <v>0</v>
          </cell>
          <cell r="BD17">
            <v>0</v>
          </cell>
          <cell r="BE17">
            <v>0</v>
          </cell>
          <cell r="BF17">
            <v>0</v>
          </cell>
          <cell r="BH17">
            <v>0</v>
          </cell>
          <cell r="BI17">
            <v>0</v>
          </cell>
          <cell r="BJ17">
            <v>0</v>
          </cell>
          <cell r="BK17">
            <v>0</v>
          </cell>
          <cell r="BL17">
            <v>0.58715751932389182</v>
          </cell>
          <cell r="BM17">
            <v>0.44287878861099883</v>
          </cell>
          <cell r="BN17">
            <v>0.29385115734141792</v>
          </cell>
          <cell r="BO17">
            <v>0.49058249207693871</v>
          </cell>
          <cell r="BP17">
            <v>1.0387606596917542</v>
          </cell>
          <cell r="BQ17">
            <v>0.96728911196842615</v>
          </cell>
          <cell r="BR17">
            <v>0.71063791780429542</v>
          </cell>
          <cell r="BS17">
            <v>1.164012381106641</v>
          </cell>
          <cell r="BU17" t="e">
            <v>#DIV/0!</v>
          </cell>
          <cell r="BV17">
            <v>0.50515899052762925</v>
          </cell>
          <cell r="BW17">
            <v>0.59613592853987785</v>
          </cell>
          <cell r="BX17">
            <v>0.85735773472935595</v>
          </cell>
          <cell r="BY17">
            <v>0.70152175975123721</v>
          </cell>
        </row>
        <row r="18">
          <cell r="B18" t="str">
            <v>Pallet Receive - Indirect (Units)</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H18">
            <v>0</v>
          </cell>
          <cell r="BI18">
            <v>0</v>
          </cell>
          <cell r="BJ18">
            <v>0</v>
          </cell>
          <cell r="BK18">
            <v>0</v>
          </cell>
          <cell r="BL18">
            <v>0</v>
          </cell>
          <cell r="BM18">
            <v>0</v>
          </cell>
          <cell r="BN18">
            <v>0</v>
          </cell>
          <cell r="BO18">
            <v>0</v>
          </cell>
          <cell r="BP18">
            <v>0</v>
          </cell>
          <cell r="BQ18">
            <v>0</v>
          </cell>
          <cell r="BR18">
            <v>0</v>
          </cell>
          <cell r="BS18">
            <v>0</v>
          </cell>
          <cell r="BU18" t="e">
            <v>#DIV/0!</v>
          </cell>
          <cell r="BV18" t="e">
            <v>#DIV/0!</v>
          </cell>
          <cell r="BW18" t="e">
            <v>#DIV/0!</v>
          </cell>
          <cell r="BX18" t="e">
            <v>#DIV/0!</v>
          </cell>
          <cell r="BY18" t="e">
            <v>#DIV/0!</v>
          </cell>
        </row>
        <row r="19">
          <cell r="B19" t="str">
            <v>Pallet Receive - Total (Units)</v>
          </cell>
          <cell r="S19">
            <v>0</v>
          </cell>
          <cell r="T19">
            <v>0</v>
          </cell>
          <cell r="U19">
            <v>0</v>
          </cell>
          <cell r="V19">
            <v>0</v>
          </cell>
          <cell r="W19">
            <v>1.7728461888230449</v>
          </cell>
          <cell r="X19">
            <v>0.40305090061999455</v>
          </cell>
          <cell r="Y19">
            <v>0.46287036539874743</v>
          </cell>
          <cell r="Z19">
            <v>0.88729781527167662</v>
          </cell>
          <cell r="AA19">
            <v>0.35956773020681398</v>
          </cell>
          <cell r="AB19">
            <v>0.61765745620823675</v>
          </cell>
          <cell r="AC19">
            <v>0.52138145587650464</v>
          </cell>
          <cell r="AD19">
            <v>0.33408817318626322</v>
          </cell>
          <cell r="AE19">
            <v>0.39420266825145772</v>
          </cell>
          <cell r="AF19">
            <v>0.35070196296118694</v>
          </cell>
          <cell r="AG19">
            <v>0.23315765826647999</v>
          </cell>
          <cell r="AH19">
            <v>0.26425470876135904</v>
          </cell>
          <cell r="AI19">
            <v>0.30495361278698269</v>
          </cell>
          <cell r="AJ19">
            <v>0.39286896083853223</v>
          </cell>
          <cell r="AK19">
            <v>0.41080720502811352</v>
          </cell>
          <cell r="AL19">
            <v>0.52691662567479958</v>
          </cell>
          <cell r="AM19">
            <v>0.69181865088294492</v>
          </cell>
          <cell r="AN19">
            <v>0.93688471140326413</v>
          </cell>
          <cell r="AO19">
            <v>1.2383851046907304</v>
          </cell>
          <cell r="AP19">
            <v>1.1919167622214173</v>
          </cell>
          <cell r="AQ19">
            <v>0.86397262797371333</v>
          </cell>
          <cell r="AR19">
            <v>0.975982575065372</v>
          </cell>
          <cell r="AS19">
            <v>0.99179377543569158</v>
          </cell>
          <cell r="AT19">
            <v>0.99389950911902836</v>
          </cell>
          <cell r="AU19">
            <v>1.0167765908742645</v>
          </cell>
          <cell r="AV19">
            <v>0.89176972557188994</v>
          </cell>
          <cell r="AW19">
            <v>0.72776298412919793</v>
          </cell>
          <cell r="AX19">
            <v>0.92889383252572777</v>
          </cell>
          <cell r="AY19">
            <v>0.5827711152810312</v>
          </cell>
          <cell r="AZ19">
            <v>0.64875577610856572</v>
          </cell>
          <cell r="BA19">
            <v>0.9466584715562415</v>
          </cell>
          <cell r="BB19">
            <v>1.1158049751960308</v>
          </cell>
          <cell r="BC19">
            <v>0</v>
          </cell>
          <cell r="BD19">
            <v>0</v>
          </cell>
          <cell r="BE19">
            <v>0</v>
          </cell>
          <cell r="BF19">
            <v>0</v>
          </cell>
          <cell r="BH19">
            <v>0</v>
          </cell>
          <cell r="BI19">
            <v>0</v>
          </cell>
          <cell r="BJ19">
            <v>0</v>
          </cell>
          <cell r="BK19">
            <v>0</v>
          </cell>
          <cell r="BL19">
            <v>0.57809898092688505</v>
          </cell>
          <cell r="BM19">
            <v>0.44287878861099883</v>
          </cell>
          <cell r="BN19">
            <v>0.29385115734141792</v>
          </cell>
          <cell r="BO19">
            <v>0.49058249207693871</v>
          </cell>
          <cell r="BP19">
            <v>1.0387606596917542</v>
          </cell>
          <cell r="BQ19">
            <v>0.96728911196842615</v>
          </cell>
          <cell r="BR19">
            <v>0.71063791780429542</v>
          </cell>
          <cell r="BS19">
            <v>1.164012381106641</v>
          </cell>
          <cell r="BU19" t="e">
            <v>#DIV/0!</v>
          </cell>
          <cell r="BV19">
            <v>0.50176505151792505</v>
          </cell>
          <cell r="BW19">
            <v>0.59613592853987785</v>
          </cell>
          <cell r="BX19">
            <v>0.85735773472935595</v>
          </cell>
          <cell r="BY19">
            <v>0.70057179004093406</v>
          </cell>
        </row>
        <row r="20">
          <cell r="B20" t="str">
            <v>Pallet Receive - Direct (Pallets)</v>
          </cell>
          <cell r="S20">
            <v>0</v>
          </cell>
          <cell r="T20">
            <v>0</v>
          </cell>
          <cell r="U20">
            <v>0</v>
          </cell>
          <cell r="V20">
            <v>0</v>
          </cell>
          <cell r="W20">
            <v>2.6852047628657871</v>
          </cell>
          <cell r="X20">
            <v>0.8561671973517988</v>
          </cell>
          <cell r="Y20">
            <v>0.90321406068657395</v>
          </cell>
          <cell r="Z20">
            <v>1.5525223147845875</v>
          </cell>
          <cell r="AA20">
            <v>0.75333995404733667</v>
          </cell>
          <cell r="AB20">
            <v>0.77930717732193133</v>
          </cell>
          <cell r="AC20">
            <v>1.1084349247365348</v>
          </cell>
          <cell r="AD20">
            <v>0.99724692496775669</v>
          </cell>
          <cell r="AE20">
            <v>1.0968805316110739</v>
          </cell>
          <cell r="AF20">
            <v>0.72476837998109023</v>
          </cell>
          <cell r="AG20">
            <v>0.48834888527661147</v>
          </cell>
          <cell r="AH20">
            <v>0.40471586248324698</v>
          </cell>
          <cell r="AI20">
            <v>0.51839893651624314</v>
          </cell>
          <cell r="AJ20">
            <v>0.43063546607306885</v>
          </cell>
          <cell r="AK20">
            <v>0.57538702132133535</v>
          </cell>
          <cell r="AL20">
            <v>0.71528919871066843</v>
          </cell>
          <cell r="AM20">
            <v>0.72073165914829862</v>
          </cell>
          <cell r="AN20">
            <v>0.76364907441850005</v>
          </cell>
          <cell r="AO20">
            <v>0.85991453119184758</v>
          </cell>
          <cell r="AP20">
            <v>0.82991818359131464</v>
          </cell>
          <cell r="AQ20">
            <v>0.7521230121790331</v>
          </cell>
          <cell r="AR20">
            <v>0.63517571289171038</v>
          </cell>
          <cell r="AS20">
            <v>0.61587063348373683</v>
          </cell>
          <cell r="AT20">
            <v>0.67051828288372806</v>
          </cell>
          <cell r="AU20">
            <v>0.66342653120432771</v>
          </cell>
          <cell r="AV20">
            <v>0.72633141888149155</v>
          </cell>
          <cell r="AW20">
            <v>0.74852972405848983</v>
          </cell>
          <cell r="AX20">
            <v>0.71683796083760265</v>
          </cell>
          <cell r="AY20">
            <v>0.60674431749181601</v>
          </cell>
          <cell r="AZ20">
            <v>0.57818209637726381</v>
          </cell>
          <cell r="BA20">
            <v>0.78381025059805487</v>
          </cell>
          <cell r="BB20">
            <v>1.0726034160551638</v>
          </cell>
          <cell r="BC20">
            <v>0</v>
          </cell>
          <cell r="BD20">
            <v>0</v>
          </cell>
          <cell r="BE20">
            <v>0</v>
          </cell>
          <cell r="BF20">
            <v>0</v>
          </cell>
          <cell r="BH20">
            <v>0</v>
          </cell>
          <cell r="BI20">
            <v>0</v>
          </cell>
          <cell r="BJ20">
            <v>0</v>
          </cell>
          <cell r="BK20">
            <v>0</v>
          </cell>
          <cell r="BL20">
            <v>1.1220373436836466</v>
          </cell>
          <cell r="BM20">
            <v>0.95246324202222887</v>
          </cell>
          <cell r="BN20">
            <v>0.51824751534293034</v>
          </cell>
          <cell r="BO20">
            <v>0.57312459617560274</v>
          </cell>
          <cell r="BP20">
            <v>0.74865928231425427</v>
          </cell>
          <cell r="BQ20">
            <v>0.67447550179331572</v>
          </cell>
          <cell r="BR20">
            <v>0.65907316207773792</v>
          </cell>
          <cell r="BS20">
            <v>0.95490607563329588</v>
          </cell>
          <cell r="BU20" t="e">
            <v>#DIV/0!</v>
          </cell>
          <cell r="BV20">
            <v>1.0256625919133808</v>
          </cell>
          <cell r="BW20">
            <v>0.60973284796883576</v>
          </cell>
          <cell r="BX20">
            <v>0.67935932392071141</v>
          </cell>
          <cell r="BY20">
            <v>0.72606604811981001</v>
          </cell>
        </row>
        <row r="21">
          <cell r="B21" t="str">
            <v>Pallet Receive - Indirect (Pallets)</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H21">
            <v>0</v>
          </cell>
          <cell r="BI21">
            <v>0</v>
          </cell>
          <cell r="BJ21">
            <v>0</v>
          </cell>
          <cell r="BK21">
            <v>0</v>
          </cell>
          <cell r="BL21">
            <v>0</v>
          </cell>
          <cell r="BM21">
            <v>0</v>
          </cell>
          <cell r="BN21">
            <v>0</v>
          </cell>
          <cell r="BO21">
            <v>0</v>
          </cell>
          <cell r="BP21">
            <v>0</v>
          </cell>
          <cell r="BQ21">
            <v>0</v>
          </cell>
          <cell r="BR21">
            <v>0</v>
          </cell>
          <cell r="BS21">
            <v>0</v>
          </cell>
          <cell r="BU21" t="e">
            <v>#DIV/0!</v>
          </cell>
          <cell r="BV21" t="e">
            <v>#DIV/0!</v>
          </cell>
          <cell r="BW21" t="e">
            <v>#DIV/0!</v>
          </cell>
          <cell r="BX21" t="e">
            <v>#DIV/0!</v>
          </cell>
          <cell r="BY21" t="e">
            <v>#DIV/0!</v>
          </cell>
        </row>
        <row r="22">
          <cell r="B22" t="str">
            <v>Pallet Receive - Total (Pallets)</v>
          </cell>
          <cell r="S22">
            <v>0</v>
          </cell>
          <cell r="T22">
            <v>0</v>
          </cell>
          <cell r="U22">
            <v>0</v>
          </cell>
          <cell r="V22">
            <v>0</v>
          </cell>
          <cell r="W22">
            <v>2.6852047628657871</v>
          </cell>
          <cell r="X22">
            <v>0.8561671973517988</v>
          </cell>
          <cell r="Y22">
            <v>0.90321406068657395</v>
          </cell>
          <cell r="Z22">
            <v>1.4662874633015242</v>
          </cell>
          <cell r="AA22">
            <v>0.75333995404733667</v>
          </cell>
          <cell r="AB22">
            <v>0.77930717732193133</v>
          </cell>
          <cell r="AC22">
            <v>1.1084349247365348</v>
          </cell>
          <cell r="AD22">
            <v>0.99724692496775669</v>
          </cell>
          <cell r="AE22">
            <v>1.0968805316110739</v>
          </cell>
          <cell r="AF22">
            <v>0.72476837998109023</v>
          </cell>
          <cell r="AG22">
            <v>0.48834888527661147</v>
          </cell>
          <cell r="AH22">
            <v>0.40471586248324698</v>
          </cell>
          <cell r="AI22">
            <v>0.51839893651624314</v>
          </cell>
          <cell r="AJ22">
            <v>0.43063546607306885</v>
          </cell>
          <cell r="AK22">
            <v>0.57538702132133535</v>
          </cell>
          <cell r="AL22">
            <v>0.71528919871066843</v>
          </cell>
          <cell r="AM22">
            <v>0.72073165914829862</v>
          </cell>
          <cell r="AN22">
            <v>0.76364907441850005</v>
          </cell>
          <cell r="AO22">
            <v>0.85991453119184758</v>
          </cell>
          <cell r="AP22">
            <v>0.82991818359131464</v>
          </cell>
          <cell r="AQ22">
            <v>0.7521230121790331</v>
          </cell>
          <cell r="AR22">
            <v>0.63517571289171038</v>
          </cell>
          <cell r="AS22">
            <v>0.61587063348373683</v>
          </cell>
          <cell r="AT22">
            <v>0.67051828288372806</v>
          </cell>
          <cell r="AU22">
            <v>0.66342653120432771</v>
          </cell>
          <cell r="AV22">
            <v>0.72633141888149155</v>
          </cell>
          <cell r="AW22">
            <v>0.74852972405848983</v>
          </cell>
          <cell r="AX22">
            <v>0.71683796083760265</v>
          </cell>
          <cell r="AY22">
            <v>0.60674431749181601</v>
          </cell>
          <cell r="AZ22">
            <v>0.57818209637726381</v>
          </cell>
          <cell r="BA22">
            <v>0.78381025059805487</v>
          </cell>
          <cell r="BB22">
            <v>1.0726034160551638</v>
          </cell>
          <cell r="BC22">
            <v>0</v>
          </cell>
          <cell r="BD22">
            <v>0</v>
          </cell>
          <cell r="BE22">
            <v>0</v>
          </cell>
          <cell r="BF22">
            <v>0</v>
          </cell>
          <cell r="BH22">
            <v>0</v>
          </cell>
          <cell r="BI22">
            <v>0</v>
          </cell>
          <cell r="BJ22">
            <v>0</v>
          </cell>
          <cell r="BK22">
            <v>0</v>
          </cell>
          <cell r="BL22">
            <v>1.104726795787849</v>
          </cell>
          <cell r="BM22">
            <v>0.95246324202222887</v>
          </cell>
          <cell r="BN22">
            <v>0.51824751534293034</v>
          </cell>
          <cell r="BO22">
            <v>0.57312459617560274</v>
          </cell>
          <cell r="BP22">
            <v>0.74865928231425427</v>
          </cell>
          <cell r="BQ22">
            <v>0.67447550179331572</v>
          </cell>
          <cell r="BR22">
            <v>0.65907316207773792</v>
          </cell>
          <cell r="BS22">
            <v>0.95490607563329588</v>
          </cell>
          <cell r="BU22" t="e">
            <v>#DIV/0!</v>
          </cell>
          <cell r="BV22">
            <v>1.0187716202653194</v>
          </cell>
          <cell r="BW22">
            <v>0.60973284796883576</v>
          </cell>
          <cell r="BX22">
            <v>0.67935932392071141</v>
          </cell>
          <cell r="BY22">
            <v>0.72508284162078729</v>
          </cell>
        </row>
        <row r="23">
          <cell r="B23" t="str">
            <v>Trans-In</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H23">
            <v>0.77703721761337674</v>
          </cell>
          <cell r="BI23">
            <v>0</v>
          </cell>
          <cell r="BJ23">
            <v>0</v>
          </cell>
          <cell r="BK23">
            <v>0</v>
          </cell>
          <cell r="BL23">
            <v>0</v>
          </cell>
          <cell r="BM23">
            <v>0</v>
          </cell>
          <cell r="BN23">
            <v>0</v>
          </cell>
          <cell r="BO23">
            <v>0</v>
          </cell>
          <cell r="BP23">
            <v>0</v>
          </cell>
          <cell r="BQ23">
            <v>0</v>
          </cell>
          <cell r="BR23">
            <v>0</v>
          </cell>
          <cell r="BS23">
            <v>0</v>
          </cell>
          <cell r="BU23">
            <v>0</v>
          </cell>
          <cell r="BV23" t="e">
            <v>#DIV/0!</v>
          </cell>
          <cell r="BW23" t="e">
            <v>#DIV/0!</v>
          </cell>
          <cell r="BX23" t="e">
            <v>#DIV/0!</v>
          </cell>
          <cell r="BY23">
            <v>0</v>
          </cell>
        </row>
        <row r="24">
          <cell r="B24" t="str">
            <v>Total Receive</v>
          </cell>
        </row>
        <row r="25">
          <cell r="B25" t="str">
            <v>Receive Units/Support Hour</v>
          </cell>
          <cell r="S25">
            <v>5.300500444613669</v>
          </cell>
          <cell r="T25">
            <v>0</v>
          </cell>
          <cell r="U25">
            <v>0</v>
          </cell>
          <cell r="V25">
            <v>0.64089173228166896</v>
          </cell>
          <cell r="W25">
            <v>1.1463178033122909</v>
          </cell>
          <cell r="X25">
            <v>0.70694123709383183</v>
          </cell>
          <cell r="Y25">
            <v>0.70142802686604599</v>
          </cell>
          <cell r="Z25">
            <v>0.42921109964678777</v>
          </cell>
          <cell r="AA25">
            <v>0.42950655516607666</v>
          </cell>
          <cell r="AB25">
            <v>0.36628053863734206</v>
          </cell>
          <cell r="AC25">
            <v>0.37342514185087416</v>
          </cell>
          <cell r="AD25">
            <v>0.33313798638244801</v>
          </cell>
          <cell r="AE25">
            <v>0.25577547139206919</v>
          </cell>
          <cell r="AF25">
            <v>0.78953775976523355</v>
          </cell>
          <cell r="AG25">
            <v>0.78158889164149359</v>
          </cell>
          <cell r="AH25">
            <v>0.91678349594413178</v>
          </cell>
          <cell r="AI25">
            <v>1.0348926090373707</v>
          </cell>
          <cell r="AJ25">
            <v>1.0163476548826789</v>
          </cell>
          <cell r="AK25">
            <v>1.1737021184170844</v>
          </cell>
          <cell r="AL25">
            <v>1.2755269952906529</v>
          </cell>
          <cell r="AM25">
            <v>1.685331992131724</v>
          </cell>
          <cell r="AN25">
            <v>1.2181013948174639</v>
          </cell>
          <cell r="AO25">
            <v>1.0572988220563018</v>
          </cell>
          <cell r="AP25">
            <v>1.0178787002297567</v>
          </cell>
          <cell r="AQ25">
            <v>0.88859622317941933</v>
          </cell>
          <cell r="AR25">
            <v>1.1482695554540965</v>
          </cell>
          <cell r="AS25">
            <v>1.3469586072398299</v>
          </cell>
          <cell r="AT25">
            <v>0.9741823188786306</v>
          </cell>
          <cell r="AU25">
            <v>0.70534093413072019</v>
          </cell>
          <cell r="AV25">
            <v>0.6348690884785918</v>
          </cell>
          <cell r="AW25">
            <v>0.7280279804179518</v>
          </cell>
          <cell r="AX25">
            <v>0.82635849398947669</v>
          </cell>
          <cell r="AY25">
            <v>0.77446773816981584</v>
          </cell>
          <cell r="AZ25">
            <v>0.68107272563274945</v>
          </cell>
          <cell r="BA25">
            <v>0.80056427966257371</v>
          </cell>
          <cell r="BB25">
            <v>0.65856845557215127</v>
          </cell>
          <cell r="BC25">
            <v>0</v>
          </cell>
          <cell r="BD25">
            <v>0</v>
          </cell>
          <cell r="BE25">
            <v>0</v>
          </cell>
          <cell r="BF25">
            <v>0</v>
          </cell>
          <cell r="BH25">
            <v>0</v>
          </cell>
          <cell r="BI25">
            <v>0</v>
          </cell>
          <cell r="BJ25">
            <v>0</v>
          </cell>
          <cell r="BK25">
            <v>4.4428464927995233</v>
          </cell>
          <cell r="BL25">
            <v>0.64651617258663141</v>
          </cell>
          <cell r="BM25">
            <v>0.34022620922496166</v>
          </cell>
          <cell r="BN25">
            <v>0.82094450163736399</v>
          </cell>
          <cell r="BO25">
            <v>1.1826597512965957</v>
          </cell>
          <cell r="BP25">
            <v>1.0381767361463574</v>
          </cell>
          <cell r="BQ25">
            <v>0.88278889533653038</v>
          </cell>
          <cell r="BR25">
            <v>0.71566516777420286</v>
          </cell>
          <cell r="BS25">
            <v>0.69534268117949671</v>
          </cell>
          <cell r="BU25" t="e">
            <v>#DIV/0!</v>
          </cell>
          <cell r="BV25">
            <v>0.5620433033411999</v>
          </cell>
          <cell r="BW25">
            <v>1.0368810405592959</v>
          </cell>
          <cell r="BX25">
            <v>0.79879790507128157</v>
          </cell>
          <cell r="BY25">
            <v>0.82466588350063919</v>
          </cell>
        </row>
        <row r="26">
          <cell r="B26" t="str">
            <v>Assortments/Prep/Repack</v>
          </cell>
          <cell r="S26">
            <v>0</v>
          </cell>
          <cell r="T26">
            <v>0</v>
          </cell>
          <cell r="U26">
            <v>0</v>
          </cell>
          <cell r="V26">
            <v>0</v>
          </cell>
          <cell r="W26">
            <v>0</v>
          </cell>
          <cell r="X26">
            <v>0</v>
          </cell>
          <cell r="Y26">
            <v>0</v>
          </cell>
          <cell r="Z26">
            <v>0</v>
          </cell>
          <cell r="AA26">
            <v>0</v>
          </cell>
          <cell r="AB26">
            <v>0</v>
          </cell>
          <cell r="AC26">
            <v>0</v>
          </cell>
          <cell r="AD26">
            <v>5.0136773117063344E-4</v>
          </cell>
          <cell r="AE26">
            <v>0.45930799220272905</v>
          </cell>
          <cell r="AF26">
            <v>0</v>
          </cell>
          <cell r="AG26">
            <v>0</v>
          </cell>
          <cell r="AH26">
            <v>0</v>
          </cell>
          <cell r="AI26">
            <v>0</v>
          </cell>
          <cell r="AJ26">
            <v>0.48357482316040706</v>
          </cell>
          <cell r="AK26">
            <v>0.51943783180772329</v>
          </cell>
          <cell r="AL26">
            <v>0.30591179477463176</v>
          </cell>
          <cell r="AM26">
            <v>0.61409812504083106</v>
          </cell>
          <cell r="AN26">
            <v>0.63085106763539056</v>
          </cell>
          <cell r="AO26">
            <v>0.74712264254747918</v>
          </cell>
          <cell r="AP26">
            <v>2.036441586280815</v>
          </cell>
          <cell r="AQ26">
            <v>1.5969705151596971</v>
          </cell>
          <cell r="AR26">
            <v>1.1922391527710408</v>
          </cell>
          <cell r="AS26">
            <v>1.6329463637885808</v>
          </cell>
          <cell r="AT26">
            <v>1.3571500605082696</v>
          </cell>
          <cell r="AU26">
            <v>1.9691865825118786</v>
          </cell>
          <cell r="AV26">
            <v>1.4047134973652544</v>
          </cell>
          <cell r="AW26">
            <v>0.82457558609539205</v>
          </cell>
          <cell r="AX26">
            <v>1.4020304865560722</v>
          </cell>
          <cell r="AY26">
            <v>1.5158183441765531</v>
          </cell>
          <cell r="AZ26">
            <v>1.0983144382460561</v>
          </cell>
          <cell r="BA26">
            <v>0.78847046343565608</v>
          </cell>
          <cell r="BB26">
            <v>0.9901536762675992</v>
          </cell>
          <cell r="BC26">
            <v>0</v>
          </cell>
          <cell r="BD26">
            <v>0</v>
          </cell>
          <cell r="BE26">
            <v>0</v>
          </cell>
          <cell r="BF26">
            <v>0</v>
          </cell>
          <cell r="BH26">
            <v>0.62817926143960634</v>
          </cell>
          <cell r="BI26">
            <v>0</v>
          </cell>
          <cell r="BJ26">
            <v>0</v>
          </cell>
          <cell r="BK26">
            <v>0</v>
          </cell>
          <cell r="BL26">
            <v>0</v>
          </cell>
          <cell r="BM26">
            <v>1.3169925478835585E-2</v>
          </cell>
          <cell r="BN26">
            <v>0</v>
          </cell>
          <cell r="BO26">
            <v>0.49315550839663075</v>
          </cell>
          <cell r="BP26">
            <v>1.3110125110360467</v>
          </cell>
          <cell r="BQ26">
            <v>1.5360758840801747</v>
          </cell>
          <cell r="BR26">
            <v>1.1907195358543916</v>
          </cell>
          <cell r="BS26">
            <v>0.97723645780012647</v>
          </cell>
          <cell r="BU26">
            <v>0</v>
          </cell>
          <cell r="BV26">
            <v>1.1909614517882231E-2</v>
          </cell>
          <cell r="BW26">
            <v>0.95979687097064603</v>
          </cell>
          <cell r="BX26">
            <v>1.3072076921794409</v>
          </cell>
          <cell r="BY26">
            <v>1.1898787545504463</v>
          </cell>
        </row>
        <row r="27">
          <cell r="B27" t="str">
            <v xml:space="preserve">   Pallet putaway</v>
          </cell>
          <cell r="S27">
            <v>0</v>
          </cell>
          <cell r="T27">
            <v>0</v>
          </cell>
          <cell r="U27">
            <v>0</v>
          </cell>
          <cell r="V27">
            <v>0</v>
          </cell>
          <cell r="W27">
            <v>0</v>
          </cell>
          <cell r="X27">
            <v>0</v>
          </cell>
          <cell r="Y27">
            <v>0</v>
          </cell>
          <cell r="Z27">
            <v>0</v>
          </cell>
          <cell r="AA27">
            <v>0</v>
          </cell>
          <cell r="AB27">
            <v>0</v>
          </cell>
          <cell r="AC27">
            <v>0</v>
          </cell>
          <cell r="AD27">
            <v>0</v>
          </cell>
          <cell r="AE27">
            <v>0</v>
          </cell>
          <cell r="AF27">
            <v>1.1512456515161966</v>
          </cell>
          <cell r="AG27">
            <v>0.40565881301272172</v>
          </cell>
          <cell r="AH27">
            <v>1.0984735540782051</v>
          </cell>
          <cell r="AI27">
            <v>1.2406626617124235</v>
          </cell>
          <cell r="AJ27">
            <v>0.79644581490647948</v>
          </cell>
          <cell r="AK27">
            <v>0.70784929010490283</v>
          </cell>
          <cell r="AL27">
            <v>0.88112170073486096</v>
          </cell>
          <cell r="AM27">
            <v>0.84635328751029648</v>
          </cell>
          <cell r="AN27">
            <v>1.0479682370863206</v>
          </cell>
          <cell r="AO27">
            <v>1.0305731884399092</v>
          </cell>
          <cell r="AP27">
            <v>0.69038592076290128</v>
          </cell>
          <cell r="AQ27">
            <v>0.80204000227933214</v>
          </cell>
          <cell r="AR27">
            <v>0.73173401756545753</v>
          </cell>
          <cell r="AS27">
            <v>1.0885976261948784</v>
          </cell>
          <cell r="AT27">
            <v>1.2984643791187696</v>
          </cell>
          <cell r="AU27">
            <v>0.70527415591135045</v>
          </cell>
          <cell r="AV27">
            <v>0.79340856315157471</v>
          </cell>
          <cell r="AW27">
            <v>0.76085258262174094</v>
          </cell>
          <cell r="AX27">
            <v>1.1623994767377153</v>
          </cell>
          <cell r="AY27">
            <v>1.1119902210991763</v>
          </cell>
          <cell r="AZ27">
            <v>0.94582408151409092</v>
          </cell>
          <cell r="BA27">
            <v>1.4540685151282875</v>
          </cell>
          <cell r="BB27">
            <v>0.86963079402293764</v>
          </cell>
          <cell r="BC27">
            <v>0</v>
          </cell>
          <cell r="BD27">
            <v>0</v>
          </cell>
          <cell r="BE27">
            <v>0</v>
          </cell>
          <cell r="BF27">
            <v>0</v>
          </cell>
          <cell r="BH27">
            <v>0</v>
          </cell>
          <cell r="BI27">
            <v>0</v>
          </cell>
          <cell r="BJ27">
            <v>0</v>
          </cell>
          <cell r="BK27">
            <v>0</v>
          </cell>
          <cell r="BL27">
            <v>0</v>
          </cell>
          <cell r="BM27">
            <v>0</v>
          </cell>
          <cell r="BN27">
            <v>1.0199796515354957</v>
          </cell>
          <cell r="BO27">
            <v>0.82965240631061588</v>
          </cell>
          <cell r="BP27">
            <v>0.80678548048233201</v>
          </cell>
          <cell r="BQ27">
            <v>0.93205270446477106</v>
          </cell>
          <cell r="BR27">
            <v>1.0483586603296331</v>
          </cell>
          <cell r="BS27">
            <v>1.0424930119375408</v>
          </cell>
          <cell r="BU27" t="e">
            <v>#DIV/0!</v>
          </cell>
          <cell r="BV27" t="e">
            <v>#DIV/0!</v>
          </cell>
          <cell r="BW27">
            <v>0.85651092276803797</v>
          </cell>
          <cell r="BX27">
            <v>1.0000891145846802</v>
          </cell>
          <cell r="BY27">
            <v>0.94954081834456738</v>
          </cell>
        </row>
        <row r="28">
          <cell r="B28" t="str">
            <v xml:space="preserve">   Pallet Redrop</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0.34933605720122574</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H28">
            <v>0</v>
          </cell>
          <cell r="BI28">
            <v>0</v>
          </cell>
          <cell r="BJ28">
            <v>0</v>
          </cell>
          <cell r="BK28">
            <v>0</v>
          </cell>
          <cell r="BL28">
            <v>0</v>
          </cell>
          <cell r="BM28">
            <v>0</v>
          </cell>
          <cell r="BN28">
            <v>0</v>
          </cell>
          <cell r="BO28">
            <v>0</v>
          </cell>
          <cell r="BP28">
            <v>0.34933605720122574</v>
          </cell>
          <cell r="BQ28">
            <v>0</v>
          </cell>
          <cell r="BR28">
            <v>0</v>
          </cell>
          <cell r="BS28">
            <v>0</v>
          </cell>
          <cell r="BU28" t="e">
            <v>#DIV/0!</v>
          </cell>
          <cell r="BV28" t="e">
            <v>#DIV/0!</v>
          </cell>
          <cell r="BW28">
            <v>0.34933605720122574</v>
          </cell>
          <cell r="BX28" t="e">
            <v>#DIV/0!</v>
          </cell>
          <cell r="BY28">
            <v>0.34933605720122574</v>
          </cell>
        </row>
        <row r="29">
          <cell r="B29" t="str">
            <v xml:space="preserve">   Pallet Replen</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1.0303030303030303</v>
          </cell>
          <cell r="AV29">
            <v>0.82954545454545459</v>
          </cell>
          <cell r="AW29">
            <v>0</v>
          </cell>
          <cell r="AX29">
            <v>0</v>
          </cell>
          <cell r="AY29">
            <v>0</v>
          </cell>
          <cell r="AZ29">
            <v>0</v>
          </cell>
          <cell r="BA29">
            <v>0</v>
          </cell>
          <cell r="BB29">
            <v>0</v>
          </cell>
          <cell r="BC29">
            <v>0</v>
          </cell>
          <cell r="BD29">
            <v>0</v>
          </cell>
          <cell r="BE29">
            <v>0</v>
          </cell>
          <cell r="BF29">
            <v>0</v>
          </cell>
          <cell r="BH29">
            <v>0</v>
          </cell>
          <cell r="BI29">
            <v>0</v>
          </cell>
          <cell r="BJ29">
            <v>0</v>
          </cell>
          <cell r="BK29">
            <v>0</v>
          </cell>
          <cell r="BL29">
            <v>0</v>
          </cell>
          <cell r="BM29">
            <v>0</v>
          </cell>
          <cell r="BN29">
            <v>0</v>
          </cell>
          <cell r="BO29">
            <v>0</v>
          </cell>
          <cell r="BP29">
            <v>0</v>
          </cell>
          <cell r="BQ29">
            <v>0.91558441558441539</v>
          </cell>
          <cell r="BR29">
            <v>0</v>
          </cell>
          <cell r="BS29">
            <v>0</v>
          </cell>
          <cell r="BU29" t="e">
            <v>#DIV/0!</v>
          </cell>
          <cell r="BV29" t="e">
            <v>#DIV/0!</v>
          </cell>
          <cell r="BW29" t="e">
            <v>#DIV/0!</v>
          </cell>
          <cell r="BX29">
            <v>0.91558441558441539</v>
          </cell>
          <cell r="BY29">
            <v>0.91558441558441539</v>
          </cell>
        </row>
        <row r="30">
          <cell r="B30" t="str">
            <v xml:space="preserve">   Case Redrop</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H30">
            <v>0</v>
          </cell>
          <cell r="BI30">
            <v>0</v>
          </cell>
          <cell r="BJ30">
            <v>0</v>
          </cell>
          <cell r="BK30">
            <v>0</v>
          </cell>
          <cell r="BL30">
            <v>0</v>
          </cell>
          <cell r="BM30">
            <v>0</v>
          </cell>
          <cell r="BN30">
            <v>0</v>
          </cell>
          <cell r="BO30">
            <v>0</v>
          </cell>
          <cell r="BP30">
            <v>0</v>
          </cell>
          <cell r="BQ30">
            <v>0</v>
          </cell>
          <cell r="BR30">
            <v>0</v>
          </cell>
          <cell r="BS30">
            <v>0</v>
          </cell>
          <cell r="BU30" t="e">
            <v>#DIV/0!</v>
          </cell>
          <cell r="BV30" t="e">
            <v>#DIV/0!</v>
          </cell>
          <cell r="BW30" t="e">
            <v>#DIV/0!</v>
          </cell>
          <cell r="BX30" t="e">
            <v>#DIV/0!</v>
          </cell>
          <cell r="BY30" t="e">
            <v>#DIV/0!</v>
          </cell>
        </row>
        <row r="31">
          <cell r="B31" t="str">
            <v xml:space="preserve">   Case Replen</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H31">
            <v>0</v>
          </cell>
          <cell r="BI31">
            <v>0</v>
          </cell>
          <cell r="BJ31">
            <v>0</v>
          </cell>
          <cell r="BK31">
            <v>0</v>
          </cell>
          <cell r="BL31">
            <v>0</v>
          </cell>
          <cell r="BM31">
            <v>0</v>
          </cell>
          <cell r="BN31">
            <v>0</v>
          </cell>
          <cell r="BO31">
            <v>0</v>
          </cell>
          <cell r="BP31">
            <v>0</v>
          </cell>
          <cell r="BQ31">
            <v>0</v>
          </cell>
          <cell r="BR31">
            <v>0</v>
          </cell>
          <cell r="BS31">
            <v>0</v>
          </cell>
          <cell r="BU31" t="e">
            <v>#DIV/0!</v>
          </cell>
          <cell r="BV31" t="e">
            <v>#DIV/0!</v>
          </cell>
          <cell r="BW31" t="e">
            <v>#DIV/0!</v>
          </cell>
          <cell r="BX31" t="e">
            <v>#DIV/0!</v>
          </cell>
          <cell r="BY31" t="e">
            <v>#DIV/0!</v>
          </cell>
        </row>
        <row r="32">
          <cell r="B32" t="str">
            <v xml:space="preserve">   Case Stock</v>
          </cell>
          <cell r="S32">
            <v>0</v>
          </cell>
          <cell r="T32">
            <v>0</v>
          </cell>
          <cell r="U32">
            <v>0</v>
          </cell>
          <cell r="V32">
            <v>0</v>
          </cell>
          <cell r="W32">
            <v>0</v>
          </cell>
          <cell r="X32">
            <v>0</v>
          </cell>
          <cell r="Y32">
            <v>0</v>
          </cell>
          <cell r="Z32">
            <v>0</v>
          </cell>
          <cell r="AA32">
            <v>0</v>
          </cell>
          <cell r="AB32">
            <v>0</v>
          </cell>
          <cell r="AC32">
            <v>0</v>
          </cell>
          <cell r="AD32">
            <v>0</v>
          </cell>
          <cell r="AE32">
            <v>0</v>
          </cell>
          <cell r="AF32">
            <v>1.4705502998227371</v>
          </cell>
          <cell r="AG32">
            <v>2.0269061848914522</v>
          </cell>
          <cell r="AH32">
            <v>1.0265541347138483</v>
          </cell>
          <cell r="AI32">
            <v>1.5486498703990854</v>
          </cell>
          <cell r="AJ32">
            <v>0.72186836518046704</v>
          </cell>
          <cell r="AK32">
            <v>0.95921883974727162</v>
          </cell>
          <cell r="AL32">
            <v>0.46632406123392328</v>
          </cell>
          <cell r="AM32">
            <v>2.4874094272473566</v>
          </cell>
          <cell r="AN32">
            <v>1.5198300283286119</v>
          </cell>
          <cell r="AO32">
            <v>2.2519342470785406</v>
          </cell>
          <cell r="AP32">
            <v>1.9870868490979443</v>
          </cell>
          <cell r="AQ32">
            <v>2.7025177887246845</v>
          </cell>
          <cell r="AR32">
            <v>3.5960275508569595</v>
          </cell>
          <cell r="AS32">
            <v>3.8307996031655414</v>
          </cell>
          <cell r="AT32">
            <v>2.7301969938750492</v>
          </cell>
          <cell r="AU32">
            <v>2.4099999926256661</v>
          </cell>
          <cell r="AV32">
            <v>1.6515725587434993</v>
          </cell>
          <cell r="AW32">
            <v>1.6174410284494132</v>
          </cell>
          <cell r="AX32">
            <v>1.5616241658540073</v>
          </cell>
          <cell r="AY32">
            <v>2.1318448066734832</v>
          </cell>
          <cell r="AZ32">
            <v>2.3586581751691562</v>
          </cell>
          <cell r="BA32">
            <v>3.1065388813994828</v>
          </cell>
          <cell r="BB32">
            <v>3.8762005156588106</v>
          </cell>
          <cell r="BC32">
            <v>0</v>
          </cell>
          <cell r="BD32">
            <v>0</v>
          </cell>
          <cell r="BE32">
            <v>0</v>
          </cell>
          <cell r="BF32">
            <v>0</v>
          </cell>
          <cell r="BH32">
            <v>0</v>
          </cell>
          <cell r="BI32">
            <v>0</v>
          </cell>
          <cell r="BJ32">
            <v>0</v>
          </cell>
          <cell r="BK32">
            <v>0</v>
          </cell>
          <cell r="BL32">
            <v>0</v>
          </cell>
          <cell r="BM32">
            <v>0</v>
          </cell>
          <cell r="BN32">
            <v>1.4534104415437019</v>
          </cell>
          <cell r="BO32">
            <v>1.346970391123798</v>
          </cell>
          <cell r="BP32">
            <v>2.3243936777918885</v>
          </cell>
          <cell r="BQ32">
            <v>2.3711183078818587</v>
          </cell>
          <cell r="BR32">
            <v>1.9529428368211683</v>
          </cell>
          <cell r="BS32">
            <v>3.3415651332950485</v>
          </cell>
          <cell r="BU32" t="e">
            <v>#DIV/0!</v>
          </cell>
          <cell r="BV32" t="e">
            <v>#DIV/0!</v>
          </cell>
          <cell r="BW32">
            <v>1.7916210645297932</v>
          </cell>
          <cell r="BX32">
            <v>2.191261987104907</v>
          </cell>
          <cell r="BY32">
            <v>2.0761288288529096</v>
          </cell>
        </row>
        <row r="33">
          <cell r="B33" t="str">
            <v xml:space="preserve">   Support</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0.17287539720100059</v>
          </cell>
          <cell r="AH33">
            <v>0.10829181795153257</v>
          </cell>
          <cell r="AI33">
            <v>0.10166520595968447</v>
          </cell>
          <cell r="AJ33">
            <v>4.3225788569211152E-2</v>
          </cell>
          <cell r="AK33">
            <v>3.6855900345091848E-2</v>
          </cell>
          <cell r="AL33">
            <v>5.5189727705432651E-2</v>
          </cell>
          <cell r="AM33">
            <v>0.11249630469057943</v>
          </cell>
          <cell r="AN33">
            <v>0.18911182207945285</v>
          </cell>
          <cell r="AO33">
            <v>0.12642306485590069</v>
          </cell>
          <cell r="AP33">
            <v>0.25299711389032786</v>
          </cell>
          <cell r="AQ33">
            <v>5.6676418810238473E-2</v>
          </cell>
          <cell r="AR33">
            <v>6.3888842582559557E-2</v>
          </cell>
          <cell r="AS33">
            <v>5.8069342815441724E-2</v>
          </cell>
          <cell r="AT33">
            <v>3.56952534162122E-2</v>
          </cell>
          <cell r="AU33">
            <v>3.8837001469665233E-2</v>
          </cell>
          <cell r="AV33">
            <v>6.691611515437311E-2</v>
          </cell>
          <cell r="AW33">
            <v>6.3086045228902363E-2</v>
          </cell>
          <cell r="AX33">
            <v>6.3214917172332241E-2</v>
          </cell>
          <cell r="AY33">
            <v>5.9025384581543022E-2</v>
          </cell>
          <cell r="AZ33">
            <v>5.771454417456074E-2</v>
          </cell>
          <cell r="BA33">
            <v>6.8199546030860161E-2</v>
          </cell>
          <cell r="BB33">
            <v>9.9915114208464884E-2</v>
          </cell>
          <cell r="BC33">
            <v>0</v>
          </cell>
          <cell r="BD33">
            <v>0</v>
          </cell>
          <cell r="BE33">
            <v>0</v>
          </cell>
          <cell r="BF33">
            <v>0</v>
          </cell>
          <cell r="BH33">
            <v>0</v>
          </cell>
          <cell r="BI33">
            <v>0</v>
          </cell>
          <cell r="BJ33">
            <v>0</v>
          </cell>
          <cell r="BK33">
            <v>0</v>
          </cell>
          <cell r="BL33">
            <v>0</v>
          </cell>
          <cell r="BM33">
            <v>0</v>
          </cell>
          <cell r="BN33">
            <v>3.6059190031152648E-2</v>
          </cell>
          <cell r="BO33">
            <v>1.4957389678347892E-2</v>
          </cell>
          <cell r="BP33">
            <v>2.2178776728837255E-2</v>
          </cell>
          <cell r="BQ33">
            <v>1.0982999420414639E-2</v>
          </cell>
          <cell r="BR33">
            <v>1.4763083396774608E-2</v>
          </cell>
          <cell r="BS33">
            <v>1.3863403863562719E-2</v>
          </cell>
          <cell r="BU33" t="e">
            <v>#DIV/0!</v>
          </cell>
          <cell r="BV33" t="e">
            <v>#DIV/0!</v>
          </cell>
          <cell r="BW33">
            <v>0.51119209997714676</v>
          </cell>
          <cell r="BX33">
            <v>0.491910781934571</v>
          </cell>
          <cell r="BY33">
            <v>0.49879183203335298</v>
          </cell>
        </row>
        <row r="34">
          <cell r="B34" t="str">
            <v>Replenishment</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1.4071588654147156</v>
          </cell>
          <cell r="AH34">
            <v>1.1910870466062891</v>
          </cell>
          <cell r="AI34">
            <v>1.2833842325200138</v>
          </cell>
          <cell r="AJ34">
            <v>0.61514094369747041</v>
          </cell>
          <cell r="AK34">
            <v>0.5476300937715225</v>
          </cell>
          <cell r="AL34">
            <v>0.86835270060990211</v>
          </cell>
          <cell r="AM34">
            <v>1.7748421849334985</v>
          </cell>
          <cell r="AN34">
            <v>2.1268144855746254</v>
          </cell>
          <cell r="AO34">
            <v>2.1215700178691246</v>
          </cell>
          <cell r="AP34">
            <v>1.9681676275562061</v>
          </cell>
          <cell r="AQ34">
            <v>1.5700553349304474</v>
          </cell>
          <cell r="AR34">
            <v>1.4703680526452199</v>
          </cell>
          <cell r="AS34">
            <v>1.4349910477519345</v>
          </cell>
          <cell r="AT34">
            <v>1.1004705076531736</v>
          </cell>
          <cell r="AU34">
            <v>0.87396442335679558</v>
          </cell>
          <cell r="AV34">
            <v>1.0784992125278683</v>
          </cell>
          <cell r="AW34">
            <v>1.0301623622210112</v>
          </cell>
          <cell r="AX34">
            <v>1.1073783425394408</v>
          </cell>
          <cell r="AY34">
            <v>1.2820718125689177</v>
          </cell>
          <cell r="AZ34">
            <v>1.2458455538132476</v>
          </cell>
          <cell r="BA34">
            <v>1.5178285297313527</v>
          </cell>
          <cell r="BB34">
            <v>1.2794714022376692</v>
          </cell>
          <cell r="BC34">
            <v>0</v>
          </cell>
          <cell r="BD34">
            <v>0</v>
          </cell>
          <cell r="BE34">
            <v>0</v>
          </cell>
          <cell r="BF34">
            <v>0</v>
          </cell>
          <cell r="BH34">
            <v>0</v>
          </cell>
          <cell r="BI34">
            <v>0</v>
          </cell>
          <cell r="BJ34">
            <v>0</v>
          </cell>
          <cell r="BK34">
            <v>0</v>
          </cell>
          <cell r="BL34">
            <v>0</v>
          </cell>
          <cell r="BM34">
            <v>0</v>
          </cell>
          <cell r="BN34">
            <v>1.4301631958567296</v>
          </cell>
          <cell r="BO34">
            <v>0.94420328171975143</v>
          </cell>
          <cell r="BP34">
            <v>1.7341706695025447</v>
          </cell>
          <cell r="BQ34">
            <v>1.1077601939188806</v>
          </cell>
          <cell r="BR34">
            <v>1.1991242206630033</v>
          </cell>
          <cell r="BS34">
            <v>1.3107145628753938</v>
          </cell>
          <cell r="BU34" t="e">
            <v>#DIV/0!</v>
          </cell>
          <cell r="BV34" t="e">
            <v>#DIV/0!</v>
          </cell>
          <cell r="BW34">
            <v>0.85642373331694444</v>
          </cell>
          <cell r="BX34">
            <v>1.0407752644340549</v>
          </cell>
          <cell r="BY34">
            <v>0.97731945511840002</v>
          </cell>
        </row>
        <row r="35">
          <cell r="B35" t="str">
            <v>Customer Returns</v>
          </cell>
          <cell r="S35">
            <v>0</v>
          </cell>
          <cell r="T35">
            <v>0</v>
          </cell>
          <cell r="U35">
            <v>0</v>
          </cell>
          <cell r="V35">
            <v>0</v>
          </cell>
          <cell r="W35">
            <v>0</v>
          </cell>
          <cell r="X35">
            <v>0</v>
          </cell>
          <cell r="Y35">
            <v>0.18628912071535023</v>
          </cell>
          <cell r="Z35">
            <v>9.3463184851487011E-2</v>
          </cell>
          <cell r="AA35">
            <v>0</v>
          </cell>
          <cell r="AB35">
            <v>0.50231062889290734</v>
          </cell>
          <cell r="AC35">
            <v>0.55285272003538244</v>
          </cell>
          <cell r="AD35">
            <v>0.67124693990365647</v>
          </cell>
          <cell r="AE35">
            <v>0.495328154902623</v>
          </cell>
          <cell r="AF35">
            <v>0.75515964661461188</v>
          </cell>
          <cell r="AG35">
            <v>0.73319441228679483</v>
          </cell>
          <cell r="AH35">
            <v>1.2908008077090205</v>
          </cell>
          <cell r="AI35">
            <v>0.86211268319894518</v>
          </cell>
          <cell r="AJ35">
            <v>0.2293406016662477</v>
          </cell>
          <cell r="AK35">
            <v>0.35455754173437737</v>
          </cell>
          <cell r="AL35">
            <v>0.224395313681028</v>
          </cell>
          <cell r="AM35">
            <v>0.46583850931677023</v>
          </cell>
          <cell r="AN35">
            <v>0.60667244901344641</v>
          </cell>
          <cell r="AO35">
            <v>0.65257113025319768</v>
          </cell>
          <cell r="AP35">
            <v>0.62543600105843022</v>
          </cell>
          <cell r="AQ35">
            <v>0.89387290752478465</v>
          </cell>
          <cell r="AR35">
            <v>1.2911065542644491</v>
          </cell>
          <cell r="AS35">
            <v>0</v>
          </cell>
          <cell r="AT35">
            <v>0</v>
          </cell>
          <cell r="AU35">
            <v>0</v>
          </cell>
          <cell r="AV35">
            <v>0</v>
          </cell>
          <cell r="AW35">
            <v>0</v>
          </cell>
          <cell r="AX35">
            <v>0</v>
          </cell>
          <cell r="AY35">
            <v>0</v>
          </cell>
          <cell r="AZ35">
            <v>0</v>
          </cell>
          <cell r="BA35">
            <v>0.6934125804853889</v>
          </cell>
          <cell r="BB35">
            <v>80.675748186040039</v>
          </cell>
          <cell r="BC35">
            <v>0</v>
          </cell>
          <cell r="BD35">
            <v>0</v>
          </cell>
          <cell r="BE35">
            <v>0</v>
          </cell>
          <cell r="BF35">
            <v>0</v>
          </cell>
          <cell r="BH35">
            <v>0.98330825489029661</v>
          </cell>
          <cell r="BI35">
            <v>0</v>
          </cell>
          <cell r="BJ35">
            <v>0</v>
          </cell>
          <cell r="BK35">
            <v>0</v>
          </cell>
          <cell r="BL35">
            <v>0.15973281502044223</v>
          </cell>
          <cell r="BM35">
            <v>0.67215683846184116</v>
          </cell>
          <cell r="BN35">
            <v>0</v>
          </cell>
          <cell r="BO35">
            <v>0</v>
          </cell>
          <cell r="BP35">
            <v>0</v>
          </cell>
          <cell r="BQ35">
            <v>0</v>
          </cell>
          <cell r="BR35">
            <v>0</v>
          </cell>
          <cell r="BS35">
            <v>69.601291927899666</v>
          </cell>
          <cell r="BU35">
            <v>0</v>
          </cell>
          <cell r="BV35">
            <v>0.59765873977148409</v>
          </cell>
          <cell r="BW35" t="e">
            <v>#DIV/0!</v>
          </cell>
          <cell r="BX35">
            <v>9.7554491012461835</v>
          </cell>
          <cell r="BY35">
            <v>4.1952034932533531</v>
          </cell>
        </row>
        <row r="36">
          <cell r="B36" t="str">
            <v>Vendor Returns</v>
          </cell>
          <cell r="S36">
            <v>0</v>
          </cell>
          <cell r="T36">
            <v>0</v>
          </cell>
          <cell r="U36">
            <v>0</v>
          </cell>
          <cell r="V36">
            <v>0</v>
          </cell>
          <cell r="W36">
            <v>0</v>
          </cell>
          <cell r="X36">
            <v>0</v>
          </cell>
          <cell r="Y36">
            <v>0</v>
          </cell>
          <cell r="Z36">
            <v>0</v>
          </cell>
          <cell r="AA36">
            <v>0</v>
          </cell>
          <cell r="AB36">
            <v>3.2651172357054712</v>
          </cell>
          <cell r="AC36">
            <v>0</v>
          </cell>
          <cell r="AD36">
            <v>1.2462612163509472</v>
          </cell>
          <cell r="AE36">
            <v>5.3112239267189052</v>
          </cell>
          <cell r="AF36">
            <v>1.5314873805439841</v>
          </cell>
          <cell r="AG36">
            <v>5.6866741174150288</v>
          </cell>
          <cell r="AH36">
            <v>0</v>
          </cell>
          <cell r="AI36">
            <v>0</v>
          </cell>
          <cell r="AJ36">
            <v>0</v>
          </cell>
          <cell r="AK36">
            <v>2.7012060885185239E-2</v>
          </cell>
          <cell r="AL36">
            <v>0.29774699466602977</v>
          </cell>
          <cell r="AM36">
            <v>0.37521440823327618</v>
          </cell>
          <cell r="AN36">
            <v>0.35221967457664571</v>
          </cell>
          <cell r="AO36">
            <v>0.47956746347695667</v>
          </cell>
          <cell r="AP36">
            <v>0</v>
          </cell>
          <cell r="AQ36">
            <v>0.28995251502290204</v>
          </cell>
          <cell r="AR36">
            <v>0.43020191622732079</v>
          </cell>
          <cell r="AS36">
            <v>0.43371237688743874</v>
          </cell>
          <cell r="AT36">
            <v>0.16375247903058532</v>
          </cell>
          <cell r="AU36">
            <v>1.4739443517159299</v>
          </cell>
          <cell r="AV36">
            <v>0.72557303813032026</v>
          </cell>
          <cell r="AW36">
            <v>0.57914867609077114</v>
          </cell>
          <cell r="AX36">
            <v>0.16456234926939992</v>
          </cell>
          <cell r="AY36">
            <v>0.47587507309679811</v>
          </cell>
          <cell r="AZ36">
            <v>0.41017227235438886</v>
          </cell>
          <cell r="BA36">
            <v>2.3028684092454048</v>
          </cell>
          <cell r="BB36">
            <v>1.0042411112662331</v>
          </cell>
          <cell r="BC36">
            <v>0</v>
          </cell>
          <cell r="BD36">
            <v>0</v>
          </cell>
          <cell r="BE36">
            <v>0</v>
          </cell>
          <cell r="BF36">
            <v>0</v>
          </cell>
          <cell r="BH36">
            <v>0.79353646785366139</v>
          </cell>
          <cell r="BI36">
            <v>0</v>
          </cell>
          <cell r="BJ36">
            <v>0</v>
          </cell>
          <cell r="BK36">
            <v>0</v>
          </cell>
          <cell r="BL36">
            <v>0</v>
          </cell>
          <cell r="BM36">
            <v>4.8545628393296028</v>
          </cell>
          <cell r="BN36">
            <v>1.9531250000000004</v>
          </cell>
          <cell r="BO36">
            <v>0.30396721819905931</v>
          </cell>
          <cell r="BP36">
            <v>0.51492876123329201</v>
          </cell>
          <cell r="BQ36">
            <v>0.75544902579889972</v>
          </cell>
          <cell r="BR36">
            <v>1.0577866286881044</v>
          </cell>
          <cell r="BS36">
            <v>0.80124892334673226</v>
          </cell>
          <cell r="BU36">
            <v>0</v>
          </cell>
          <cell r="BV36">
            <v>1.5440405310948171</v>
          </cell>
          <cell r="BW36">
            <v>0.50645507659391165</v>
          </cell>
          <cell r="BX36">
            <v>0.86709349371071764</v>
          </cell>
          <cell r="BY36">
            <v>1.1092283689440041</v>
          </cell>
        </row>
        <row r="38">
          <cell r="B38" t="str">
            <v>Picking inc. Support - BMVD</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H38">
            <v>0</v>
          </cell>
          <cell r="BI38">
            <v>0</v>
          </cell>
          <cell r="BJ38">
            <v>0</v>
          </cell>
          <cell r="BK38">
            <v>0</v>
          </cell>
          <cell r="BL38">
            <v>0</v>
          </cell>
          <cell r="BM38">
            <v>0</v>
          </cell>
          <cell r="BN38">
            <v>0</v>
          </cell>
          <cell r="BO38">
            <v>0</v>
          </cell>
          <cell r="BP38">
            <v>0</v>
          </cell>
          <cell r="BQ38">
            <v>0</v>
          </cell>
          <cell r="BR38">
            <v>0</v>
          </cell>
          <cell r="BS38">
            <v>0</v>
          </cell>
          <cell r="BU38" t="e">
            <v>#DIV/0!</v>
          </cell>
          <cell r="BV38" t="e">
            <v>#DIV/0!</v>
          </cell>
          <cell r="BW38" t="e">
            <v>#DIV/0!</v>
          </cell>
          <cell r="BX38" t="e">
            <v>#DIV/0!</v>
          </cell>
          <cell r="BY38" t="e">
            <v>#DIV/0!</v>
          </cell>
        </row>
        <row r="39">
          <cell r="B39" t="str">
            <v>Picking inc. Support - TEKHO</v>
          </cell>
          <cell r="S39">
            <v>0</v>
          </cell>
          <cell r="T39">
            <v>0</v>
          </cell>
          <cell r="U39">
            <v>0.22086642364643558</v>
          </cell>
          <cell r="V39">
            <v>0.23507640325309312</v>
          </cell>
          <cell r="W39">
            <v>0.22088159028412016</v>
          </cell>
          <cell r="X39">
            <v>0</v>
          </cell>
          <cell r="Y39">
            <v>1.1486398214363509</v>
          </cell>
          <cell r="Z39">
            <v>0.91561304862208936</v>
          </cell>
          <cell r="AA39">
            <v>1.0146018561922794</v>
          </cell>
          <cell r="AB39">
            <v>0.81313492850985847</v>
          </cell>
          <cell r="AC39">
            <v>0.97320996781357727</v>
          </cell>
          <cell r="AD39">
            <v>0.95185404611410485</v>
          </cell>
          <cell r="AE39">
            <v>0.89284794969028936</v>
          </cell>
          <cell r="AF39">
            <v>1.3659838150296042</v>
          </cell>
          <cell r="AG39">
            <v>1.1752790668864754</v>
          </cell>
          <cell r="AH39">
            <v>1.1231861965351233</v>
          </cell>
          <cell r="AI39">
            <v>1.0575895001835562</v>
          </cell>
          <cell r="AJ39">
            <v>0.93237162298328269</v>
          </cell>
          <cell r="AK39">
            <v>1.102535999820379</v>
          </cell>
          <cell r="AL39">
            <v>1.2479815841481581</v>
          </cell>
          <cell r="AM39">
            <v>1.3197076998592292</v>
          </cell>
          <cell r="AN39">
            <v>1.1791911948518279</v>
          </cell>
          <cell r="AO39">
            <v>1.1420886188678516</v>
          </cell>
          <cell r="AP39">
            <v>1.2677445757937746</v>
          </cell>
          <cell r="AQ39">
            <v>1.3247800820284064</v>
          </cell>
          <cell r="AR39">
            <v>1.4344836662635108</v>
          </cell>
          <cell r="AS39">
            <v>1.0064621988151812</v>
          </cell>
          <cell r="AT39">
            <v>1.0997824814413706</v>
          </cell>
          <cell r="AU39">
            <v>0.92416929059912922</v>
          </cell>
          <cell r="AV39">
            <v>0.92345706738512201</v>
          </cell>
          <cell r="AW39">
            <v>0.82473942886315532</v>
          </cell>
          <cell r="AX39">
            <v>1.0402700371400133</v>
          </cell>
          <cell r="AY39">
            <v>1.0616265499793602</v>
          </cell>
          <cell r="AZ39">
            <v>1.0906927573307699</v>
          </cell>
          <cell r="BA39">
            <v>1.1017125650653452</v>
          </cell>
          <cell r="BB39">
            <v>1.0142430623250607</v>
          </cell>
          <cell r="BC39">
            <v>0</v>
          </cell>
          <cell r="BD39">
            <v>0</v>
          </cell>
          <cell r="BE39">
            <v>0</v>
          </cell>
          <cell r="BF39">
            <v>0</v>
          </cell>
          <cell r="BH39">
            <v>0</v>
          </cell>
          <cell r="BI39">
            <v>0</v>
          </cell>
          <cell r="BJ39">
            <v>0</v>
          </cell>
          <cell r="BK39">
            <v>0.226251286961592</v>
          </cell>
          <cell r="BL39">
            <v>0.71918607381223909</v>
          </cell>
          <cell r="BM39">
            <v>0.93584328057256516</v>
          </cell>
          <cell r="BN39">
            <v>1.1689424815201199</v>
          </cell>
          <cell r="BO39">
            <v>1.1591722116984191</v>
          </cell>
          <cell r="BP39">
            <v>1.2851610927110848</v>
          </cell>
          <cell r="BQ39">
            <v>0.97569849948912679</v>
          </cell>
          <cell r="BR39">
            <v>1.0662742612684799</v>
          </cell>
          <cell r="BS39">
            <v>1.0080447605812959</v>
          </cell>
          <cell r="BU39" t="e">
            <v>#DIV/0!</v>
          </cell>
          <cell r="BV39">
            <v>0.82840713807505584</v>
          </cell>
          <cell r="BW39">
            <v>1.2146403011722828</v>
          </cell>
          <cell r="BX39">
            <v>1.0329109628374666</v>
          </cell>
          <cell r="BY39">
            <v>1.0739339404925368</v>
          </cell>
        </row>
        <row r="40">
          <cell r="B40" t="str">
            <v>Picking</v>
          </cell>
        </row>
        <row r="41">
          <cell r="B41" t="str">
            <v>Sortation inc. Support - BMVD</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H41">
            <v>0</v>
          </cell>
          <cell r="BI41">
            <v>0</v>
          </cell>
          <cell r="BJ41">
            <v>0</v>
          </cell>
          <cell r="BK41">
            <v>0</v>
          </cell>
          <cell r="BL41">
            <v>0</v>
          </cell>
          <cell r="BM41">
            <v>0</v>
          </cell>
          <cell r="BN41">
            <v>0</v>
          </cell>
          <cell r="BO41">
            <v>0</v>
          </cell>
          <cell r="BP41">
            <v>0</v>
          </cell>
          <cell r="BQ41">
            <v>0</v>
          </cell>
          <cell r="BR41">
            <v>0</v>
          </cell>
          <cell r="BS41">
            <v>0</v>
          </cell>
          <cell r="BU41" t="e">
            <v>#DIV/0!</v>
          </cell>
          <cell r="BV41" t="e">
            <v>#DIV/0!</v>
          </cell>
          <cell r="BW41" t="e">
            <v>#DIV/0!</v>
          </cell>
          <cell r="BX41" t="e">
            <v>#DIV/0!</v>
          </cell>
          <cell r="BY41" t="e">
            <v>#DIV/0!</v>
          </cell>
        </row>
        <row r="42">
          <cell r="B42" t="str">
            <v>Sortation - HL</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H42">
            <v>0</v>
          </cell>
          <cell r="BI42">
            <v>0</v>
          </cell>
          <cell r="BJ42">
            <v>0</v>
          </cell>
          <cell r="BK42">
            <v>0</v>
          </cell>
          <cell r="BL42">
            <v>0</v>
          </cell>
          <cell r="BM42">
            <v>0</v>
          </cell>
          <cell r="BN42">
            <v>0</v>
          </cell>
          <cell r="BO42">
            <v>0</v>
          </cell>
          <cell r="BP42">
            <v>0</v>
          </cell>
          <cell r="BQ42">
            <v>0</v>
          </cell>
          <cell r="BR42">
            <v>0</v>
          </cell>
          <cell r="BS42">
            <v>0</v>
          </cell>
          <cell r="BU42" t="e">
            <v>#DIV/0!</v>
          </cell>
          <cell r="BV42" t="e">
            <v>#DIV/0!</v>
          </cell>
          <cell r="BW42" t="e">
            <v>#DIV/0!</v>
          </cell>
          <cell r="BX42" t="e">
            <v>#DIV/0!</v>
          </cell>
          <cell r="BY42" t="e">
            <v>#DIV/0!</v>
          </cell>
        </row>
        <row r="43">
          <cell r="B43" t="str">
            <v>Sortation</v>
          </cell>
        </row>
        <row r="44">
          <cell r="B44" t="str">
            <v>VDF</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H44">
            <v>0</v>
          </cell>
          <cell r="BI44">
            <v>0</v>
          </cell>
          <cell r="BJ44">
            <v>0</v>
          </cell>
          <cell r="BK44">
            <v>0</v>
          </cell>
          <cell r="BL44">
            <v>0</v>
          </cell>
          <cell r="BM44">
            <v>0</v>
          </cell>
          <cell r="BN44">
            <v>0</v>
          </cell>
          <cell r="BO44">
            <v>0</v>
          </cell>
          <cell r="BP44">
            <v>0</v>
          </cell>
          <cell r="BQ44">
            <v>0</v>
          </cell>
          <cell r="BR44">
            <v>0</v>
          </cell>
          <cell r="BS44">
            <v>0</v>
          </cell>
          <cell r="BU44" t="e">
            <v>#DIV/0!</v>
          </cell>
          <cell r="BV44" t="e">
            <v>#DIV/0!</v>
          </cell>
          <cell r="BW44" t="e">
            <v>#DIV/0!</v>
          </cell>
          <cell r="BX44" t="e">
            <v>#DIV/0!</v>
          </cell>
          <cell r="BY44" t="e">
            <v>#DIV/0!</v>
          </cell>
        </row>
        <row r="45">
          <cell r="B45" t="str">
            <v>Levimatic</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H45">
            <v>0</v>
          </cell>
          <cell r="BI45">
            <v>0</v>
          </cell>
          <cell r="BJ45">
            <v>0</v>
          </cell>
          <cell r="BK45">
            <v>0</v>
          </cell>
          <cell r="BL45">
            <v>0</v>
          </cell>
          <cell r="BM45">
            <v>0</v>
          </cell>
          <cell r="BN45">
            <v>0</v>
          </cell>
          <cell r="BO45">
            <v>0</v>
          </cell>
          <cell r="BP45">
            <v>0</v>
          </cell>
          <cell r="BQ45">
            <v>0</v>
          </cell>
          <cell r="BR45">
            <v>0</v>
          </cell>
          <cell r="BS45">
            <v>0</v>
          </cell>
          <cell r="BU45" t="e">
            <v>#DIV/0!</v>
          </cell>
          <cell r="BV45" t="e">
            <v>#DIV/0!</v>
          </cell>
          <cell r="BW45" t="e">
            <v>#DIV/0!</v>
          </cell>
          <cell r="BX45" t="e">
            <v>#DIV/0!</v>
          </cell>
          <cell r="BY45" t="e">
            <v>#DIV/0!</v>
          </cell>
        </row>
        <row r="46">
          <cell r="B46" t="str">
            <v>Sortable Singles</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H46">
            <v>0</v>
          </cell>
          <cell r="BI46">
            <v>0</v>
          </cell>
          <cell r="BJ46">
            <v>0</v>
          </cell>
          <cell r="BK46">
            <v>0</v>
          </cell>
          <cell r="BL46">
            <v>0</v>
          </cell>
          <cell r="BM46">
            <v>0</v>
          </cell>
          <cell r="BN46">
            <v>0</v>
          </cell>
          <cell r="BO46">
            <v>0</v>
          </cell>
          <cell r="BP46">
            <v>0</v>
          </cell>
          <cell r="BQ46">
            <v>0</v>
          </cell>
          <cell r="BR46">
            <v>0</v>
          </cell>
          <cell r="BS46">
            <v>0</v>
          </cell>
          <cell r="BU46" t="e">
            <v>#DIV/0!</v>
          </cell>
          <cell r="BV46" t="e">
            <v>#DIV/0!</v>
          </cell>
          <cell r="BW46" t="e">
            <v>#DIV/0!</v>
          </cell>
          <cell r="BX46" t="e">
            <v>#DIV/0!</v>
          </cell>
          <cell r="BY46" t="e">
            <v>#DIV/0!</v>
          </cell>
        </row>
        <row r="47">
          <cell r="B47" t="str">
            <v>Gift Wrap</v>
          </cell>
          <cell r="S47">
            <v>0</v>
          </cell>
          <cell r="T47">
            <v>0</v>
          </cell>
          <cell r="U47">
            <v>5.8823529411764705E-2</v>
          </cell>
          <cell r="V47">
            <v>5.8823529411764705E-2</v>
          </cell>
          <cell r="W47">
            <v>5.8823529411764705E-2</v>
          </cell>
          <cell r="X47">
            <v>0.34602076124567471</v>
          </cell>
          <cell r="Y47">
            <v>0</v>
          </cell>
          <cell r="Z47">
            <v>2.7616680475006903E-2</v>
          </cell>
          <cell r="AA47">
            <v>2.8145229383619481E-2</v>
          </cell>
          <cell r="AB47">
            <v>0.47894567663130821</v>
          </cell>
          <cell r="AC47">
            <v>1.463933989885547</v>
          </cell>
          <cell r="AD47">
            <v>1.4705882352941178</v>
          </cell>
          <cell r="AE47">
            <v>1.0575016523463319</v>
          </cell>
          <cell r="AF47">
            <v>0</v>
          </cell>
          <cell r="AG47">
            <v>5.182689816014511E-3</v>
          </cell>
          <cell r="AH47">
            <v>0.44086156946718724</v>
          </cell>
          <cell r="AI47">
            <v>0.5655404663421062</v>
          </cell>
          <cell r="AJ47">
            <v>1.1093696429446049</v>
          </cell>
          <cell r="AK47">
            <v>2.8840804614528732</v>
          </cell>
          <cell r="AL47">
            <v>3.9861161856046761</v>
          </cell>
          <cell r="AM47">
            <v>2.3381468497732607</v>
          </cell>
          <cell r="AN47">
            <v>3.3245565811174451</v>
          </cell>
          <cell r="AO47">
            <v>7.235390077727665</v>
          </cell>
          <cell r="AP47">
            <v>5.2164893261058678</v>
          </cell>
          <cell r="AQ47">
            <v>6.2288073123986445</v>
          </cell>
          <cell r="AR47">
            <v>3.3990498267196068</v>
          </cell>
          <cell r="AS47">
            <v>2.2579755180275027</v>
          </cell>
          <cell r="AT47">
            <v>1.3596260801826121</v>
          </cell>
          <cell r="AU47">
            <v>2.2771919347487861</v>
          </cell>
          <cell r="AV47">
            <v>0.46498062856896666</v>
          </cell>
          <cell r="AW47">
            <v>0.38911990233853433</v>
          </cell>
          <cell r="AX47">
            <v>0.58132997446613188</v>
          </cell>
          <cell r="AY47">
            <v>0.56433299234172341</v>
          </cell>
          <cell r="AZ47">
            <v>1.2399647383463113</v>
          </cell>
          <cell r="BA47">
            <v>1.1852637818349945</v>
          </cell>
          <cell r="BB47">
            <v>0.99415935200786909</v>
          </cell>
          <cell r="BC47">
            <v>0</v>
          </cell>
          <cell r="BD47">
            <v>0</v>
          </cell>
          <cell r="BE47">
            <v>0</v>
          </cell>
          <cell r="BF47">
            <v>0</v>
          </cell>
          <cell r="BH47">
            <v>0</v>
          </cell>
          <cell r="BI47">
            <v>0</v>
          </cell>
          <cell r="BJ47">
            <v>0</v>
          </cell>
          <cell r="BK47">
            <v>5.8823529411764705E-2</v>
          </cell>
          <cell r="BL47">
            <v>2.7556349642660807E-2</v>
          </cell>
          <cell r="BM47">
            <v>0.90970050978776351</v>
          </cell>
          <cell r="BN47">
            <v>0.32564139911358964</v>
          </cell>
          <cell r="BO47">
            <v>2.7635097101041373</v>
          </cell>
          <cell r="BP47">
            <v>4.4382662959777583</v>
          </cell>
          <cell r="BQ47">
            <v>1.0967246843464138</v>
          </cell>
          <cell r="BR47">
            <v>0.78126667026141328</v>
          </cell>
          <cell r="BS47">
            <v>1.1565116225451701</v>
          </cell>
          <cell r="BU47" t="e">
            <v>#DIV/0!</v>
          </cell>
          <cell r="BV47">
            <v>0.81671400591198517</v>
          </cell>
          <cell r="BW47">
            <v>2.3394458734990864</v>
          </cell>
          <cell r="BX47">
            <v>0.91231877200447375</v>
          </cell>
          <cell r="BY47">
            <v>1.0869602718708338</v>
          </cell>
        </row>
        <row r="49">
          <cell r="B49" t="str">
            <v>SLAM - BMVD (Units)</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H49">
            <v>0</v>
          </cell>
          <cell r="BI49">
            <v>0</v>
          </cell>
          <cell r="BJ49">
            <v>0</v>
          </cell>
          <cell r="BK49">
            <v>0</v>
          </cell>
          <cell r="BL49">
            <v>0</v>
          </cell>
          <cell r="BM49">
            <v>0</v>
          </cell>
          <cell r="BN49">
            <v>0</v>
          </cell>
          <cell r="BO49">
            <v>0</v>
          </cell>
          <cell r="BP49">
            <v>0</v>
          </cell>
          <cell r="BQ49">
            <v>0</v>
          </cell>
          <cell r="BR49">
            <v>0</v>
          </cell>
          <cell r="BS49">
            <v>0</v>
          </cell>
          <cell r="BU49" t="e">
            <v>#DIV/0!</v>
          </cell>
          <cell r="BV49" t="e">
            <v>#DIV/0!</v>
          </cell>
          <cell r="BW49" t="e">
            <v>#DIV/0!</v>
          </cell>
          <cell r="BX49" t="e">
            <v>#DIV/0!</v>
          </cell>
          <cell r="BY49" t="e">
            <v>#DIV/0!</v>
          </cell>
        </row>
        <row r="50">
          <cell r="B50" t="str">
            <v>SLAM - HL (Units)</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H50">
            <v>0</v>
          </cell>
          <cell r="BI50">
            <v>0</v>
          </cell>
          <cell r="BJ50">
            <v>0</v>
          </cell>
          <cell r="BK50">
            <v>0</v>
          </cell>
          <cell r="BL50">
            <v>0</v>
          </cell>
          <cell r="BM50">
            <v>0</v>
          </cell>
          <cell r="BN50">
            <v>0</v>
          </cell>
          <cell r="BO50">
            <v>0</v>
          </cell>
          <cell r="BP50">
            <v>0</v>
          </cell>
          <cell r="BQ50">
            <v>0</v>
          </cell>
          <cell r="BR50">
            <v>0</v>
          </cell>
          <cell r="BS50">
            <v>0</v>
          </cell>
          <cell r="BU50" t="e">
            <v>#DIV/0!</v>
          </cell>
          <cell r="BV50" t="e">
            <v>#DIV/0!</v>
          </cell>
          <cell r="BW50" t="e">
            <v>#DIV/0!</v>
          </cell>
          <cell r="BX50" t="e">
            <v>#DIV/0!</v>
          </cell>
          <cell r="BY50" t="e">
            <v>#DIV/0!</v>
          </cell>
        </row>
        <row r="51">
          <cell r="B51" t="str">
            <v>SLAM - BMVD (Cartons)</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H51">
            <v>0</v>
          </cell>
          <cell r="BI51">
            <v>0</v>
          </cell>
          <cell r="BJ51">
            <v>0</v>
          </cell>
          <cell r="BK51">
            <v>0</v>
          </cell>
          <cell r="BL51">
            <v>0</v>
          </cell>
          <cell r="BM51">
            <v>0</v>
          </cell>
          <cell r="BN51">
            <v>0</v>
          </cell>
          <cell r="BO51">
            <v>0</v>
          </cell>
          <cell r="BP51">
            <v>0</v>
          </cell>
          <cell r="BQ51">
            <v>0</v>
          </cell>
          <cell r="BR51">
            <v>0</v>
          </cell>
          <cell r="BS51">
            <v>0</v>
          </cell>
          <cell r="BU51" t="e">
            <v>#DIV/0!</v>
          </cell>
          <cell r="BV51" t="e">
            <v>#DIV/0!</v>
          </cell>
          <cell r="BW51" t="e">
            <v>#DIV/0!</v>
          </cell>
          <cell r="BX51" t="e">
            <v>#DIV/0!</v>
          </cell>
          <cell r="BY51" t="e">
            <v>#DIV/0!</v>
          </cell>
        </row>
        <row r="52">
          <cell r="B52" t="str">
            <v>SLAM - HL (Cartons)</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H52">
            <v>0</v>
          </cell>
          <cell r="BI52">
            <v>0</v>
          </cell>
          <cell r="BJ52">
            <v>0</v>
          </cell>
          <cell r="BK52">
            <v>0</v>
          </cell>
          <cell r="BL52">
            <v>0</v>
          </cell>
          <cell r="BM52">
            <v>0</v>
          </cell>
          <cell r="BN52">
            <v>0</v>
          </cell>
          <cell r="BO52">
            <v>0</v>
          </cell>
          <cell r="BP52">
            <v>0</v>
          </cell>
          <cell r="BQ52">
            <v>0</v>
          </cell>
          <cell r="BR52">
            <v>0</v>
          </cell>
          <cell r="BS52">
            <v>0</v>
          </cell>
          <cell r="BU52" t="e">
            <v>#DIV/0!</v>
          </cell>
          <cell r="BV52" t="e">
            <v>#DIV/0!</v>
          </cell>
          <cell r="BW52" t="e">
            <v>#DIV/0!</v>
          </cell>
          <cell r="BX52" t="e">
            <v>#DIV/0!</v>
          </cell>
          <cell r="BY52" t="e">
            <v>#DIV/0!</v>
          </cell>
        </row>
        <row r="53">
          <cell r="B53" t="str">
            <v>SLAM - HL Adjusted (Units)</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H53">
            <v>0</v>
          </cell>
          <cell r="BI53">
            <v>0</v>
          </cell>
          <cell r="BJ53">
            <v>0</v>
          </cell>
          <cell r="BK53">
            <v>0</v>
          </cell>
          <cell r="BL53">
            <v>0</v>
          </cell>
          <cell r="BM53">
            <v>0</v>
          </cell>
          <cell r="BN53">
            <v>0</v>
          </cell>
          <cell r="BO53">
            <v>0</v>
          </cell>
          <cell r="BP53">
            <v>0</v>
          </cell>
          <cell r="BQ53">
            <v>0</v>
          </cell>
          <cell r="BR53">
            <v>0</v>
          </cell>
          <cell r="BS53">
            <v>0</v>
          </cell>
          <cell r="BU53" t="e">
            <v>#DIV/0!</v>
          </cell>
          <cell r="BV53" t="e">
            <v>#DIV/0!</v>
          </cell>
          <cell r="BW53" t="e">
            <v>#DIV/0!</v>
          </cell>
          <cell r="BX53" t="e">
            <v>#DIV/0!</v>
          </cell>
          <cell r="BY53" t="e">
            <v>#DIV/0!</v>
          </cell>
        </row>
        <row r="54">
          <cell r="B54" t="str">
            <v>SLAM - HL Adjusted (Cartons)</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H54">
            <v>0</v>
          </cell>
          <cell r="BI54">
            <v>0</v>
          </cell>
          <cell r="BJ54">
            <v>0</v>
          </cell>
          <cell r="BK54">
            <v>0</v>
          </cell>
          <cell r="BL54">
            <v>0</v>
          </cell>
          <cell r="BM54">
            <v>0</v>
          </cell>
          <cell r="BN54">
            <v>0</v>
          </cell>
          <cell r="BO54">
            <v>0</v>
          </cell>
          <cell r="BP54">
            <v>0</v>
          </cell>
          <cell r="BQ54">
            <v>0</v>
          </cell>
          <cell r="BR54">
            <v>0</v>
          </cell>
          <cell r="BS54">
            <v>0</v>
          </cell>
          <cell r="BU54" t="e">
            <v>#DIV/0!</v>
          </cell>
          <cell r="BV54" t="e">
            <v>#DIV/0!</v>
          </cell>
          <cell r="BW54" t="e">
            <v>#DIV/0!</v>
          </cell>
          <cell r="BX54" t="e">
            <v>#DIV/0!</v>
          </cell>
          <cell r="BY54" t="e">
            <v>#DIV/0!</v>
          </cell>
        </row>
        <row r="55">
          <cell r="B55" t="str">
            <v>Full Case</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H55">
            <v>0</v>
          </cell>
          <cell r="BI55">
            <v>0</v>
          </cell>
          <cell r="BJ55">
            <v>0</v>
          </cell>
          <cell r="BK55">
            <v>0</v>
          </cell>
          <cell r="BL55">
            <v>0</v>
          </cell>
          <cell r="BM55">
            <v>0</v>
          </cell>
          <cell r="BN55">
            <v>0</v>
          </cell>
          <cell r="BO55">
            <v>0</v>
          </cell>
          <cell r="BP55">
            <v>0</v>
          </cell>
          <cell r="BQ55">
            <v>0</v>
          </cell>
          <cell r="BR55">
            <v>0</v>
          </cell>
          <cell r="BS55">
            <v>0</v>
          </cell>
          <cell r="BU55" t="e">
            <v>#DIV/0!</v>
          </cell>
          <cell r="BV55" t="e">
            <v>#DIV/0!</v>
          </cell>
          <cell r="BW55" t="e">
            <v>#DIV/0!</v>
          </cell>
          <cell r="BX55" t="e">
            <v>#DIV/0!</v>
          </cell>
          <cell r="BY55" t="e">
            <v>#DIV/0!</v>
          </cell>
        </row>
        <row r="56">
          <cell r="B56" t="str">
            <v>NonCon</v>
          </cell>
          <cell r="S56">
            <v>0</v>
          </cell>
          <cell r="T56">
            <v>0</v>
          </cell>
          <cell r="U56">
            <v>0.37528285628024199</v>
          </cell>
          <cell r="V56">
            <v>0.37587796555933395</v>
          </cell>
          <cell r="W56">
            <v>0.55665253877074783</v>
          </cell>
          <cell r="X56">
            <v>0.30462882939945879</v>
          </cell>
          <cell r="Y56">
            <v>0.46434198957446488</v>
          </cell>
          <cell r="Z56">
            <v>0.63587081983707228</v>
          </cell>
          <cell r="AA56">
            <v>0.51414078646170247</v>
          </cell>
          <cell r="AB56">
            <v>0.37323323790892365</v>
          </cell>
          <cell r="AC56">
            <v>0.34815489716666237</v>
          </cell>
          <cell r="AD56">
            <v>0.42785744340450221</v>
          </cell>
          <cell r="AE56">
            <v>0.50423952328366251</v>
          </cell>
          <cell r="AF56">
            <v>0.9654165849797276</v>
          </cell>
          <cell r="AG56">
            <v>0.86324658035268276</v>
          </cell>
          <cell r="AH56">
            <v>0.92025430715360979</v>
          </cell>
          <cell r="AI56">
            <v>0.74825700531669626</v>
          </cell>
          <cell r="AJ56">
            <v>0.76244433285301649</v>
          </cell>
          <cell r="AK56">
            <v>0.92255492167223851</v>
          </cell>
          <cell r="AL56">
            <v>1.123663264158872</v>
          </cell>
          <cell r="AM56">
            <v>1.1881564338403465</v>
          </cell>
          <cell r="AN56">
            <v>0.84548220707427379</v>
          </cell>
          <cell r="AO56">
            <v>0.79870828569987018</v>
          </cell>
          <cell r="AP56">
            <v>0.68709811965187728</v>
          </cell>
          <cell r="AQ56">
            <v>0.9701467587248942</v>
          </cell>
          <cell r="AR56">
            <v>0.76114330862496138</v>
          </cell>
          <cell r="AS56">
            <v>0.66092211312717253</v>
          </cell>
          <cell r="AT56">
            <v>0.81422646211382865</v>
          </cell>
          <cell r="AU56">
            <v>0.75474342851977494</v>
          </cell>
          <cell r="AV56">
            <v>0.70018737926941199</v>
          </cell>
          <cell r="AW56">
            <v>0.58456258814806272</v>
          </cell>
          <cell r="AX56">
            <v>0.66169767808168678</v>
          </cell>
          <cell r="AY56">
            <v>0.7199836201524068</v>
          </cell>
          <cell r="AZ56">
            <v>0.91352866443099723</v>
          </cell>
          <cell r="BA56">
            <v>0.82568741419330594</v>
          </cell>
          <cell r="BB56">
            <v>1.015757421596982</v>
          </cell>
          <cell r="BC56">
            <v>0</v>
          </cell>
          <cell r="BD56">
            <v>0</v>
          </cell>
          <cell r="BE56">
            <v>0</v>
          </cell>
          <cell r="BF56">
            <v>0</v>
          </cell>
          <cell r="BH56">
            <v>0</v>
          </cell>
          <cell r="BI56">
            <v>0</v>
          </cell>
          <cell r="BJ56">
            <v>0</v>
          </cell>
          <cell r="BK56">
            <v>0.34679749004999738</v>
          </cell>
          <cell r="BL56">
            <v>0.5458671711759987</v>
          </cell>
          <cell r="BM56">
            <v>0.41263943299456535</v>
          </cell>
          <cell r="BN56">
            <v>0.85030164105137307</v>
          </cell>
          <cell r="BO56">
            <v>0.96933716890929811</v>
          </cell>
          <cell r="BP56">
            <v>0.80454273500774232</v>
          </cell>
          <cell r="BQ56">
            <v>0.71865192797617372</v>
          </cell>
          <cell r="BR56">
            <v>0.73917092251033045</v>
          </cell>
          <cell r="BS56">
            <v>0.97213886033516073</v>
          </cell>
          <cell r="BU56" t="e">
            <v>#DIV/0!</v>
          </cell>
          <cell r="BV56">
            <v>0.4432448330336034</v>
          </cell>
          <cell r="BW56">
            <v>0.86631287396774936</v>
          </cell>
          <cell r="BX56">
            <v>0.76844211093123527</v>
          </cell>
          <cell r="BY56">
            <v>0.76030980284114025</v>
          </cell>
        </row>
        <row r="57">
          <cell r="B57" t="str">
            <v>Trans-Out</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0.67242063492063486</v>
          </cell>
          <cell r="AL57">
            <v>1.0987878490454923</v>
          </cell>
          <cell r="AM57">
            <v>0</v>
          </cell>
          <cell r="AN57">
            <v>4.5350000000000001</v>
          </cell>
          <cell r="AO57">
            <v>1.0307142857142857</v>
          </cell>
          <cell r="AP57">
            <v>0</v>
          </cell>
          <cell r="AQ57">
            <v>2.7904761904761908</v>
          </cell>
          <cell r="AR57">
            <v>0</v>
          </cell>
          <cell r="AS57">
            <v>0</v>
          </cell>
          <cell r="AT57">
            <v>0</v>
          </cell>
          <cell r="AU57">
            <v>1.2658150851581509</v>
          </cell>
          <cell r="AV57">
            <v>3.1289732770745435</v>
          </cell>
          <cell r="AW57">
            <v>3.9915524110271687</v>
          </cell>
          <cell r="AX57">
            <v>3.6681723668172372</v>
          </cell>
          <cell r="AY57">
            <v>0</v>
          </cell>
          <cell r="AZ57">
            <v>0</v>
          </cell>
          <cell r="BA57">
            <v>1.2880434782608696</v>
          </cell>
          <cell r="BB57">
            <v>0</v>
          </cell>
          <cell r="BC57">
            <v>0</v>
          </cell>
          <cell r="BD57">
            <v>0</v>
          </cell>
          <cell r="BE57">
            <v>0</v>
          </cell>
          <cell r="BF57">
            <v>0</v>
          </cell>
          <cell r="BH57">
            <v>0.91987868360554148</v>
          </cell>
          <cell r="BI57">
            <v>0</v>
          </cell>
          <cell r="BJ57">
            <v>0</v>
          </cell>
          <cell r="BK57">
            <v>0</v>
          </cell>
          <cell r="BL57">
            <v>0</v>
          </cell>
          <cell r="BM57">
            <v>0</v>
          </cell>
          <cell r="BN57">
            <v>0</v>
          </cell>
          <cell r="BO57">
            <v>1.569789620922051</v>
          </cell>
          <cell r="BP57">
            <v>2.8968085106382979</v>
          </cell>
          <cell r="BQ57">
            <v>2.0970406877931569</v>
          </cell>
          <cell r="BR57">
            <v>4.3032170663808387</v>
          </cell>
          <cell r="BS57">
            <v>0</v>
          </cell>
          <cell r="BU57">
            <v>0</v>
          </cell>
          <cell r="BV57" t="e">
            <v>#DIV/0!</v>
          </cell>
          <cell r="BW57">
            <v>1.9908947982676966</v>
          </cell>
          <cell r="BX57">
            <v>2.6695379097405962</v>
          </cell>
          <cell r="BY57">
            <v>7.73057130614432</v>
          </cell>
        </row>
        <row r="58">
          <cell r="B58" t="str">
            <v>Total Shipped</v>
          </cell>
        </row>
        <row r="59">
          <cell r="B59" t="str">
            <v>Shipping Units/Support Hour</v>
          </cell>
          <cell r="S59">
            <v>0</v>
          </cell>
          <cell r="T59">
            <v>0.10141404012116134</v>
          </cell>
          <cell r="U59">
            <v>9.7003431768024631E-2</v>
          </cell>
          <cell r="V59">
            <v>0.17029559179359521</v>
          </cell>
          <cell r="W59">
            <v>0.16526332914020098</v>
          </cell>
          <cell r="X59">
            <v>0.38418571658242612</v>
          </cell>
          <cell r="Y59">
            <v>0.45123000146302145</v>
          </cell>
          <cell r="Z59">
            <v>1.2022704961040194</v>
          </cell>
          <cell r="AA59">
            <v>0.30216481001308954</v>
          </cell>
          <cell r="AB59">
            <v>1.1115817896280789</v>
          </cell>
          <cell r="AC59">
            <v>0.70767719401930729</v>
          </cell>
          <cell r="AD59">
            <v>0.68791525595143843</v>
          </cell>
          <cell r="AE59">
            <v>0.92027084882640176</v>
          </cell>
          <cell r="AF59">
            <v>2.204837227219306</v>
          </cell>
          <cell r="AG59">
            <v>1.8225177309388629</v>
          </cell>
          <cell r="AH59">
            <v>1.3185678088196815</v>
          </cell>
          <cell r="AI59">
            <v>1.6161580404021665</v>
          </cell>
          <cell r="AJ59">
            <v>1.4398265467683549</v>
          </cell>
          <cell r="AK59">
            <v>1.7024007804296541</v>
          </cell>
          <cell r="AL59">
            <v>2.5661883650801105</v>
          </cell>
          <cell r="AM59">
            <v>2.7793109790653836</v>
          </cell>
          <cell r="AN59">
            <v>2.6171280724372332</v>
          </cell>
          <cell r="AO59">
            <v>3.2729400491341485</v>
          </cell>
          <cell r="AP59">
            <v>1.4431148377835981</v>
          </cell>
          <cell r="AQ59">
            <v>2.2142260809023853</v>
          </cell>
          <cell r="AR59">
            <v>2.1629274402384078</v>
          </cell>
          <cell r="AS59">
            <v>1.4552921332035944</v>
          </cell>
          <cell r="AT59">
            <v>1.4567181297089498</v>
          </cell>
          <cell r="AU59">
            <v>1.2155902378975103</v>
          </cell>
          <cell r="AV59">
            <v>1.0870191593393543</v>
          </cell>
          <cell r="AW59">
            <v>1.0266526581381299</v>
          </cell>
          <cell r="AX59">
            <v>2.0506306760795843</v>
          </cell>
          <cell r="AY59">
            <v>0.85268595741516873</v>
          </cell>
          <cell r="AZ59">
            <v>0.60711004846217109</v>
          </cell>
          <cell r="BA59">
            <v>0.94837710039519474</v>
          </cell>
          <cell r="BB59">
            <v>0.43937816433997295</v>
          </cell>
          <cell r="BC59">
            <v>0</v>
          </cell>
          <cell r="BD59">
            <v>0</v>
          </cell>
          <cell r="BE59">
            <v>0</v>
          </cell>
          <cell r="BF59">
            <v>0</v>
          </cell>
          <cell r="BH59">
            <v>0</v>
          </cell>
          <cell r="BI59">
            <v>0</v>
          </cell>
          <cell r="BJ59">
            <v>0</v>
          </cell>
          <cell r="BK59">
            <v>0.23438285815426521</v>
          </cell>
          <cell r="BL59">
            <v>0.41679920035502344</v>
          </cell>
          <cell r="BM59">
            <v>0.74232278469999757</v>
          </cell>
          <cell r="BN59">
            <v>1.4243935984313389</v>
          </cell>
          <cell r="BO59">
            <v>2.1992404115217066</v>
          </cell>
          <cell r="BP59">
            <v>2.0886367523172615</v>
          </cell>
          <cell r="BQ59">
            <v>1.2615682621766142</v>
          </cell>
          <cell r="BR59">
            <v>0.93271010938729093</v>
          </cell>
          <cell r="BS59">
            <v>0.50094789308825038</v>
          </cell>
          <cell r="BU59" t="e">
            <v>#DIV/0!</v>
          </cell>
          <cell r="BV59">
            <v>0.60516710796895268</v>
          </cell>
          <cell r="BW59">
            <v>1.9107690559550026</v>
          </cell>
          <cell r="BX59">
            <v>0.86180032304538035</v>
          </cell>
          <cell r="BY59">
            <v>1.0558607996475704</v>
          </cell>
        </row>
        <row r="60">
          <cell r="B60" t="str">
            <v>IC/QA (hours)</v>
          </cell>
        </row>
        <row r="61">
          <cell r="B61" t="str">
            <v>Facilities (hours)</v>
          </cell>
        </row>
        <row r="62">
          <cell r="B62" t="str">
            <v>Admin (Hours)</v>
          </cell>
        </row>
        <row r="63">
          <cell r="B63" t="str">
            <v>Total Support</v>
          </cell>
          <cell r="S63">
            <v>9.6060698858596162E-7</v>
          </cell>
          <cell r="T63">
            <v>1.2267861659331529E-5</v>
          </cell>
          <cell r="U63">
            <v>1.552096488425058E-5</v>
          </cell>
          <cell r="V63">
            <v>0.14852669820277911</v>
          </cell>
          <cell r="W63">
            <v>0.28276065421979596</v>
          </cell>
          <cell r="X63">
            <v>0.27471063654686667</v>
          </cell>
          <cell r="Y63">
            <v>0.43675000739121006</v>
          </cell>
          <cell r="Z63">
            <v>0.70607542367268461</v>
          </cell>
          <cell r="AA63">
            <v>0.59778720336826108</v>
          </cell>
          <cell r="AB63">
            <v>0.50958349874505537</v>
          </cell>
          <cell r="AC63">
            <v>0.70514349257767428</v>
          </cell>
          <cell r="AD63">
            <v>0.7743861652761963</v>
          </cell>
          <cell r="AE63">
            <v>0.83718487122167673</v>
          </cell>
          <cell r="AF63">
            <v>1.2005895130952375</v>
          </cell>
          <cell r="AG63">
            <v>1.0200845892386279</v>
          </cell>
          <cell r="AH63">
            <v>1.1190203328291759</v>
          </cell>
          <cell r="AI63">
            <v>0.67318701384241297</v>
          </cell>
          <cell r="AJ63">
            <v>0.92324982993664062</v>
          </cell>
          <cell r="AK63">
            <v>1.1667595848568144</v>
          </cell>
          <cell r="AL63">
            <v>1.2483161230869837</v>
          </cell>
          <cell r="AM63">
            <v>1.190108256557024</v>
          </cell>
          <cell r="AN63">
            <v>1.1285191648891826</v>
          </cell>
          <cell r="AO63">
            <v>0.9036395454020193</v>
          </cell>
          <cell r="AP63">
            <v>0.76917095328857454</v>
          </cell>
          <cell r="AQ63">
            <v>1.0607541262766795</v>
          </cell>
          <cell r="AR63">
            <v>1.3740739607891601</v>
          </cell>
          <cell r="AS63">
            <v>0.75551797541941768</v>
          </cell>
          <cell r="AT63">
            <v>0.70027940311481263</v>
          </cell>
          <cell r="AU63">
            <v>0.91367709806740183</v>
          </cell>
          <cell r="AV63">
            <v>0.62992435661140311</v>
          </cell>
          <cell r="AW63">
            <v>0.58783444732529455</v>
          </cell>
          <cell r="AX63">
            <v>0.77650708473745789</v>
          </cell>
          <cell r="AY63">
            <v>0.64901319843904537</v>
          </cell>
          <cell r="AZ63">
            <v>0.98025856053300486</v>
          </cell>
          <cell r="BA63">
            <v>1.1006034249024288</v>
          </cell>
          <cell r="BB63">
            <v>0.82262405908325165</v>
          </cell>
          <cell r="BC63">
            <v>0</v>
          </cell>
          <cell r="BD63">
            <v>0</v>
          </cell>
          <cell r="BE63">
            <v>0</v>
          </cell>
          <cell r="BF63">
            <v>0</v>
          </cell>
          <cell r="BH63">
            <v>1.2217746395888891</v>
          </cell>
          <cell r="BI63">
            <v>0</v>
          </cell>
          <cell r="BJ63">
            <v>0</v>
          </cell>
          <cell r="BK63">
            <v>1.7340395626168164E-2</v>
          </cell>
          <cell r="BL63">
            <v>0.4614195317999622</v>
          </cell>
          <cell r="BM63">
            <v>0.67520463837678513</v>
          </cell>
          <cell r="BN63">
            <v>0.99300846485091365</v>
          </cell>
          <cell r="BO63">
            <v>1.132233325593063</v>
          </cell>
          <cell r="BP63">
            <v>1.0420855554327597</v>
          </cell>
          <cell r="BQ63">
            <v>0.73863430823816822</v>
          </cell>
          <cell r="BR63">
            <v>0.88165843616981043</v>
          </cell>
          <cell r="BS63">
            <v>1.1960034434735147</v>
          </cell>
          <cell r="BU63">
            <v>0</v>
          </cell>
          <cell r="BV63">
            <v>1.3052373810635431</v>
          </cell>
          <cell r="BW63">
            <v>0.78765481398410109</v>
          </cell>
          <cell r="BX63">
            <v>1.2601878150051204</v>
          </cell>
          <cell r="BY63">
            <v>1.1962242710888755</v>
          </cell>
        </row>
        <row r="64">
          <cell r="B64" t="str">
            <v>Total</v>
          </cell>
          <cell r="S64">
            <v>1.8921414290711778</v>
          </cell>
          <cell r="T64">
            <v>1.6384265309070825</v>
          </cell>
          <cell r="U64">
            <v>1.3945313064270077</v>
          </cell>
          <cell r="V64">
            <v>1.0767037433043041</v>
          </cell>
          <cell r="W64">
            <v>1.0614896600629116</v>
          </cell>
          <cell r="X64">
            <v>1.1839353723766508</v>
          </cell>
          <cell r="Y64">
            <v>1.0612188067885011</v>
          </cell>
          <cell r="Z64">
            <v>0.98400798811720891</v>
          </cell>
          <cell r="AA64">
            <v>0.61873364656285712</v>
          </cell>
          <cell r="AB64">
            <v>0.62902573124574979</v>
          </cell>
          <cell r="AC64">
            <v>0.65452673616806922</v>
          </cell>
          <cell r="AD64">
            <v>0.69627254183856457</v>
          </cell>
          <cell r="AE64">
            <v>0.80278006669741975</v>
          </cell>
          <cell r="AF64">
            <v>1.1340123625176293</v>
          </cell>
          <cell r="AG64">
            <v>1.0028643503307118</v>
          </cell>
          <cell r="AH64">
            <v>0.94155112351895598</v>
          </cell>
          <cell r="AI64">
            <v>0.86804341464665813</v>
          </cell>
          <cell r="AJ64">
            <v>0.7456083715445222</v>
          </cell>
          <cell r="AK64">
            <v>0.82581755258512701</v>
          </cell>
          <cell r="AL64">
            <v>1.0125980247424489</v>
          </cell>
          <cell r="AM64">
            <v>1.1333387384607354</v>
          </cell>
          <cell r="AN64">
            <v>1.0332937774463771</v>
          </cell>
          <cell r="AO64">
            <v>1.0089200012122712</v>
          </cell>
          <cell r="AP64">
            <v>0.98065411202300867</v>
          </cell>
          <cell r="AQ64">
            <v>1.0616736991587794</v>
          </cell>
          <cell r="AR64">
            <v>1.0115469196802684</v>
          </cell>
          <cell r="AS64">
            <v>1.00381595029152</v>
          </cell>
          <cell r="AT64">
            <v>0.98094215672429108</v>
          </cell>
          <cell r="AU64">
            <v>0.87555616977739736</v>
          </cell>
          <cell r="AV64">
            <v>0.89035367855452063</v>
          </cell>
          <cell r="AW64">
            <v>0.85557294031167341</v>
          </cell>
          <cell r="AX64">
            <v>0.90999143325788578</v>
          </cell>
          <cell r="AY64">
            <v>0.86331219413687044</v>
          </cell>
          <cell r="AZ64">
            <v>0.88024222169554678</v>
          </cell>
          <cell r="BA64">
            <v>0.96292397496584514</v>
          </cell>
          <cell r="BB64">
            <v>1.2798586388969768</v>
          </cell>
          <cell r="BC64">
            <v>0</v>
          </cell>
          <cell r="BD64">
            <v>0</v>
          </cell>
          <cell r="BE64">
            <v>0</v>
          </cell>
          <cell r="BF64">
            <v>0</v>
          </cell>
          <cell r="BH64">
            <v>0.91729004241240419</v>
          </cell>
          <cell r="BI64">
            <v>0</v>
          </cell>
          <cell r="BJ64">
            <v>2.5</v>
          </cell>
          <cell r="BK64">
            <v>1.0639008019344731</v>
          </cell>
          <cell r="BL64">
            <v>1.0259753968588357</v>
          </cell>
          <cell r="BM64">
            <v>0.68319634151631625</v>
          </cell>
          <cell r="BN64">
            <v>0.96887560949363671</v>
          </cell>
          <cell r="BO64">
            <v>0.92033189213186706</v>
          </cell>
          <cell r="BP64">
            <v>1.0116110723007758</v>
          </cell>
          <cell r="BQ64">
            <v>0.9443831386695164</v>
          </cell>
          <cell r="BR64">
            <v>0.8863998938583395</v>
          </cell>
          <cell r="BS64">
            <v>1.417671262988085</v>
          </cell>
          <cell r="BU64">
            <v>57.064326988455456</v>
          </cell>
          <cell r="BV64">
            <v>0.86496695913335353</v>
          </cell>
          <cell r="BW64">
            <v>0.97014393990955161</v>
          </cell>
          <cell r="BX64">
            <v>0.97081308704156577</v>
          </cell>
          <cell r="BY64">
            <v>1.0169994471237438</v>
          </cell>
        </row>
      </sheetData>
      <sheetData sheetId="8" refreshError="1"/>
      <sheetData sheetId="9" refreshError="1"/>
      <sheetData sheetId="10" refreshError="1"/>
      <sheetData sheetId="11" refreshError="1">
        <row r="4">
          <cell r="B4" t="str">
            <v>% INDEX</v>
          </cell>
          <cell r="D4" t="str">
            <v>INDEX</v>
          </cell>
          <cell r="F4">
            <v>1</v>
          </cell>
          <cell r="G4">
            <v>2</v>
          </cell>
          <cell r="H4">
            <v>3</v>
          </cell>
          <cell r="I4">
            <v>4</v>
          </cell>
          <cell r="J4">
            <v>5</v>
          </cell>
          <cell r="K4">
            <v>6</v>
          </cell>
          <cell r="L4">
            <v>7</v>
          </cell>
          <cell r="M4">
            <v>8</v>
          </cell>
          <cell r="N4">
            <v>9</v>
          </cell>
          <cell r="O4">
            <v>10</v>
          </cell>
          <cell r="P4">
            <v>11</v>
          </cell>
          <cell r="Q4">
            <v>12</v>
          </cell>
          <cell r="R4">
            <v>13</v>
          </cell>
          <cell r="S4">
            <v>14</v>
          </cell>
          <cell r="T4">
            <v>15</v>
          </cell>
          <cell r="U4">
            <v>16</v>
          </cell>
          <cell r="V4">
            <v>17</v>
          </cell>
          <cell r="W4">
            <v>18</v>
          </cell>
          <cell r="X4">
            <v>19</v>
          </cell>
          <cell r="Y4">
            <v>20</v>
          </cell>
          <cell r="Z4">
            <v>21</v>
          </cell>
          <cell r="AA4">
            <v>22</v>
          </cell>
          <cell r="AB4">
            <v>23</v>
          </cell>
          <cell r="AC4">
            <v>24</v>
          </cell>
          <cell r="AD4">
            <v>25</v>
          </cell>
          <cell r="AE4">
            <v>26</v>
          </cell>
          <cell r="AF4">
            <v>27</v>
          </cell>
          <cell r="AG4">
            <v>28</v>
          </cell>
          <cell r="AH4">
            <v>29</v>
          </cell>
          <cell r="AI4">
            <v>30</v>
          </cell>
          <cell r="AJ4">
            <v>31</v>
          </cell>
          <cell r="AK4">
            <v>32</v>
          </cell>
          <cell r="AL4">
            <v>33</v>
          </cell>
          <cell r="AM4">
            <v>34</v>
          </cell>
          <cell r="AN4">
            <v>35</v>
          </cell>
          <cell r="AO4">
            <v>36</v>
          </cell>
          <cell r="AP4">
            <v>37</v>
          </cell>
          <cell r="AQ4">
            <v>38</v>
          </cell>
          <cell r="AR4">
            <v>39</v>
          </cell>
          <cell r="AS4">
            <v>40</v>
          </cell>
          <cell r="AT4">
            <v>41</v>
          </cell>
          <cell r="AU4">
            <v>42</v>
          </cell>
          <cell r="AV4">
            <v>43</v>
          </cell>
          <cell r="AW4">
            <v>44</v>
          </cell>
          <cell r="AX4">
            <v>45</v>
          </cell>
          <cell r="AY4">
            <v>46</v>
          </cell>
          <cell r="AZ4">
            <v>47</v>
          </cell>
          <cell r="BA4">
            <v>48</v>
          </cell>
          <cell r="BB4">
            <v>49</v>
          </cell>
          <cell r="BC4">
            <v>50</v>
          </cell>
          <cell r="BD4">
            <v>51</v>
          </cell>
          <cell r="BE4">
            <v>52</v>
          </cell>
          <cell r="BF4">
            <v>53</v>
          </cell>
          <cell r="BH4">
            <v>38353</v>
          </cell>
          <cell r="BI4">
            <v>38384</v>
          </cell>
          <cell r="BJ4">
            <v>38412</v>
          </cell>
          <cell r="BK4">
            <v>38443</v>
          </cell>
          <cell r="BL4">
            <v>38473</v>
          </cell>
          <cell r="BM4">
            <v>38504</v>
          </cell>
          <cell r="BN4">
            <v>38534</v>
          </cell>
          <cell r="BO4">
            <v>38565</v>
          </cell>
          <cell r="BP4">
            <v>38596</v>
          </cell>
          <cell r="BQ4">
            <v>38626</v>
          </cell>
          <cell r="BR4">
            <v>38657</v>
          </cell>
          <cell r="BS4">
            <v>38687</v>
          </cell>
          <cell r="BU4" t="str">
            <v>Q1</v>
          </cell>
          <cell r="BV4" t="str">
            <v>Q2</v>
          </cell>
          <cell r="BW4" t="str">
            <v>Q3</v>
          </cell>
          <cell r="BX4" t="str">
            <v>Q4</v>
          </cell>
          <cell r="BY4" t="str">
            <v xml:space="preserve">TOTAL  </v>
          </cell>
        </row>
        <row r="5">
          <cell r="B5" t="str">
            <v>Each Receive - Direct</v>
          </cell>
        </row>
        <row r="6">
          <cell r="B6" t="str">
            <v>Each Receive - Indirect</v>
          </cell>
        </row>
        <row r="7">
          <cell r="B7" t="str">
            <v>Each Receive - Total</v>
          </cell>
        </row>
        <row r="8">
          <cell r="B8" t="str">
            <v>LP Receive - Direct</v>
          </cell>
        </row>
        <row r="9">
          <cell r="B9" t="str">
            <v>LP Receive - Indirect</v>
          </cell>
        </row>
        <row r="10">
          <cell r="B10" t="str">
            <v>LP Receive - Total</v>
          </cell>
        </row>
        <row r="11">
          <cell r="B11" t="str">
            <v>Case Receive - Direct (Units)</v>
          </cell>
        </row>
        <row r="12">
          <cell r="B12" t="str">
            <v>Case Receive- Indirect (Units)</v>
          </cell>
        </row>
        <row r="13">
          <cell r="B13" t="str">
            <v>Case Receive - Total (Units)</v>
          </cell>
        </row>
        <row r="14">
          <cell r="B14" t="str">
            <v>Case Receive - Direct (Cases)</v>
          </cell>
        </row>
        <row r="15">
          <cell r="B15" t="str">
            <v>Case Receive - Indirect (Cases)</v>
          </cell>
        </row>
        <row r="16">
          <cell r="B16" t="str">
            <v>Case Receive - Total (Cases)</v>
          </cell>
        </row>
        <row r="17">
          <cell r="B17" t="str">
            <v>Pallet Receive - Direct (Units)</v>
          </cell>
        </row>
        <row r="18">
          <cell r="B18" t="str">
            <v>Pallet Receive - Indirect (Units)</v>
          </cell>
        </row>
        <row r="19">
          <cell r="B19" t="str">
            <v>Pallet Receive - Total (Units)</v>
          </cell>
        </row>
        <row r="20">
          <cell r="B20" t="str">
            <v>Pallet Receive - Direct (Pallets)</v>
          </cell>
        </row>
        <row r="21">
          <cell r="B21" t="str">
            <v>Pallet Receive - Indirect (Pallets)</v>
          </cell>
        </row>
        <row r="22">
          <cell r="B22" t="str">
            <v>Pallet Receive - Total (Pallets)</v>
          </cell>
        </row>
        <row r="23">
          <cell r="B23" t="str">
            <v>Trans-In</v>
          </cell>
        </row>
        <row r="24">
          <cell r="B24" t="str">
            <v>Total Receive</v>
          </cell>
        </row>
        <row r="25">
          <cell r="B25" t="str">
            <v>Support Labor - Receive</v>
          </cell>
        </row>
        <row r="26">
          <cell r="B26" t="str">
            <v>Assortments/Prep/Repack</v>
          </cell>
        </row>
        <row r="27">
          <cell r="B27" t="str">
            <v xml:space="preserve">   Pallet putaway</v>
          </cell>
        </row>
        <row r="28">
          <cell r="B28" t="str">
            <v xml:space="preserve">   Pallet Redrop</v>
          </cell>
        </row>
        <row r="29">
          <cell r="B29" t="str">
            <v xml:space="preserve">   Pallet Replen</v>
          </cell>
        </row>
        <row r="30">
          <cell r="B30" t="str">
            <v xml:space="preserve">   Case Redrop</v>
          </cell>
        </row>
        <row r="31">
          <cell r="B31" t="str">
            <v xml:space="preserve">   Case Replen</v>
          </cell>
        </row>
        <row r="32">
          <cell r="B32" t="str">
            <v xml:space="preserve">   Case Stock</v>
          </cell>
        </row>
        <row r="33">
          <cell r="B33" t="str">
            <v xml:space="preserve">   Support</v>
          </cell>
        </row>
        <row r="34">
          <cell r="B34" t="str">
            <v>Replenishment</v>
          </cell>
        </row>
        <row r="35">
          <cell r="B35" t="str">
            <v>Customer Returns</v>
          </cell>
        </row>
        <row r="36">
          <cell r="B36" t="str">
            <v>Vendor Returns</v>
          </cell>
        </row>
        <row r="38">
          <cell r="B38" t="str">
            <v>Picking - BMVD</v>
          </cell>
        </row>
        <row r="39">
          <cell r="B39" t="str">
            <v>Picking - TEKHO</v>
          </cell>
        </row>
        <row r="40">
          <cell r="B40" t="str">
            <v>Picking</v>
          </cell>
        </row>
        <row r="41">
          <cell r="B41" t="str">
            <v>Sortation - BMVD</v>
          </cell>
        </row>
        <row r="42">
          <cell r="B42" t="str">
            <v>Sortation - TEKHO</v>
          </cell>
        </row>
        <row r="43">
          <cell r="B43" t="str">
            <v>Sortation</v>
          </cell>
        </row>
        <row r="44">
          <cell r="B44" t="str">
            <v>VDF</v>
          </cell>
        </row>
        <row r="45">
          <cell r="B45" t="str">
            <v>Levimatic</v>
          </cell>
        </row>
        <row r="46">
          <cell r="B46" t="str">
            <v>Sortable Singles</v>
          </cell>
        </row>
        <row r="47">
          <cell r="B47" t="str">
            <v>Giftwrap</v>
          </cell>
        </row>
        <row r="49">
          <cell r="B49" t="str">
            <v>SLAM - BMVD (Units)</v>
          </cell>
        </row>
        <row r="50">
          <cell r="B50" t="str">
            <v>SLAM - HL (Units)</v>
          </cell>
        </row>
        <row r="51">
          <cell r="B51" t="str">
            <v>SLAM - BMVD (Cartons)</v>
          </cell>
        </row>
        <row r="52">
          <cell r="B52" t="str">
            <v>SLAM - HL  (Cartons)</v>
          </cell>
        </row>
        <row r="53">
          <cell r="B53" t="str">
            <v>SLAM - HL Adjusted (Units)</v>
          </cell>
        </row>
        <row r="54">
          <cell r="B54" t="str">
            <v>SLAM - HL Adjusted (Cartons)</v>
          </cell>
        </row>
        <row r="55">
          <cell r="B55" t="str">
            <v>Full Case (incl.pick and GW)</v>
          </cell>
        </row>
        <row r="56">
          <cell r="B56" t="str">
            <v>Non Con (incl.pick and GW)</v>
          </cell>
        </row>
        <row r="57">
          <cell r="B57" t="str">
            <v>Fullcase/NC Offsite</v>
          </cell>
        </row>
        <row r="58">
          <cell r="B58" t="str">
            <v>Total Shipped</v>
          </cell>
        </row>
        <row r="59">
          <cell r="B59" t="str">
            <v>Support Labor - Shipping</v>
          </cell>
        </row>
        <row r="60">
          <cell r="B60" t="str">
            <v>Facilities (hoursl)</v>
          </cell>
        </row>
        <row r="61">
          <cell r="B61" t="str">
            <v>IC/QA (hours)</v>
          </cell>
        </row>
        <row r="62">
          <cell r="B62" t="str">
            <v>Admin (Hours)</v>
          </cell>
        </row>
        <row r="63">
          <cell r="B63" t="str">
            <v>Facilities, IC/QA, Admin., etc.</v>
          </cell>
        </row>
        <row r="64">
          <cell r="B64" t="str">
            <v>WEIGHTED INDEX %</v>
          </cell>
          <cell r="F64">
            <v>0</v>
          </cell>
          <cell r="G64">
            <v>0</v>
          </cell>
          <cell r="H64">
            <v>0</v>
          </cell>
          <cell r="I64">
            <v>0</v>
          </cell>
          <cell r="J64">
            <v>0</v>
          </cell>
          <cell r="K64">
            <v>0</v>
          </cell>
          <cell r="L64">
            <v>0</v>
          </cell>
          <cell r="M64">
            <v>0</v>
          </cell>
          <cell r="N64">
            <v>0</v>
          </cell>
          <cell r="O64">
            <v>0</v>
          </cell>
          <cell r="P64">
            <v>0</v>
          </cell>
          <cell r="Q64">
            <v>0</v>
          </cell>
          <cell r="R64">
            <v>0</v>
          </cell>
          <cell r="S64">
            <v>2.1224429758836963E-6</v>
          </cell>
          <cell r="T64">
            <v>2.5871398597720728E-5</v>
          </cell>
          <cell r="U64">
            <v>3.6700533410769281E-5</v>
          </cell>
          <cell r="V64">
            <v>0.210107542103599</v>
          </cell>
          <cell r="W64">
            <v>0.30720182304927351</v>
          </cell>
          <cell r="X64">
            <v>0.35030962795443066</v>
          </cell>
          <cell r="Y64">
            <v>0.46941662627283398</v>
          </cell>
          <cell r="Z64">
            <v>0.3998783919762261</v>
          </cell>
          <cell r="AA64">
            <v>0.39359431367964637</v>
          </cell>
          <cell r="AB64">
            <v>0.4377587054459563</v>
          </cell>
          <cell r="AC64">
            <v>0.49269779995855412</v>
          </cell>
          <cell r="AD64">
            <v>0.48601332876397862</v>
          </cell>
          <cell r="AE64">
            <v>0.47528954321575967</v>
          </cell>
          <cell r="AF64">
            <v>0.56214922350614394</v>
          </cell>
          <cell r="AG64">
            <v>0.17690036756356448</v>
          </cell>
          <cell r="AH64">
            <v>0.4346472345914339</v>
          </cell>
          <cell r="AI64">
            <v>0.4189844588743315</v>
          </cell>
          <cell r="AJ64">
            <v>0.37636680783425719</v>
          </cell>
          <cell r="AK64">
            <v>0.3372245519175695</v>
          </cell>
          <cell r="AL64">
            <v>0.43096415062554594</v>
          </cell>
          <cell r="AM64">
            <v>0.53197496883455486</v>
          </cell>
          <cell r="AN64">
            <v>0.51109923642636812</v>
          </cell>
          <cell r="AO64">
            <v>0.52980660972734994</v>
          </cell>
          <cell r="AP64">
            <v>0.47080809409358571</v>
          </cell>
          <cell r="AQ64">
            <v>0.45302997711555593</v>
          </cell>
          <cell r="AR64">
            <v>0.46475124039596022</v>
          </cell>
          <cell r="AS64">
            <v>0.45007775258686494</v>
          </cell>
          <cell r="AT64">
            <v>0.44591379307684481</v>
          </cell>
          <cell r="AU64">
            <v>0.39213774747491054</v>
          </cell>
          <cell r="AV64">
            <v>0.37453322973044656</v>
          </cell>
          <cell r="AW64">
            <v>0.38849038392690977</v>
          </cell>
          <cell r="AX64">
            <v>0.41303557926831874</v>
          </cell>
          <cell r="AY64">
            <v>0.40169985939273006</v>
          </cell>
          <cell r="AZ64">
            <v>0.4114870146401281</v>
          </cell>
          <cell r="BA64">
            <v>0.45693213993665682</v>
          </cell>
          <cell r="BB64">
            <v>0.4947518015622408</v>
          </cell>
          <cell r="BC64">
            <v>0</v>
          </cell>
          <cell r="BD64">
            <v>0</v>
          </cell>
          <cell r="BE64">
            <v>0</v>
          </cell>
          <cell r="BF64">
            <v>0</v>
          </cell>
          <cell r="BH64">
            <v>0</v>
          </cell>
          <cell r="BI64">
            <v>17.756859561466367</v>
          </cell>
          <cell r="BJ64">
            <v>-1.1466407546396737E-2</v>
          </cell>
          <cell r="BK64">
            <v>3.8859949752063097E-2</v>
          </cell>
          <cell r="BL64">
            <v>0.37091303496134936</v>
          </cell>
          <cell r="BM64">
            <v>0.47852559910705539</v>
          </cell>
          <cell r="BN64">
            <v>0.4408568251499887</v>
          </cell>
          <cell r="BO64">
            <v>0.44963329974919369</v>
          </cell>
          <cell r="BP64">
            <v>0.48242896248582473</v>
          </cell>
          <cell r="BQ64">
            <v>0.41337603817164675</v>
          </cell>
          <cell r="BR64">
            <v>0.41786836368331665</v>
          </cell>
          <cell r="BS64">
            <v>0.46690218614852513</v>
          </cell>
          <cell r="BU64">
            <v>-3.4421450126777491E-2</v>
          </cell>
          <cell r="BV64">
            <v>9.8298655542275112E-2</v>
          </cell>
          <cell r="BW64">
            <v>0.45695563728636118</v>
          </cell>
          <cell r="BX64">
            <v>0.4314076718845945</v>
          </cell>
          <cell r="BY64">
            <v>-0.27831539357679386</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nthly_Bridge"/>
      <sheetName val="Daily_OUTPUT"/>
      <sheetName val="Weekly_OUTPUT"/>
      <sheetName val="Monthly_OUTPUT"/>
      <sheetName val="Daily-Weekly_INPUT"/>
      <sheetName val="Monthly_INPUT"/>
      <sheetName val="Variable_Costs"/>
      <sheetName val="Auto_Process_path_hrs_bridge"/>
      <sheetName val="VOL_&amp;_HOURS"/>
      <sheetName val="Productivity_Trends"/>
      <sheetName val="%_INDEX"/>
      <sheetName val="%_Benchmark"/>
      <sheetName val="%_PLAN"/>
      <sheetName val="Sev_1-2"/>
      <sheetName val="Daily-Weekly_OPEX-INPUT"/>
      <sheetName val="OPEX-TOTAL"/>
      <sheetName val="Planned Volume"/>
      <sheetName val="Trend_Graph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203">
          <cell r="B203" t="str">
            <v>Each Receive - Direct</v>
          </cell>
        </row>
        <row r="204">
          <cell r="B204" t="str">
            <v>Each Receive - Indirect</v>
          </cell>
        </row>
        <row r="205">
          <cell r="B205" t="str">
            <v>Each Receive - Total</v>
          </cell>
        </row>
        <row r="206">
          <cell r="B206" t="str">
            <v>LP Receive - Direct</v>
          </cell>
        </row>
        <row r="207">
          <cell r="B207" t="str">
            <v>LP Receive - Indirect</v>
          </cell>
        </row>
        <row r="208">
          <cell r="B208" t="str">
            <v>LP Receive - Total</v>
          </cell>
        </row>
        <row r="209">
          <cell r="B209" t="str">
            <v>Case Receive - Direct (Units)</v>
          </cell>
        </row>
        <row r="210">
          <cell r="B210" t="str">
            <v>Case Receive- Indirect (Units)</v>
          </cell>
        </row>
        <row r="211">
          <cell r="B211" t="str">
            <v>Case Receive - Total (Units)</v>
          </cell>
        </row>
        <row r="212">
          <cell r="B212" t="str">
            <v>Case Receive - Direct (Cases)</v>
          </cell>
        </row>
        <row r="213">
          <cell r="B213" t="str">
            <v>Case Receive - Indirect (Cases)</v>
          </cell>
        </row>
        <row r="214">
          <cell r="B214" t="str">
            <v>Case Receive - Total (Cases)</v>
          </cell>
        </row>
        <row r="215">
          <cell r="B215" t="str">
            <v>Pallet Receive - Direct (Units)</v>
          </cell>
        </row>
        <row r="216">
          <cell r="B216" t="str">
            <v>Pallet Receive - Indirect (Units)</v>
          </cell>
        </row>
        <row r="217">
          <cell r="B217" t="str">
            <v>Pallet Receive - Total (Units)</v>
          </cell>
        </row>
        <row r="218">
          <cell r="B218" t="str">
            <v>Pallet Receive - Direct (Pallets)</v>
          </cell>
        </row>
        <row r="219">
          <cell r="B219" t="str">
            <v>Pallet Receive - Indirect (Pallets)</v>
          </cell>
        </row>
        <row r="220">
          <cell r="B220" t="str">
            <v>Pallet Receive - Total (Pallets)</v>
          </cell>
        </row>
        <row r="221">
          <cell r="B221" t="str">
            <v>Offsite Receive</v>
          </cell>
        </row>
        <row r="222">
          <cell r="B222" t="str">
            <v>Total Receive</v>
          </cell>
        </row>
        <row r="223">
          <cell r="B223" t="str">
            <v>Receive Units/Support Hour</v>
          </cell>
        </row>
        <row r="224">
          <cell r="B224" t="str">
            <v>Assortments/Prep/Repack</v>
          </cell>
        </row>
        <row r="225">
          <cell r="B225" t="str">
            <v xml:space="preserve">   Pallet putaway</v>
          </cell>
        </row>
        <row r="226">
          <cell r="B226" t="str">
            <v xml:space="preserve">   Pallet Redrop</v>
          </cell>
        </row>
        <row r="227">
          <cell r="B227" t="str">
            <v xml:space="preserve">   Pallet Replen</v>
          </cell>
        </row>
        <row r="228">
          <cell r="B228" t="str">
            <v xml:space="preserve">   Case Redrop</v>
          </cell>
        </row>
        <row r="229">
          <cell r="B229" t="str">
            <v xml:space="preserve">   Case Replen</v>
          </cell>
        </row>
        <row r="230">
          <cell r="B230" t="str">
            <v xml:space="preserve">   Case Stock</v>
          </cell>
        </row>
        <row r="231">
          <cell r="B231" t="str">
            <v xml:space="preserve">   Support</v>
          </cell>
        </row>
        <row r="232">
          <cell r="B232" t="str">
            <v>Replenishment</v>
          </cell>
        </row>
        <row r="233">
          <cell r="B233" t="str">
            <v>Customer Returns</v>
          </cell>
        </row>
        <row r="234">
          <cell r="B234" t="str">
            <v>Vendor Returns</v>
          </cell>
        </row>
        <row r="236">
          <cell r="B236" t="str">
            <v>Picking inc. Support - BMVD</v>
          </cell>
        </row>
        <row r="237">
          <cell r="B237" t="str">
            <v>Picking inc. Support - TEKHO</v>
          </cell>
        </row>
        <row r="238">
          <cell r="B238" t="str">
            <v>Picking</v>
          </cell>
        </row>
        <row r="239">
          <cell r="B239" t="str">
            <v>Sortation inc. Support - BMVD</v>
          </cell>
        </row>
        <row r="240">
          <cell r="B240" t="str">
            <v>Sortation - HL</v>
          </cell>
        </row>
        <row r="241">
          <cell r="B241" t="str">
            <v>Sortation</v>
          </cell>
        </row>
        <row r="242">
          <cell r="B242" t="str">
            <v>VDF</v>
          </cell>
        </row>
        <row r="243">
          <cell r="B243" t="str">
            <v>Levimatic</v>
          </cell>
        </row>
        <row r="244">
          <cell r="B244" t="str">
            <v>Sortable Singles</v>
          </cell>
        </row>
        <row r="245">
          <cell r="B245" t="str">
            <v>Gift Wrap</v>
          </cell>
        </row>
        <row r="247">
          <cell r="B247" t="str">
            <v>SLAM - BMVD (Units)</v>
          </cell>
        </row>
        <row r="248">
          <cell r="B248" t="str">
            <v>SLAM - HL (Units)</v>
          </cell>
        </row>
        <row r="249">
          <cell r="B249" t="str">
            <v>SLAM - BMVD (Cartons)</v>
          </cell>
        </row>
        <row r="250">
          <cell r="B250" t="str">
            <v>SLAM - HL (Cartons)</v>
          </cell>
        </row>
        <row r="251">
          <cell r="B251" t="str">
            <v>SLAM - HL Adjusted (Units)</v>
          </cell>
        </row>
        <row r="252">
          <cell r="B252" t="str">
            <v>SLAM - HL Adjusted (Cartons)</v>
          </cell>
        </row>
        <row r="253">
          <cell r="B253" t="str">
            <v>Full Case</v>
          </cell>
        </row>
        <row r="254">
          <cell r="B254" t="str">
            <v>NonCon</v>
          </cell>
        </row>
        <row r="255">
          <cell r="B255" t="str">
            <v>FC/NC (Offsite)</v>
          </cell>
        </row>
        <row r="256">
          <cell r="B256" t="str">
            <v>Total Shipped</v>
          </cell>
        </row>
        <row r="257">
          <cell r="B257" t="str">
            <v>Shipping Units/Support Hour</v>
          </cell>
        </row>
        <row r="258">
          <cell r="B258" t="str">
            <v>IC/QA (hours)</v>
          </cell>
        </row>
        <row r="259">
          <cell r="B259" t="str">
            <v>Facilities (hours)</v>
          </cell>
        </row>
        <row r="260">
          <cell r="B260" t="str">
            <v>Admin (Hours)</v>
          </cell>
        </row>
      </sheetData>
      <sheetData sheetId="13" refreshError="1"/>
      <sheetData sheetId="14" refreshError="1"/>
      <sheetData sheetId="15" refreshError="1"/>
      <sheetData sheetId="16" refreshError="1"/>
      <sheetData sheetId="17"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Chart"/>
      <sheetName val="Summary"/>
      <sheetName val="IP Transit"/>
      <sheetName val="AT&amp;T"/>
      <sheetName val="att issues"/>
      <sheetName val="Deutsche Telekom"/>
      <sheetName val="ELI"/>
      <sheetName val="ELI issues"/>
      <sheetName val="France Telecom"/>
      <sheetName val="Internap"/>
      <sheetName val="Westin"/>
      <sheetName val="MFN"/>
      <sheetName val="NevadaBell"/>
      <sheetName val="NTT"/>
      <sheetName val="Qwest-USWest"/>
      <sheetName val="qwest issues"/>
      <sheetName val="Southwestern Bell"/>
      <sheetName val="Sprint"/>
      <sheetName val="Telewest"/>
      <sheetName val="Verio"/>
      <sheetName val="Verizon"/>
      <sheetName val="Worldcom-UUNET-MFS"/>
      <sheetName val="wcom issues"/>
      <sheetName val="Lists"/>
      <sheetName val="Contracts Cheatshee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angeLog"/>
      <sheetName val="Refresh"/>
      <sheetName val="FlowPath"/>
      <sheetName val="Productivity"/>
      <sheetName val="ProdCalcs"/>
      <sheetName val="RateQuery"/>
      <sheetName val="DataClerkQuery"/>
      <sheetName val="ProdQuery3"/>
      <sheetName val="ProdQuery2"/>
      <sheetName val="ShiftAnalysis"/>
      <sheetName val="ProdQuery"/>
    </sheetNames>
    <sheetDataSet>
      <sheetData sheetId="0" refreshError="1"/>
      <sheetData sheetId="1" refreshError="1"/>
      <sheetData sheetId="2" refreshError="1"/>
      <sheetData sheetId="3" refreshError="1"/>
      <sheetData sheetId="4" refreshError="1"/>
      <sheetData sheetId="5" refreshError="1">
        <row r="5">
          <cell r="B5" t="str">
            <v>Throughput</v>
          </cell>
        </row>
        <row r="6">
          <cell r="B6">
            <v>50.380165679999998</v>
          </cell>
          <cell r="C6">
            <v>0</v>
          </cell>
          <cell r="D6">
            <v>184.9</v>
          </cell>
          <cell r="E6">
            <v>0</v>
          </cell>
          <cell r="F6">
            <v>0</v>
          </cell>
          <cell r="G6">
            <v>0</v>
          </cell>
          <cell r="H6">
            <v>0</v>
          </cell>
          <cell r="I6">
            <v>1174.9000000000001</v>
          </cell>
          <cell r="J6">
            <v>47</v>
          </cell>
          <cell r="K6">
            <v>24</v>
          </cell>
          <cell r="L6">
            <v>24</v>
          </cell>
          <cell r="M6">
            <v>22.1</v>
          </cell>
          <cell r="N6">
            <v>102.1</v>
          </cell>
          <cell r="O6">
            <v>126</v>
          </cell>
          <cell r="P6">
            <v>136.4</v>
          </cell>
          <cell r="Q6">
            <v>0</v>
          </cell>
          <cell r="R6">
            <v>0</v>
          </cell>
          <cell r="S6">
            <v>192</v>
          </cell>
          <cell r="T6">
            <v>0</v>
          </cell>
          <cell r="U6">
            <v>0</v>
          </cell>
          <cell r="V6">
            <v>146</v>
          </cell>
          <cell r="W6">
            <v>23</v>
          </cell>
          <cell r="X6">
            <v>332</v>
          </cell>
          <cell r="Y6">
            <v>13</v>
          </cell>
          <cell r="Z6">
            <v>8</v>
          </cell>
          <cell r="AA6">
            <v>8</v>
          </cell>
          <cell r="AB6">
            <v>140</v>
          </cell>
          <cell r="AC6">
            <v>0</v>
          </cell>
          <cell r="AD6">
            <v>300.89999999999998</v>
          </cell>
          <cell r="AE6">
            <v>173.6</v>
          </cell>
          <cell r="AF6">
            <v>597</v>
          </cell>
          <cell r="AG6">
            <v>12</v>
          </cell>
          <cell r="AH6">
            <v>102</v>
          </cell>
          <cell r="AI6">
            <v>110</v>
          </cell>
          <cell r="AJ6">
            <v>151</v>
          </cell>
          <cell r="AK6">
            <v>161</v>
          </cell>
          <cell r="AL6">
            <v>257</v>
          </cell>
          <cell r="AM6">
            <v>22</v>
          </cell>
          <cell r="AN6">
            <v>239</v>
          </cell>
          <cell r="AO6">
            <v>21</v>
          </cell>
          <cell r="AP6">
            <v>445</v>
          </cell>
          <cell r="AQ6">
            <v>186</v>
          </cell>
          <cell r="AR6">
            <v>775</v>
          </cell>
          <cell r="AS6">
            <v>37</v>
          </cell>
          <cell r="AT6">
            <v>41</v>
          </cell>
          <cell r="AU6">
            <v>41</v>
          </cell>
          <cell r="AV6">
            <v>25</v>
          </cell>
          <cell r="AW6">
            <v>105</v>
          </cell>
          <cell r="AX6">
            <v>118</v>
          </cell>
          <cell r="AY6">
            <v>151</v>
          </cell>
          <cell r="AZ6">
            <v>182</v>
          </cell>
          <cell r="BA6">
            <v>257</v>
          </cell>
          <cell r="BB6">
            <v>293</v>
          </cell>
          <cell r="BC6">
            <v>22</v>
          </cell>
          <cell r="BD6">
            <v>25</v>
          </cell>
          <cell r="BE6">
            <v>25</v>
          </cell>
          <cell r="BF6">
            <v>25</v>
          </cell>
          <cell r="BG6">
            <v>0</v>
          </cell>
          <cell r="BH6">
            <v>445</v>
          </cell>
          <cell r="BI6">
            <v>38</v>
          </cell>
          <cell r="BJ6" t="str">
            <v>2348</v>
          </cell>
          <cell r="BK6" t="str">
            <v>5716</v>
          </cell>
          <cell r="BL6" t="str">
            <v>3500</v>
          </cell>
          <cell r="BM6">
            <v>30</v>
          </cell>
          <cell r="BN6">
            <v>65</v>
          </cell>
          <cell r="BO6">
            <v>188</v>
          </cell>
          <cell r="BP6">
            <v>188</v>
          </cell>
          <cell r="BQ6">
            <v>215.9</v>
          </cell>
          <cell r="BR6">
            <v>37.5</v>
          </cell>
          <cell r="BS6">
            <v>210.5</v>
          </cell>
          <cell r="BT6">
            <v>194</v>
          </cell>
          <cell r="BU6">
            <v>2178</v>
          </cell>
          <cell r="BV6">
            <v>105</v>
          </cell>
          <cell r="BW6">
            <v>105</v>
          </cell>
          <cell r="BX6">
            <v>117</v>
          </cell>
          <cell r="BY6">
            <v>37</v>
          </cell>
        </row>
        <row r="7">
          <cell r="B7">
            <v>50.670260659999997</v>
          </cell>
          <cell r="C7">
            <v>0</v>
          </cell>
          <cell r="D7">
            <v>184.9</v>
          </cell>
          <cell r="E7">
            <v>0</v>
          </cell>
          <cell r="F7">
            <v>0</v>
          </cell>
          <cell r="G7">
            <v>0</v>
          </cell>
          <cell r="H7">
            <v>0</v>
          </cell>
          <cell r="I7">
            <v>1174.9000000000001</v>
          </cell>
          <cell r="J7">
            <v>47</v>
          </cell>
          <cell r="K7">
            <v>24</v>
          </cell>
          <cell r="L7">
            <v>24</v>
          </cell>
          <cell r="M7">
            <v>22.1</v>
          </cell>
          <cell r="N7">
            <v>102.1</v>
          </cell>
          <cell r="O7">
            <v>126</v>
          </cell>
          <cell r="P7">
            <v>136.4</v>
          </cell>
          <cell r="Q7">
            <v>0</v>
          </cell>
          <cell r="R7">
            <v>0</v>
          </cell>
          <cell r="S7">
            <v>192</v>
          </cell>
          <cell r="T7">
            <v>0</v>
          </cell>
          <cell r="U7">
            <v>0</v>
          </cell>
          <cell r="V7">
            <v>146</v>
          </cell>
          <cell r="W7">
            <v>23</v>
          </cell>
          <cell r="X7">
            <v>332</v>
          </cell>
          <cell r="Y7">
            <v>13</v>
          </cell>
          <cell r="Z7">
            <v>8</v>
          </cell>
          <cell r="AA7">
            <v>8</v>
          </cell>
          <cell r="AB7">
            <v>127</v>
          </cell>
          <cell r="AC7">
            <v>0</v>
          </cell>
          <cell r="AD7">
            <v>300.89999999999998</v>
          </cell>
          <cell r="AE7">
            <v>173.6</v>
          </cell>
          <cell r="AF7">
            <v>597</v>
          </cell>
          <cell r="AG7">
            <v>12</v>
          </cell>
          <cell r="AH7">
            <v>102</v>
          </cell>
          <cell r="AI7">
            <v>110</v>
          </cell>
          <cell r="AJ7">
            <v>151</v>
          </cell>
          <cell r="AK7">
            <v>161</v>
          </cell>
          <cell r="AL7">
            <v>257</v>
          </cell>
          <cell r="AM7">
            <v>22</v>
          </cell>
          <cell r="AN7">
            <v>239</v>
          </cell>
          <cell r="AO7">
            <v>21</v>
          </cell>
          <cell r="AP7">
            <v>445</v>
          </cell>
          <cell r="AQ7">
            <v>186</v>
          </cell>
          <cell r="AR7">
            <v>775</v>
          </cell>
          <cell r="AS7">
            <v>37</v>
          </cell>
          <cell r="AT7">
            <v>41</v>
          </cell>
          <cell r="AU7">
            <v>41</v>
          </cell>
          <cell r="AV7">
            <v>25</v>
          </cell>
          <cell r="AW7">
            <v>105</v>
          </cell>
          <cell r="AX7">
            <v>118</v>
          </cell>
          <cell r="AY7">
            <v>151</v>
          </cell>
          <cell r="AZ7">
            <v>182</v>
          </cell>
          <cell r="BA7">
            <v>257</v>
          </cell>
          <cell r="BB7">
            <v>293</v>
          </cell>
          <cell r="BC7">
            <v>22</v>
          </cell>
          <cell r="BD7">
            <v>25</v>
          </cell>
          <cell r="BE7">
            <v>25</v>
          </cell>
          <cell r="BF7">
            <v>25</v>
          </cell>
          <cell r="BG7">
            <v>0</v>
          </cell>
          <cell r="BH7">
            <v>445</v>
          </cell>
          <cell r="BI7">
            <v>38</v>
          </cell>
          <cell r="BJ7" t="str">
            <v>2348</v>
          </cell>
          <cell r="BK7" t="str">
            <v>5716</v>
          </cell>
          <cell r="BL7" t="str">
            <v>3500</v>
          </cell>
          <cell r="BM7">
            <v>30</v>
          </cell>
          <cell r="BN7">
            <v>65</v>
          </cell>
          <cell r="BO7">
            <v>188</v>
          </cell>
          <cell r="BP7">
            <v>188</v>
          </cell>
          <cell r="BQ7">
            <v>215.9</v>
          </cell>
          <cell r="BR7">
            <v>37.5</v>
          </cell>
          <cell r="BS7">
            <v>210.5</v>
          </cell>
          <cell r="BT7">
            <v>194</v>
          </cell>
          <cell r="BU7">
            <v>2178</v>
          </cell>
          <cell r="BV7">
            <v>105</v>
          </cell>
          <cell r="BW7">
            <v>105</v>
          </cell>
          <cell r="BX7">
            <v>117</v>
          </cell>
          <cell r="BY7">
            <v>37</v>
          </cell>
        </row>
        <row r="8">
          <cell r="B8">
            <v>53.09289708</v>
          </cell>
          <cell r="C8">
            <v>0</v>
          </cell>
          <cell r="D8">
            <v>184.9</v>
          </cell>
          <cell r="E8">
            <v>0</v>
          </cell>
          <cell r="F8">
            <v>0</v>
          </cell>
          <cell r="G8">
            <v>0</v>
          </cell>
          <cell r="H8">
            <v>0</v>
          </cell>
          <cell r="I8">
            <v>1174.9000000000001</v>
          </cell>
          <cell r="J8">
            <v>47</v>
          </cell>
          <cell r="K8">
            <v>24</v>
          </cell>
          <cell r="L8">
            <v>24</v>
          </cell>
          <cell r="M8">
            <v>22.1</v>
          </cell>
          <cell r="N8">
            <v>102.1</v>
          </cell>
          <cell r="O8">
            <v>126</v>
          </cell>
          <cell r="P8">
            <v>136.4</v>
          </cell>
          <cell r="Q8">
            <v>0</v>
          </cell>
          <cell r="R8">
            <v>0</v>
          </cell>
          <cell r="S8">
            <v>192</v>
          </cell>
          <cell r="T8">
            <v>0</v>
          </cell>
          <cell r="U8">
            <v>0</v>
          </cell>
          <cell r="V8">
            <v>146</v>
          </cell>
          <cell r="W8">
            <v>23</v>
          </cell>
          <cell r="X8">
            <v>332</v>
          </cell>
          <cell r="Y8">
            <v>13</v>
          </cell>
          <cell r="Z8">
            <v>8</v>
          </cell>
          <cell r="AA8">
            <v>8</v>
          </cell>
          <cell r="AB8">
            <v>116</v>
          </cell>
          <cell r="AC8">
            <v>0</v>
          </cell>
          <cell r="AD8">
            <v>300.89999999999998</v>
          </cell>
          <cell r="AE8">
            <v>173.6</v>
          </cell>
          <cell r="AF8">
            <v>597</v>
          </cell>
          <cell r="AG8">
            <v>12</v>
          </cell>
          <cell r="AH8">
            <v>102</v>
          </cell>
          <cell r="AI8">
            <v>110</v>
          </cell>
          <cell r="AJ8">
            <v>151</v>
          </cell>
          <cell r="AK8">
            <v>161</v>
          </cell>
          <cell r="AL8">
            <v>257</v>
          </cell>
          <cell r="AM8">
            <v>22</v>
          </cell>
          <cell r="AN8">
            <v>239</v>
          </cell>
          <cell r="AO8">
            <v>21</v>
          </cell>
          <cell r="AP8">
            <v>445</v>
          </cell>
          <cell r="AQ8">
            <v>186</v>
          </cell>
          <cell r="AR8">
            <v>775</v>
          </cell>
          <cell r="AS8">
            <v>37</v>
          </cell>
          <cell r="AT8">
            <v>41</v>
          </cell>
          <cell r="AU8">
            <v>41</v>
          </cell>
          <cell r="AV8">
            <v>25</v>
          </cell>
          <cell r="AW8">
            <v>105</v>
          </cell>
          <cell r="AX8">
            <v>118</v>
          </cell>
          <cell r="AY8">
            <v>151</v>
          </cell>
          <cell r="AZ8">
            <v>182</v>
          </cell>
          <cell r="BA8">
            <v>257</v>
          </cell>
          <cell r="BB8">
            <v>293</v>
          </cell>
          <cell r="BC8">
            <v>22</v>
          </cell>
          <cell r="BD8">
            <v>25</v>
          </cell>
          <cell r="BE8">
            <v>25</v>
          </cell>
          <cell r="BF8">
            <v>25</v>
          </cell>
          <cell r="BG8">
            <v>0</v>
          </cell>
          <cell r="BH8">
            <v>445</v>
          </cell>
          <cell r="BI8">
            <v>38</v>
          </cell>
          <cell r="BJ8" t="str">
            <v>2348</v>
          </cell>
          <cell r="BK8" t="str">
            <v>5716</v>
          </cell>
          <cell r="BL8" t="str">
            <v>3500</v>
          </cell>
          <cell r="BM8">
            <v>30</v>
          </cell>
          <cell r="BN8">
            <v>65</v>
          </cell>
          <cell r="BO8">
            <v>188</v>
          </cell>
          <cell r="BP8">
            <v>188</v>
          </cell>
          <cell r="BQ8">
            <v>215.9</v>
          </cell>
          <cell r="BR8">
            <v>37.5</v>
          </cell>
          <cell r="BS8">
            <v>210.5</v>
          </cell>
          <cell r="BT8">
            <v>194</v>
          </cell>
          <cell r="BU8">
            <v>2178</v>
          </cell>
          <cell r="BV8">
            <v>105</v>
          </cell>
          <cell r="BW8">
            <v>105</v>
          </cell>
          <cell r="BX8">
            <v>117</v>
          </cell>
          <cell r="BY8">
            <v>37</v>
          </cell>
        </row>
        <row r="9">
          <cell r="B9">
            <v>49.472287020000003</v>
          </cell>
          <cell r="C9">
            <v>0</v>
          </cell>
          <cell r="D9">
            <v>184.9</v>
          </cell>
          <cell r="E9">
            <v>0</v>
          </cell>
          <cell r="F9">
            <v>0</v>
          </cell>
          <cell r="G9">
            <v>0</v>
          </cell>
          <cell r="H9">
            <v>0</v>
          </cell>
          <cell r="I9">
            <v>1174.9000000000001</v>
          </cell>
          <cell r="J9">
            <v>47</v>
          </cell>
          <cell r="K9">
            <v>24</v>
          </cell>
          <cell r="L9">
            <v>24</v>
          </cell>
          <cell r="M9">
            <v>22.1</v>
          </cell>
          <cell r="N9">
            <v>102.1</v>
          </cell>
          <cell r="O9">
            <v>126</v>
          </cell>
          <cell r="P9">
            <v>136.4</v>
          </cell>
          <cell r="Q9">
            <v>0</v>
          </cell>
          <cell r="R9">
            <v>0</v>
          </cell>
          <cell r="S9">
            <v>192</v>
          </cell>
          <cell r="T9">
            <v>0</v>
          </cell>
          <cell r="U9">
            <v>0</v>
          </cell>
          <cell r="V9">
            <v>146</v>
          </cell>
          <cell r="W9">
            <v>23</v>
          </cell>
          <cell r="X9">
            <v>332</v>
          </cell>
          <cell r="Y9">
            <v>13</v>
          </cell>
          <cell r="Z9">
            <v>8</v>
          </cell>
          <cell r="AA9">
            <v>8</v>
          </cell>
          <cell r="AB9">
            <v>103</v>
          </cell>
          <cell r="AC9">
            <v>0</v>
          </cell>
          <cell r="AD9">
            <v>300.89999999999998</v>
          </cell>
          <cell r="AE9">
            <v>173.6</v>
          </cell>
          <cell r="AF9">
            <v>597</v>
          </cell>
          <cell r="AG9">
            <v>12</v>
          </cell>
          <cell r="AH9">
            <v>102</v>
          </cell>
          <cell r="AI9">
            <v>110</v>
          </cell>
          <cell r="AJ9">
            <v>151</v>
          </cell>
          <cell r="AK9">
            <v>161</v>
          </cell>
          <cell r="AL9">
            <v>257</v>
          </cell>
          <cell r="AM9">
            <v>22</v>
          </cell>
          <cell r="AN9">
            <v>239</v>
          </cell>
          <cell r="AO9">
            <v>21</v>
          </cell>
          <cell r="AP9">
            <v>445</v>
          </cell>
          <cell r="AQ9">
            <v>186</v>
          </cell>
          <cell r="AR9">
            <v>775</v>
          </cell>
          <cell r="AS9">
            <v>37</v>
          </cell>
          <cell r="AT9">
            <v>41</v>
          </cell>
          <cell r="AU9">
            <v>41</v>
          </cell>
          <cell r="AV9">
            <v>25</v>
          </cell>
          <cell r="AW9">
            <v>105</v>
          </cell>
          <cell r="AX9">
            <v>118</v>
          </cell>
          <cell r="AY9">
            <v>151</v>
          </cell>
          <cell r="AZ9">
            <v>182</v>
          </cell>
          <cell r="BA9">
            <v>257</v>
          </cell>
          <cell r="BB9">
            <v>293</v>
          </cell>
          <cell r="BC9">
            <v>22</v>
          </cell>
          <cell r="BD9">
            <v>25</v>
          </cell>
          <cell r="BE9">
            <v>25</v>
          </cell>
          <cell r="BF9">
            <v>25</v>
          </cell>
          <cell r="BG9">
            <v>0</v>
          </cell>
          <cell r="BH9">
            <v>445</v>
          </cell>
          <cell r="BI9">
            <v>38</v>
          </cell>
          <cell r="BJ9" t="str">
            <v>2348</v>
          </cell>
          <cell r="BK9" t="str">
            <v>5716</v>
          </cell>
          <cell r="BL9" t="str">
            <v>3500</v>
          </cell>
          <cell r="BM9">
            <v>30</v>
          </cell>
          <cell r="BN9">
            <v>65</v>
          </cell>
          <cell r="BO9">
            <v>188</v>
          </cell>
          <cell r="BP9">
            <v>188</v>
          </cell>
          <cell r="BQ9">
            <v>215.9</v>
          </cell>
          <cell r="BR9">
            <v>37.5</v>
          </cell>
          <cell r="BS9">
            <v>210.5</v>
          </cell>
          <cell r="BT9">
            <v>194</v>
          </cell>
          <cell r="BU9">
            <v>2178</v>
          </cell>
          <cell r="BV9">
            <v>105</v>
          </cell>
          <cell r="BW9">
            <v>105</v>
          </cell>
          <cell r="BX9">
            <v>117</v>
          </cell>
          <cell r="BY9">
            <v>37</v>
          </cell>
        </row>
        <row r="10">
          <cell r="B10">
            <v>47.28359004</v>
          </cell>
          <cell r="C10">
            <v>0</v>
          </cell>
          <cell r="D10">
            <v>185.3</v>
          </cell>
          <cell r="E10">
            <v>0</v>
          </cell>
          <cell r="F10">
            <v>0</v>
          </cell>
          <cell r="G10">
            <v>0</v>
          </cell>
          <cell r="H10">
            <v>0</v>
          </cell>
          <cell r="I10">
            <v>1174.9000000000001</v>
          </cell>
          <cell r="J10">
            <v>47</v>
          </cell>
          <cell r="K10">
            <v>33</v>
          </cell>
          <cell r="L10">
            <v>33</v>
          </cell>
          <cell r="M10">
            <v>24.6</v>
          </cell>
          <cell r="N10">
            <v>103.1</v>
          </cell>
          <cell r="O10">
            <v>132</v>
          </cell>
          <cell r="P10">
            <v>137.19999999999999</v>
          </cell>
          <cell r="Q10">
            <v>0</v>
          </cell>
          <cell r="R10">
            <v>0</v>
          </cell>
          <cell r="S10">
            <v>192</v>
          </cell>
          <cell r="T10">
            <v>0</v>
          </cell>
          <cell r="U10">
            <v>0</v>
          </cell>
          <cell r="V10">
            <v>146</v>
          </cell>
          <cell r="W10">
            <v>23</v>
          </cell>
          <cell r="X10">
            <v>336</v>
          </cell>
          <cell r="Y10">
            <v>16</v>
          </cell>
          <cell r="Z10">
            <v>13.7</v>
          </cell>
          <cell r="AA10">
            <v>13.7</v>
          </cell>
          <cell r="AB10">
            <v>108</v>
          </cell>
          <cell r="AC10">
            <v>0</v>
          </cell>
          <cell r="AD10">
            <v>300.89999999999998</v>
          </cell>
          <cell r="AE10">
            <v>173.6</v>
          </cell>
          <cell r="AF10">
            <v>597</v>
          </cell>
          <cell r="AG10">
            <v>12</v>
          </cell>
          <cell r="AH10">
            <v>102</v>
          </cell>
          <cell r="AI10">
            <v>110</v>
          </cell>
          <cell r="AJ10">
            <v>151</v>
          </cell>
          <cell r="AK10">
            <v>161</v>
          </cell>
          <cell r="AL10">
            <v>257</v>
          </cell>
          <cell r="AM10">
            <v>22</v>
          </cell>
          <cell r="AN10">
            <v>239</v>
          </cell>
          <cell r="AO10">
            <v>21</v>
          </cell>
          <cell r="AP10">
            <v>445</v>
          </cell>
          <cell r="AQ10">
            <v>186</v>
          </cell>
          <cell r="AR10">
            <v>775</v>
          </cell>
          <cell r="AS10">
            <v>37</v>
          </cell>
          <cell r="AT10">
            <v>41</v>
          </cell>
          <cell r="AU10">
            <v>41</v>
          </cell>
          <cell r="AV10">
            <v>25</v>
          </cell>
          <cell r="AW10">
            <v>105</v>
          </cell>
          <cell r="AX10">
            <v>118</v>
          </cell>
          <cell r="AY10">
            <v>151</v>
          </cell>
          <cell r="AZ10">
            <v>182</v>
          </cell>
          <cell r="BA10">
            <v>257</v>
          </cell>
          <cell r="BB10">
            <v>293</v>
          </cell>
          <cell r="BC10">
            <v>22</v>
          </cell>
          <cell r="BD10">
            <v>25</v>
          </cell>
          <cell r="BE10">
            <v>25</v>
          </cell>
          <cell r="BF10">
            <v>25</v>
          </cell>
          <cell r="BG10">
            <v>0</v>
          </cell>
          <cell r="BH10">
            <v>445</v>
          </cell>
          <cell r="BI10">
            <v>38</v>
          </cell>
          <cell r="BJ10" t="str">
            <v>2348</v>
          </cell>
          <cell r="BK10" t="str">
            <v>5716</v>
          </cell>
          <cell r="BL10" t="str">
            <v>3500</v>
          </cell>
          <cell r="BM10">
            <v>30</v>
          </cell>
          <cell r="BN10">
            <v>65</v>
          </cell>
          <cell r="BO10">
            <v>188</v>
          </cell>
          <cell r="BP10">
            <v>188</v>
          </cell>
          <cell r="BQ10">
            <v>215.9</v>
          </cell>
          <cell r="BR10">
            <v>37.5</v>
          </cell>
          <cell r="BS10">
            <v>210.5</v>
          </cell>
          <cell r="BT10">
            <v>194</v>
          </cell>
          <cell r="BU10">
            <v>2178</v>
          </cell>
          <cell r="BV10">
            <v>105</v>
          </cell>
          <cell r="BW10">
            <v>105</v>
          </cell>
          <cell r="BX10">
            <v>118</v>
          </cell>
          <cell r="BY10">
            <v>37</v>
          </cell>
        </row>
      </sheetData>
      <sheetData sheetId="6" refreshError="1"/>
      <sheetData sheetId="7" refreshError="1"/>
      <sheetData sheetId="8" refreshError="1"/>
      <sheetData sheetId="9" refreshError="1"/>
      <sheetData sheetId="10"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angeLog"/>
      <sheetName val="Refresh"/>
      <sheetName val="FlowPath"/>
      <sheetName val="Productivity"/>
      <sheetName val="ProdCalcs"/>
      <sheetName val="RateQuery"/>
      <sheetName val="DataClerkQuery"/>
      <sheetName val="ProdQuery3"/>
      <sheetName val="ProdQuery2"/>
      <sheetName val="ShiftAnalysis"/>
      <sheetName val="ProdQue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4">
          <cell r="A4">
            <v>37985</v>
          </cell>
          <cell r="B4" t="str">
            <v>Picking</v>
          </cell>
          <cell r="E4">
            <v>0</v>
          </cell>
          <cell r="F4">
            <v>0</v>
          </cell>
          <cell r="G4">
            <v>0</v>
          </cell>
          <cell r="H4">
            <v>0</v>
          </cell>
          <cell r="I4">
            <v>0</v>
          </cell>
          <cell r="L4">
            <v>0</v>
          </cell>
          <cell r="M4">
            <v>0</v>
          </cell>
          <cell r="N4">
            <v>0</v>
          </cell>
          <cell r="S4">
            <v>0</v>
          </cell>
          <cell r="T4">
            <v>0</v>
          </cell>
          <cell r="U4">
            <v>0</v>
          </cell>
          <cell r="W4">
            <v>0</v>
          </cell>
          <cell r="X4">
            <v>0</v>
          </cell>
        </row>
        <row r="5">
          <cell r="A5">
            <v>37985</v>
          </cell>
          <cell r="B5" t="str">
            <v>Replenishment</v>
          </cell>
          <cell r="E5">
            <v>0</v>
          </cell>
          <cell r="F5">
            <v>0</v>
          </cell>
          <cell r="G5">
            <v>0</v>
          </cell>
          <cell r="H5">
            <v>0</v>
          </cell>
          <cell r="I5">
            <v>0</v>
          </cell>
          <cell r="L5">
            <v>0</v>
          </cell>
          <cell r="M5">
            <v>0</v>
          </cell>
          <cell r="N5">
            <v>0</v>
          </cell>
          <cell r="S5">
            <v>0</v>
          </cell>
          <cell r="T5">
            <v>0</v>
          </cell>
          <cell r="U5">
            <v>0</v>
          </cell>
          <cell r="W5">
            <v>0</v>
          </cell>
          <cell r="X5">
            <v>0</v>
          </cell>
        </row>
        <row r="6">
          <cell r="A6">
            <v>37985</v>
          </cell>
          <cell r="B6" t="str">
            <v>Sortation</v>
          </cell>
          <cell r="E6">
            <v>0</v>
          </cell>
          <cell r="F6">
            <v>0</v>
          </cell>
          <cell r="G6">
            <v>0</v>
          </cell>
          <cell r="H6">
            <v>0</v>
          </cell>
          <cell r="I6">
            <v>0</v>
          </cell>
          <cell r="L6">
            <v>0</v>
          </cell>
          <cell r="M6">
            <v>0</v>
          </cell>
          <cell r="N6">
            <v>0</v>
          </cell>
          <cell r="S6">
            <v>0</v>
          </cell>
          <cell r="T6">
            <v>0</v>
          </cell>
          <cell r="U6">
            <v>0</v>
          </cell>
          <cell r="W6">
            <v>0</v>
          </cell>
          <cell r="X6">
            <v>0</v>
          </cell>
        </row>
        <row r="7">
          <cell r="A7">
            <v>37985</v>
          </cell>
          <cell r="B7" t="str">
            <v>Rebin</v>
          </cell>
          <cell r="E7">
            <v>0</v>
          </cell>
          <cell r="F7">
            <v>0</v>
          </cell>
          <cell r="G7">
            <v>0</v>
          </cell>
          <cell r="H7">
            <v>0</v>
          </cell>
          <cell r="I7">
            <v>0</v>
          </cell>
          <cell r="L7">
            <v>0</v>
          </cell>
          <cell r="M7">
            <v>0</v>
          </cell>
          <cell r="N7">
            <v>0</v>
          </cell>
          <cell r="S7">
            <v>0</v>
          </cell>
          <cell r="T7">
            <v>0</v>
          </cell>
          <cell r="U7">
            <v>0</v>
          </cell>
          <cell r="W7">
            <v>0</v>
          </cell>
          <cell r="X7">
            <v>0</v>
          </cell>
        </row>
        <row r="8">
          <cell r="A8">
            <v>37985</v>
          </cell>
          <cell r="B8" t="str">
            <v>Stack</v>
          </cell>
          <cell r="E8">
            <v>0</v>
          </cell>
          <cell r="F8">
            <v>0</v>
          </cell>
          <cell r="G8">
            <v>0</v>
          </cell>
          <cell r="H8">
            <v>0</v>
          </cell>
          <cell r="I8">
            <v>0</v>
          </cell>
          <cell r="L8">
            <v>0</v>
          </cell>
          <cell r="M8">
            <v>0</v>
          </cell>
          <cell r="N8">
            <v>0</v>
          </cell>
          <cell r="S8">
            <v>0</v>
          </cell>
          <cell r="T8">
            <v>0</v>
          </cell>
          <cell r="U8">
            <v>0</v>
          </cell>
          <cell r="W8">
            <v>0</v>
          </cell>
          <cell r="X8">
            <v>0</v>
          </cell>
        </row>
        <row r="9">
          <cell r="A9">
            <v>37985</v>
          </cell>
          <cell r="B9" t="str">
            <v>Bundler</v>
          </cell>
          <cell r="E9">
            <v>0</v>
          </cell>
          <cell r="F9">
            <v>0</v>
          </cell>
          <cell r="G9">
            <v>0</v>
          </cell>
          <cell r="H9">
            <v>0</v>
          </cell>
          <cell r="I9">
            <v>0</v>
          </cell>
          <cell r="L9">
            <v>0</v>
          </cell>
          <cell r="M9">
            <v>0</v>
          </cell>
          <cell r="N9">
            <v>0</v>
          </cell>
          <cell r="S9">
            <v>0</v>
          </cell>
          <cell r="T9">
            <v>0</v>
          </cell>
          <cell r="U9">
            <v>0</v>
          </cell>
          <cell r="W9">
            <v>0</v>
          </cell>
          <cell r="X9">
            <v>0</v>
          </cell>
        </row>
        <row r="10">
          <cell r="A10">
            <v>37985</v>
          </cell>
          <cell r="B10" t="str">
            <v>Shipping</v>
          </cell>
          <cell r="E10">
            <v>0</v>
          </cell>
          <cell r="F10">
            <v>0</v>
          </cell>
          <cell r="G10">
            <v>0</v>
          </cell>
          <cell r="H10">
            <v>0</v>
          </cell>
          <cell r="I10">
            <v>0</v>
          </cell>
          <cell r="L10">
            <v>0</v>
          </cell>
          <cell r="M10">
            <v>0</v>
          </cell>
          <cell r="N10">
            <v>0</v>
          </cell>
          <cell r="S10">
            <v>0</v>
          </cell>
          <cell r="T10">
            <v>0</v>
          </cell>
          <cell r="U10">
            <v>0</v>
          </cell>
          <cell r="W10">
            <v>0</v>
          </cell>
          <cell r="X10">
            <v>0</v>
          </cell>
        </row>
        <row r="11">
          <cell r="A11">
            <v>37985</v>
          </cell>
          <cell r="B11" t="str">
            <v>Autobox</v>
          </cell>
          <cell r="E11">
            <v>0</v>
          </cell>
          <cell r="F11">
            <v>0</v>
          </cell>
          <cell r="G11">
            <v>0</v>
          </cell>
          <cell r="H11">
            <v>0</v>
          </cell>
          <cell r="I11">
            <v>0</v>
          </cell>
          <cell r="L11">
            <v>0</v>
          </cell>
          <cell r="M11">
            <v>0</v>
          </cell>
          <cell r="N11">
            <v>0</v>
          </cell>
          <cell r="S11">
            <v>0</v>
          </cell>
          <cell r="T11">
            <v>0</v>
          </cell>
          <cell r="U11">
            <v>0</v>
          </cell>
          <cell r="W11">
            <v>0</v>
          </cell>
          <cell r="X11">
            <v>0</v>
          </cell>
        </row>
        <row r="12">
          <cell r="A12">
            <v>37985</v>
          </cell>
          <cell r="B12" t="str">
            <v>Levimatic</v>
          </cell>
          <cell r="E12">
            <v>0</v>
          </cell>
          <cell r="F12">
            <v>0</v>
          </cell>
          <cell r="G12">
            <v>0</v>
          </cell>
          <cell r="H12">
            <v>0</v>
          </cell>
          <cell r="I12">
            <v>0</v>
          </cell>
          <cell r="L12">
            <v>0</v>
          </cell>
          <cell r="M12">
            <v>0</v>
          </cell>
          <cell r="N12">
            <v>0</v>
          </cell>
          <cell r="S12">
            <v>0</v>
          </cell>
          <cell r="T12">
            <v>0</v>
          </cell>
          <cell r="U12">
            <v>0</v>
          </cell>
          <cell r="W12">
            <v>0</v>
          </cell>
          <cell r="X12">
            <v>0</v>
          </cell>
        </row>
        <row r="13">
          <cell r="A13">
            <v>37985</v>
          </cell>
          <cell r="B13" t="str">
            <v>Giftwrap</v>
          </cell>
          <cell r="E13">
            <v>0</v>
          </cell>
          <cell r="F13">
            <v>0</v>
          </cell>
          <cell r="G13">
            <v>0</v>
          </cell>
          <cell r="H13">
            <v>0</v>
          </cell>
          <cell r="I13">
            <v>0</v>
          </cell>
          <cell r="L13">
            <v>0</v>
          </cell>
          <cell r="M13">
            <v>0</v>
          </cell>
          <cell r="N13">
            <v>0</v>
          </cell>
          <cell r="S13">
            <v>0</v>
          </cell>
          <cell r="T13">
            <v>0</v>
          </cell>
          <cell r="U13">
            <v>0</v>
          </cell>
          <cell r="W13">
            <v>0</v>
          </cell>
          <cell r="X13">
            <v>0</v>
          </cell>
        </row>
        <row r="14">
          <cell r="A14">
            <v>37985</v>
          </cell>
          <cell r="B14" t="str">
            <v>ShipSupport</v>
          </cell>
          <cell r="E14">
            <v>0</v>
          </cell>
          <cell r="F14">
            <v>0</v>
          </cell>
          <cell r="G14">
            <v>0</v>
          </cell>
          <cell r="H14">
            <v>0</v>
          </cell>
          <cell r="I14">
            <v>0</v>
          </cell>
          <cell r="L14">
            <v>0</v>
          </cell>
          <cell r="M14">
            <v>0</v>
          </cell>
          <cell r="N14">
            <v>0</v>
          </cell>
          <cell r="S14">
            <v>0</v>
          </cell>
          <cell r="T14">
            <v>0</v>
          </cell>
          <cell r="U14">
            <v>0</v>
          </cell>
          <cell r="W14">
            <v>0</v>
          </cell>
          <cell r="X14">
            <v>0</v>
          </cell>
        </row>
        <row r="15">
          <cell r="A15">
            <v>37985</v>
          </cell>
          <cell r="B15" t="str">
            <v>CReturns</v>
          </cell>
          <cell r="E15">
            <v>24</v>
          </cell>
          <cell r="F15">
            <v>0</v>
          </cell>
          <cell r="G15">
            <v>542</v>
          </cell>
          <cell r="H15">
            <v>0</v>
          </cell>
          <cell r="I15">
            <v>0</v>
          </cell>
          <cell r="L15">
            <v>0</v>
          </cell>
          <cell r="M15">
            <v>0</v>
          </cell>
          <cell r="N15">
            <v>0</v>
          </cell>
          <cell r="S15">
            <v>0</v>
          </cell>
          <cell r="T15">
            <v>0</v>
          </cell>
          <cell r="U15">
            <v>0</v>
          </cell>
          <cell r="W15">
            <v>0</v>
          </cell>
          <cell r="X15">
            <v>0</v>
          </cell>
        </row>
        <row r="16">
          <cell r="A16">
            <v>37985</v>
          </cell>
          <cell r="B16" t="str">
            <v>Vreturns</v>
          </cell>
          <cell r="E16">
            <v>70</v>
          </cell>
          <cell r="F16">
            <v>0</v>
          </cell>
          <cell r="G16">
            <v>6991</v>
          </cell>
          <cell r="H16">
            <v>0</v>
          </cell>
          <cell r="I16">
            <v>0</v>
          </cell>
          <cell r="L16">
            <v>0</v>
          </cell>
          <cell r="M16">
            <v>0</v>
          </cell>
          <cell r="N16">
            <v>0</v>
          </cell>
          <cell r="S16">
            <v>0</v>
          </cell>
          <cell r="T16">
            <v>0</v>
          </cell>
          <cell r="U16">
            <v>0</v>
          </cell>
          <cell r="W16">
            <v>0</v>
          </cell>
          <cell r="X16">
            <v>0</v>
          </cell>
        </row>
        <row r="17">
          <cell r="A17">
            <v>37985</v>
          </cell>
          <cell r="B17" t="str">
            <v>InventoryControl</v>
          </cell>
          <cell r="E17">
            <v>0</v>
          </cell>
          <cell r="F17">
            <v>0</v>
          </cell>
          <cell r="G17">
            <v>0</v>
          </cell>
          <cell r="H17">
            <v>0</v>
          </cell>
          <cell r="I17">
            <v>0</v>
          </cell>
          <cell r="L17">
            <v>0</v>
          </cell>
          <cell r="M17">
            <v>0</v>
          </cell>
          <cell r="N17">
            <v>0</v>
          </cell>
          <cell r="S17">
            <v>0</v>
          </cell>
          <cell r="T17">
            <v>0</v>
          </cell>
          <cell r="U17">
            <v>0</v>
          </cell>
          <cell r="W17">
            <v>0</v>
          </cell>
          <cell r="X17">
            <v>0</v>
          </cell>
        </row>
        <row r="18">
          <cell r="A18">
            <v>37985</v>
          </cell>
          <cell r="B18" t="str">
            <v>QA</v>
          </cell>
          <cell r="E18">
            <v>0</v>
          </cell>
          <cell r="F18">
            <v>0</v>
          </cell>
          <cell r="G18">
            <v>0</v>
          </cell>
          <cell r="H18">
            <v>0</v>
          </cell>
          <cell r="I18">
            <v>0</v>
          </cell>
          <cell r="L18">
            <v>0</v>
          </cell>
          <cell r="M18">
            <v>0</v>
          </cell>
          <cell r="N18">
            <v>0</v>
          </cell>
          <cell r="S18">
            <v>0</v>
          </cell>
          <cell r="T18">
            <v>0</v>
          </cell>
          <cell r="U18">
            <v>0</v>
          </cell>
          <cell r="W18">
            <v>0</v>
          </cell>
          <cell r="X18">
            <v>0</v>
          </cell>
        </row>
        <row r="19">
          <cell r="A19">
            <v>37985</v>
          </cell>
          <cell r="B19" t="str">
            <v>BMV Receive</v>
          </cell>
          <cell r="E19">
            <v>318.57998657227</v>
          </cell>
          <cell r="F19">
            <v>57.58</v>
          </cell>
          <cell r="G19">
            <v>71442</v>
          </cell>
          <cell r="H19">
            <v>51326</v>
          </cell>
          <cell r="I19">
            <v>0</v>
          </cell>
          <cell r="L19">
            <v>237</v>
          </cell>
          <cell r="M19">
            <v>0</v>
          </cell>
          <cell r="N19">
            <v>24</v>
          </cell>
          <cell r="S19">
            <v>0</v>
          </cell>
          <cell r="T19">
            <v>52</v>
          </cell>
          <cell r="U19">
            <v>0</v>
          </cell>
          <cell r="W19">
            <v>0</v>
          </cell>
          <cell r="X19">
            <v>0</v>
          </cell>
        </row>
        <row r="20">
          <cell r="A20">
            <v>37985</v>
          </cell>
          <cell r="B20" t="str">
            <v>Picking</v>
          </cell>
          <cell r="E20">
            <v>0</v>
          </cell>
          <cell r="F20">
            <v>0</v>
          </cell>
          <cell r="G20">
            <v>0</v>
          </cell>
          <cell r="H20">
            <v>0</v>
          </cell>
          <cell r="I20">
            <v>0</v>
          </cell>
          <cell r="L20">
            <v>0</v>
          </cell>
          <cell r="M20">
            <v>0</v>
          </cell>
          <cell r="N20">
            <v>0</v>
          </cell>
          <cell r="S20">
            <v>0</v>
          </cell>
          <cell r="T20">
            <v>0</v>
          </cell>
          <cell r="U20">
            <v>0</v>
          </cell>
          <cell r="W20">
            <v>0</v>
          </cell>
          <cell r="X20">
            <v>0</v>
          </cell>
        </row>
        <row r="21">
          <cell r="A21">
            <v>37985</v>
          </cell>
          <cell r="B21" t="str">
            <v>BMV Stow</v>
          </cell>
          <cell r="E21">
            <v>122</v>
          </cell>
          <cell r="F21">
            <v>0</v>
          </cell>
          <cell r="G21">
            <v>57798</v>
          </cell>
          <cell r="H21">
            <v>44103</v>
          </cell>
          <cell r="I21">
            <v>13695</v>
          </cell>
          <cell r="L21">
            <v>112</v>
          </cell>
          <cell r="M21">
            <v>10</v>
          </cell>
          <cell r="N21">
            <v>0</v>
          </cell>
          <cell r="S21">
            <v>0</v>
          </cell>
          <cell r="T21">
            <v>0</v>
          </cell>
          <cell r="U21">
            <v>0</v>
          </cell>
          <cell r="W21">
            <v>0</v>
          </cell>
          <cell r="X21">
            <v>0</v>
          </cell>
        </row>
        <row r="22">
          <cell r="A22">
            <v>37985</v>
          </cell>
          <cell r="B22" t="str">
            <v>Replenishment</v>
          </cell>
          <cell r="E22">
            <v>71.5</v>
          </cell>
          <cell r="F22">
            <v>0</v>
          </cell>
          <cell r="G22">
            <v>1559</v>
          </cell>
          <cell r="H22">
            <v>0</v>
          </cell>
          <cell r="I22">
            <v>0</v>
          </cell>
          <cell r="L22">
            <v>0</v>
          </cell>
          <cell r="M22">
            <v>0</v>
          </cell>
          <cell r="N22">
            <v>0</v>
          </cell>
          <cell r="S22">
            <v>0</v>
          </cell>
          <cell r="T22">
            <v>0</v>
          </cell>
          <cell r="U22">
            <v>0</v>
          </cell>
          <cell r="W22">
            <v>0</v>
          </cell>
          <cell r="X22">
            <v>0</v>
          </cell>
        </row>
        <row r="23">
          <cell r="A23">
            <v>37984</v>
          </cell>
          <cell r="B23" t="str">
            <v>Sortation</v>
          </cell>
          <cell r="E23">
            <v>261.91666412353999</v>
          </cell>
          <cell r="F23">
            <v>0</v>
          </cell>
          <cell r="G23">
            <v>0</v>
          </cell>
          <cell r="H23">
            <v>0</v>
          </cell>
          <cell r="I23">
            <v>0</v>
          </cell>
          <cell r="L23">
            <v>0</v>
          </cell>
          <cell r="M23">
            <v>0</v>
          </cell>
          <cell r="N23">
            <v>0</v>
          </cell>
          <cell r="S23">
            <v>0</v>
          </cell>
          <cell r="T23">
            <v>0</v>
          </cell>
          <cell r="U23">
            <v>0</v>
          </cell>
          <cell r="W23">
            <v>-9.4833300000000005</v>
          </cell>
          <cell r="X23">
            <v>0</v>
          </cell>
        </row>
        <row r="24">
          <cell r="A24">
            <v>37984</v>
          </cell>
          <cell r="B24" t="str">
            <v>Rebin</v>
          </cell>
          <cell r="E24">
            <v>115.40000152588</v>
          </cell>
          <cell r="F24">
            <v>30</v>
          </cell>
          <cell r="G24">
            <v>24447</v>
          </cell>
          <cell r="H24">
            <v>0</v>
          </cell>
          <cell r="I24">
            <v>0</v>
          </cell>
          <cell r="L24">
            <v>0</v>
          </cell>
          <cell r="M24">
            <v>0</v>
          </cell>
          <cell r="N24">
            <v>0</v>
          </cell>
          <cell r="S24">
            <v>0</v>
          </cell>
          <cell r="T24">
            <v>0</v>
          </cell>
          <cell r="U24">
            <v>0</v>
          </cell>
          <cell r="W24">
            <v>0</v>
          </cell>
          <cell r="X24">
            <v>0</v>
          </cell>
        </row>
        <row r="25">
          <cell r="A25">
            <v>37984</v>
          </cell>
          <cell r="B25" t="str">
            <v>Stack</v>
          </cell>
          <cell r="E25">
            <v>101</v>
          </cell>
          <cell r="F25">
            <v>0</v>
          </cell>
          <cell r="G25">
            <v>17910</v>
          </cell>
          <cell r="H25">
            <v>0</v>
          </cell>
          <cell r="I25">
            <v>0</v>
          </cell>
          <cell r="L25">
            <v>0</v>
          </cell>
          <cell r="M25">
            <v>0</v>
          </cell>
          <cell r="N25">
            <v>0</v>
          </cell>
          <cell r="S25">
            <v>4507</v>
          </cell>
          <cell r="T25">
            <v>0</v>
          </cell>
          <cell r="U25">
            <v>0</v>
          </cell>
          <cell r="W25">
            <v>0</v>
          </cell>
          <cell r="X25">
            <v>0</v>
          </cell>
        </row>
        <row r="26">
          <cell r="A26">
            <v>37984</v>
          </cell>
          <cell r="B26" t="str">
            <v>Bundler</v>
          </cell>
          <cell r="E26">
            <v>45.516670227051002</v>
          </cell>
          <cell r="F26">
            <v>0</v>
          </cell>
          <cell r="G26">
            <v>17910</v>
          </cell>
          <cell r="H26">
            <v>0</v>
          </cell>
          <cell r="I26">
            <v>0</v>
          </cell>
          <cell r="L26">
            <v>0</v>
          </cell>
          <cell r="M26">
            <v>0</v>
          </cell>
          <cell r="N26">
            <v>0</v>
          </cell>
          <cell r="S26">
            <v>0</v>
          </cell>
          <cell r="T26">
            <v>0</v>
          </cell>
          <cell r="U26">
            <v>0</v>
          </cell>
          <cell r="W26">
            <v>-9.4833300000000005</v>
          </cell>
          <cell r="X26">
            <v>6898</v>
          </cell>
        </row>
        <row r="27">
          <cell r="A27">
            <v>37984</v>
          </cell>
          <cell r="B27" t="str">
            <v>QA</v>
          </cell>
          <cell r="E27">
            <v>89.583343505859006</v>
          </cell>
          <cell r="F27">
            <v>0</v>
          </cell>
          <cell r="G27">
            <v>0</v>
          </cell>
          <cell r="H27">
            <v>0</v>
          </cell>
          <cell r="I27">
            <v>0</v>
          </cell>
          <cell r="L27">
            <v>0</v>
          </cell>
          <cell r="M27">
            <v>0</v>
          </cell>
          <cell r="N27">
            <v>0</v>
          </cell>
          <cell r="S27">
            <v>0</v>
          </cell>
          <cell r="T27">
            <v>0</v>
          </cell>
          <cell r="U27">
            <v>0</v>
          </cell>
          <cell r="W27">
            <v>20.583300000000001</v>
          </cell>
          <cell r="X27">
            <v>0</v>
          </cell>
        </row>
        <row r="28">
          <cell r="A28">
            <v>37984</v>
          </cell>
          <cell r="B28" t="str">
            <v>Vreturns</v>
          </cell>
          <cell r="E28">
            <v>58.150001525878999</v>
          </cell>
          <cell r="F28">
            <v>0</v>
          </cell>
          <cell r="G28">
            <v>20417</v>
          </cell>
          <cell r="H28">
            <v>0</v>
          </cell>
          <cell r="I28">
            <v>20417</v>
          </cell>
          <cell r="L28">
            <v>0</v>
          </cell>
          <cell r="M28">
            <v>36</v>
          </cell>
          <cell r="N28">
            <v>0</v>
          </cell>
          <cell r="S28">
            <v>0</v>
          </cell>
          <cell r="T28">
            <v>0</v>
          </cell>
          <cell r="U28">
            <v>0</v>
          </cell>
          <cell r="W28">
            <v>0.150002</v>
          </cell>
          <cell r="X28">
            <v>0</v>
          </cell>
        </row>
        <row r="29">
          <cell r="A29">
            <v>37984</v>
          </cell>
          <cell r="B29" t="str">
            <v>CReturns</v>
          </cell>
          <cell r="E29">
            <v>31.89999961853</v>
          </cell>
          <cell r="F29">
            <v>0</v>
          </cell>
          <cell r="G29">
            <v>616</v>
          </cell>
          <cell r="H29">
            <v>413</v>
          </cell>
          <cell r="I29">
            <v>0</v>
          </cell>
          <cell r="L29">
            <v>24</v>
          </cell>
          <cell r="M29">
            <v>0</v>
          </cell>
          <cell r="N29">
            <v>0</v>
          </cell>
          <cell r="S29">
            <v>0</v>
          </cell>
          <cell r="T29">
            <v>0</v>
          </cell>
          <cell r="U29">
            <v>0</v>
          </cell>
          <cell r="W29">
            <v>7.9</v>
          </cell>
          <cell r="X29">
            <v>0</v>
          </cell>
        </row>
        <row r="30">
          <cell r="A30">
            <v>37984</v>
          </cell>
          <cell r="B30" t="str">
            <v>Sortation</v>
          </cell>
          <cell r="E30">
            <v>270.5666809082</v>
          </cell>
          <cell r="F30">
            <v>0</v>
          </cell>
          <cell r="G30">
            <v>0</v>
          </cell>
          <cell r="H30">
            <v>0</v>
          </cell>
          <cell r="I30">
            <v>0</v>
          </cell>
          <cell r="L30">
            <v>0</v>
          </cell>
          <cell r="M30">
            <v>0</v>
          </cell>
          <cell r="N30">
            <v>0</v>
          </cell>
          <cell r="S30">
            <v>0</v>
          </cell>
          <cell r="T30">
            <v>0</v>
          </cell>
          <cell r="U30">
            <v>0</v>
          </cell>
          <cell r="W30">
            <v>2.85669</v>
          </cell>
          <cell r="X30">
            <v>0</v>
          </cell>
        </row>
        <row r="31">
          <cell r="A31">
            <v>37984</v>
          </cell>
          <cell r="B31" t="str">
            <v>Rebin</v>
          </cell>
          <cell r="E31">
            <v>128</v>
          </cell>
          <cell r="F31">
            <v>23</v>
          </cell>
          <cell r="G31">
            <v>27258</v>
          </cell>
          <cell r="H31">
            <v>0</v>
          </cell>
          <cell r="I31">
            <v>0</v>
          </cell>
          <cell r="L31">
            <v>0</v>
          </cell>
          <cell r="M31">
            <v>0</v>
          </cell>
          <cell r="N31">
            <v>0</v>
          </cell>
          <cell r="S31">
            <v>0</v>
          </cell>
          <cell r="T31">
            <v>0</v>
          </cell>
          <cell r="U31">
            <v>0</v>
          </cell>
          <cell r="W31">
            <v>0</v>
          </cell>
          <cell r="X31">
            <v>0</v>
          </cell>
        </row>
        <row r="32">
          <cell r="A32">
            <v>37984</v>
          </cell>
          <cell r="B32" t="str">
            <v>Stack</v>
          </cell>
          <cell r="E32">
            <v>78</v>
          </cell>
          <cell r="F32">
            <v>0</v>
          </cell>
          <cell r="G32">
            <v>14738</v>
          </cell>
          <cell r="H32">
            <v>0</v>
          </cell>
          <cell r="I32">
            <v>0</v>
          </cell>
          <cell r="L32">
            <v>0</v>
          </cell>
          <cell r="M32">
            <v>0</v>
          </cell>
          <cell r="N32">
            <v>0</v>
          </cell>
          <cell r="S32">
            <v>1378</v>
          </cell>
          <cell r="T32">
            <v>0</v>
          </cell>
          <cell r="U32">
            <v>0</v>
          </cell>
          <cell r="W32">
            <v>0</v>
          </cell>
          <cell r="X32">
            <v>0</v>
          </cell>
        </row>
        <row r="33">
          <cell r="A33">
            <v>37984</v>
          </cell>
          <cell r="B33" t="str">
            <v>Bundler</v>
          </cell>
          <cell r="E33">
            <v>64.566689014434999</v>
          </cell>
          <cell r="F33">
            <v>0</v>
          </cell>
          <cell r="G33">
            <v>14738</v>
          </cell>
          <cell r="H33">
            <v>0</v>
          </cell>
          <cell r="I33">
            <v>0</v>
          </cell>
          <cell r="L33">
            <v>0</v>
          </cell>
          <cell r="M33">
            <v>0</v>
          </cell>
          <cell r="N33">
            <v>0</v>
          </cell>
          <cell r="S33">
            <v>0</v>
          </cell>
          <cell r="T33">
            <v>0</v>
          </cell>
          <cell r="U33">
            <v>0</v>
          </cell>
          <cell r="W33">
            <v>2.85669</v>
          </cell>
          <cell r="X33">
            <v>5104</v>
          </cell>
        </row>
        <row r="34">
          <cell r="A34">
            <v>37984</v>
          </cell>
          <cell r="B34" t="str">
            <v>Offsite1Receive</v>
          </cell>
          <cell r="E34">
            <v>64.266662597655994</v>
          </cell>
          <cell r="F34">
            <v>0</v>
          </cell>
          <cell r="G34">
            <v>2038</v>
          </cell>
          <cell r="H34">
            <v>0</v>
          </cell>
          <cell r="I34">
            <v>0</v>
          </cell>
          <cell r="L34">
            <v>0</v>
          </cell>
          <cell r="M34">
            <v>0</v>
          </cell>
          <cell r="N34">
            <v>0</v>
          </cell>
          <cell r="S34">
            <v>0</v>
          </cell>
          <cell r="T34">
            <v>0</v>
          </cell>
          <cell r="U34">
            <v>0</v>
          </cell>
          <cell r="W34">
            <v>0.26666299999999998</v>
          </cell>
          <cell r="X34">
            <v>0</v>
          </cell>
        </row>
        <row r="35">
          <cell r="A35">
            <v>37984</v>
          </cell>
          <cell r="B35" t="str">
            <v>Offsite1Ship</v>
          </cell>
          <cell r="E35">
            <v>288</v>
          </cell>
          <cell r="F35">
            <v>36</v>
          </cell>
          <cell r="G35">
            <v>3033</v>
          </cell>
          <cell r="H35">
            <v>0</v>
          </cell>
          <cell r="I35">
            <v>0</v>
          </cell>
          <cell r="L35">
            <v>0</v>
          </cell>
          <cell r="M35">
            <v>0</v>
          </cell>
          <cell r="N35">
            <v>0</v>
          </cell>
          <cell r="S35">
            <v>0</v>
          </cell>
          <cell r="T35">
            <v>0</v>
          </cell>
          <cell r="U35">
            <v>0</v>
          </cell>
          <cell r="W35">
            <v>0</v>
          </cell>
          <cell r="X35">
            <v>0</v>
          </cell>
        </row>
        <row r="36">
          <cell r="A36">
            <v>37984</v>
          </cell>
          <cell r="B36" t="str">
            <v>Picking</v>
          </cell>
          <cell r="E36">
            <v>457.14999389648</v>
          </cell>
          <cell r="F36">
            <v>44.5</v>
          </cell>
          <cell r="G36">
            <v>51136</v>
          </cell>
          <cell r="H36">
            <v>0</v>
          </cell>
          <cell r="I36">
            <v>0</v>
          </cell>
          <cell r="L36">
            <v>0</v>
          </cell>
          <cell r="M36">
            <v>0</v>
          </cell>
          <cell r="N36">
            <v>0</v>
          </cell>
          <cell r="S36">
            <v>0</v>
          </cell>
          <cell r="T36">
            <v>0</v>
          </cell>
          <cell r="U36">
            <v>0</v>
          </cell>
          <cell r="W36">
            <v>17.649999999999999</v>
          </cell>
          <cell r="X36">
            <v>0</v>
          </cell>
        </row>
        <row r="37">
          <cell r="A37">
            <v>37984</v>
          </cell>
          <cell r="B37" t="str">
            <v>Picking</v>
          </cell>
          <cell r="E37">
            <v>252.63333129883</v>
          </cell>
          <cell r="F37">
            <v>0</v>
          </cell>
          <cell r="G37">
            <v>33602</v>
          </cell>
          <cell r="H37">
            <v>0</v>
          </cell>
          <cell r="I37">
            <v>0</v>
          </cell>
          <cell r="L37">
            <v>0</v>
          </cell>
          <cell r="M37">
            <v>0</v>
          </cell>
          <cell r="N37">
            <v>0</v>
          </cell>
          <cell r="S37">
            <v>0</v>
          </cell>
          <cell r="T37">
            <v>0</v>
          </cell>
          <cell r="U37">
            <v>0</v>
          </cell>
          <cell r="W37">
            <v>-9.8666699999999992</v>
          </cell>
          <cell r="X37">
            <v>0</v>
          </cell>
        </row>
        <row r="38">
          <cell r="A38">
            <v>37984</v>
          </cell>
          <cell r="B38" t="str">
            <v>Shipping</v>
          </cell>
          <cell r="E38">
            <v>344.51666259766</v>
          </cell>
          <cell r="F38">
            <v>0</v>
          </cell>
          <cell r="G38">
            <v>0</v>
          </cell>
          <cell r="H38">
            <v>0</v>
          </cell>
          <cell r="I38">
            <v>0</v>
          </cell>
          <cell r="L38">
            <v>0</v>
          </cell>
          <cell r="M38">
            <v>0</v>
          </cell>
          <cell r="N38">
            <v>0</v>
          </cell>
          <cell r="S38">
            <v>0</v>
          </cell>
          <cell r="T38">
            <v>0</v>
          </cell>
          <cell r="U38">
            <v>0</v>
          </cell>
          <cell r="W38">
            <v>-11.7333</v>
          </cell>
          <cell r="X38">
            <v>13159</v>
          </cell>
        </row>
        <row r="39">
          <cell r="A39">
            <v>37984</v>
          </cell>
          <cell r="B39" t="str">
            <v>Autobox</v>
          </cell>
          <cell r="E39">
            <v>156.5</v>
          </cell>
          <cell r="F39">
            <v>62.5</v>
          </cell>
          <cell r="G39">
            <v>21568</v>
          </cell>
          <cell r="H39">
            <v>0</v>
          </cell>
          <cell r="I39">
            <v>0</v>
          </cell>
          <cell r="L39">
            <v>0</v>
          </cell>
          <cell r="M39">
            <v>0</v>
          </cell>
          <cell r="N39">
            <v>0</v>
          </cell>
          <cell r="S39">
            <v>0</v>
          </cell>
          <cell r="T39">
            <v>0</v>
          </cell>
          <cell r="U39">
            <v>0</v>
          </cell>
          <cell r="W39">
            <v>0</v>
          </cell>
          <cell r="X39">
            <v>0</v>
          </cell>
        </row>
        <row r="40">
          <cell r="A40">
            <v>37984</v>
          </cell>
          <cell r="B40" t="str">
            <v>Levimatic</v>
          </cell>
          <cell r="E40">
            <v>29</v>
          </cell>
          <cell r="F40">
            <v>0</v>
          </cell>
          <cell r="G40">
            <v>5953</v>
          </cell>
          <cell r="H40">
            <v>0</v>
          </cell>
          <cell r="I40">
            <v>0</v>
          </cell>
          <cell r="L40">
            <v>0</v>
          </cell>
          <cell r="M40">
            <v>0</v>
          </cell>
          <cell r="N40">
            <v>0</v>
          </cell>
          <cell r="S40">
            <v>0</v>
          </cell>
          <cell r="T40">
            <v>0</v>
          </cell>
          <cell r="U40">
            <v>0</v>
          </cell>
          <cell r="W40">
            <v>0</v>
          </cell>
          <cell r="X40">
            <v>0</v>
          </cell>
        </row>
        <row r="41">
          <cell r="A41">
            <v>37984</v>
          </cell>
          <cell r="B41" t="str">
            <v>Giftwrap</v>
          </cell>
          <cell r="E41">
            <v>44.5</v>
          </cell>
          <cell r="F41">
            <v>0</v>
          </cell>
          <cell r="G41">
            <v>883</v>
          </cell>
          <cell r="H41">
            <v>0</v>
          </cell>
          <cell r="I41">
            <v>0</v>
          </cell>
          <cell r="L41">
            <v>0</v>
          </cell>
          <cell r="M41">
            <v>0</v>
          </cell>
          <cell r="N41">
            <v>0</v>
          </cell>
          <cell r="S41">
            <v>0</v>
          </cell>
          <cell r="T41">
            <v>0</v>
          </cell>
          <cell r="U41">
            <v>0</v>
          </cell>
          <cell r="W41">
            <v>0</v>
          </cell>
          <cell r="X41">
            <v>0</v>
          </cell>
        </row>
        <row r="42">
          <cell r="A42">
            <v>37984</v>
          </cell>
          <cell r="B42" t="str">
            <v>ShipSupport</v>
          </cell>
          <cell r="E42">
            <v>114.51669979095</v>
          </cell>
          <cell r="F42">
            <v>36</v>
          </cell>
          <cell r="G42">
            <v>0</v>
          </cell>
          <cell r="H42">
            <v>0</v>
          </cell>
          <cell r="I42">
            <v>0</v>
          </cell>
          <cell r="L42">
            <v>0</v>
          </cell>
          <cell r="M42">
            <v>0</v>
          </cell>
          <cell r="N42">
            <v>0</v>
          </cell>
          <cell r="S42">
            <v>0</v>
          </cell>
          <cell r="T42">
            <v>0</v>
          </cell>
          <cell r="U42">
            <v>0</v>
          </cell>
          <cell r="W42">
            <v>-11.7333</v>
          </cell>
          <cell r="X42">
            <v>0</v>
          </cell>
        </row>
        <row r="43">
          <cell r="A43">
            <v>37984</v>
          </cell>
          <cell r="B43" t="str">
            <v>BMV Receive</v>
          </cell>
          <cell r="E43">
            <v>183.75</v>
          </cell>
          <cell r="F43">
            <v>1.5</v>
          </cell>
          <cell r="G43">
            <v>30542</v>
          </cell>
          <cell r="H43">
            <v>30542</v>
          </cell>
          <cell r="I43">
            <v>0</v>
          </cell>
          <cell r="L43">
            <v>162.25</v>
          </cell>
          <cell r="M43">
            <v>0</v>
          </cell>
          <cell r="N43">
            <v>0</v>
          </cell>
          <cell r="S43">
            <v>0</v>
          </cell>
          <cell r="T43">
            <v>29.25</v>
          </cell>
          <cell r="U43">
            <v>0</v>
          </cell>
          <cell r="W43">
            <v>20</v>
          </cell>
          <cell r="X43">
            <v>0</v>
          </cell>
        </row>
        <row r="44">
          <cell r="A44">
            <v>37984</v>
          </cell>
          <cell r="B44" t="str">
            <v>Office</v>
          </cell>
          <cell r="E44">
            <v>67.766670227050994</v>
          </cell>
          <cell r="F44">
            <v>0</v>
          </cell>
          <cell r="G44">
            <v>0</v>
          </cell>
          <cell r="H44">
            <v>0</v>
          </cell>
          <cell r="I44">
            <v>0</v>
          </cell>
          <cell r="L44">
            <v>0</v>
          </cell>
          <cell r="M44">
            <v>0</v>
          </cell>
          <cell r="N44">
            <v>0</v>
          </cell>
          <cell r="S44">
            <v>0</v>
          </cell>
          <cell r="T44">
            <v>0</v>
          </cell>
          <cell r="U44">
            <v>0</v>
          </cell>
          <cell r="W44">
            <v>67.7667</v>
          </cell>
          <cell r="X44">
            <v>0</v>
          </cell>
        </row>
        <row r="45">
          <cell r="A45">
            <v>37984</v>
          </cell>
          <cell r="B45" t="str">
            <v>BMV Stow</v>
          </cell>
          <cell r="E45">
            <v>108</v>
          </cell>
          <cell r="F45">
            <v>0</v>
          </cell>
          <cell r="G45">
            <v>29108</v>
          </cell>
          <cell r="H45">
            <v>0</v>
          </cell>
          <cell r="I45">
            <v>0</v>
          </cell>
          <cell r="L45">
            <v>108</v>
          </cell>
          <cell r="M45">
            <v>0</v>
          </cell>
          <cell r="N45">
            <v>0</v>
          </cell>
          <cell r="S45">
            <v>0</v>
          </cell>
          <cell r="T45">
            <v>0</v>
          </cell>
          <cell r="U45">
            <v>0</v>
          </cell>
          <cell r="W45">
            <v>0</v>
          </cell>
          <cell r="X45">
            <v>0</v>
          </cell>
        </row>
        <row r="46">
          <cell r="A46">
            <v>37984</v>
          </cell>
          <cell r="B46" t="str">
            <v>Replenishment</v>
          </cell>
          <cell r="E46">
            <v>109.25</v>
          </cell>
          <cell r="F46">
            <v>0</v>
          </cell>
          <cell r="G46">
            <v>20515</v>
          </cell>
          <cell r="H46">
            <v>0</v>
          </cell>
          <cell r="I46">
            <v>0</v>
          </cell>
          <cell r="L46">
            <v>0</v>
          </cell>
          <cell r="M46">
            <v>0</v>
          </cell>
          <cell r="N46">
            <v>0</v>
          </cell>
          <cell r="S46">
            <v>0</v>
          </cell>
          <cell r="T46">
            <v>0</v>
          </cell>
          <cell r="U46">
            <v>0</v>
          </cell>
          <cell r="W46">
            <v>0</v>
          </cell>
          <cell r="X46">
            <v>0</v>
          </cell>
        </row>
        <row r="47">
          <cell r="A47">
            <v>37984</v>
          </cell>
          <cell r="B47" t="str">
            <v>Shipping</v>
          </cell>
          <cell r="E47">
            <v>296.64999389648</v>
          </cell>
          <cell r="F47">
            <v>0</v>
          </cell>
          <cell r="G47">
            <v>0</v>
          </cell>
          <cell r="H47">
            <v>0</v>
          </cell>
          <cell r="I47">
            <v>0</v>
          </cell>
          <cell r="L47">
            <v>0</v>
          </cell>
          <cell r="M47">
            <v>0</v>
          </cell>
          <cell r="N47">
            <v>0</v>
          </cell>
          <cell r="S47">
            <v>0</v>
          </cell>
          <cell r="T47">
            <v>0</v>
          </cell>
          <cell r="U47">
            <v>0</v>
          </cell>
          <cell r="W47">
            <v>1.8999900000000001</v>
          </cell>
          <cell r="X47">
            <v>7794</v>
          </cell>
        </row>
        <row r="48">
          <cell r="A48">
            <v>37984</v>
          </cell>
          <cell r="B48" t="str">
            <v>Autobox</v>
          </cell>
          <cell r="E48">
            <v>81</v>
          </cell>
          <cell r="F48">
            <v>18</v>
          </cell>
          <cell r="G48">
            <v>15228</v>
          </cell>
          <cell r="H48">
            <v>0</v>
          </cell>
          <cell r="I48">
            <v>0</v>
          </cell>
          <cell r="L48">
            <v>0</v>
          </cell>
          <cell r="M48">
            <v>0</v>
          </cell>
          <cell r="N48">
            <v>0</v>
          </cell>
          <cell r="S48">
            <v>0</v>
          </cell>
          <cell r="T48">
            <v>0</v>
          </cell>
          <cell r="U48">
            <v>0</v>
          </cell>
          <cell r="W48">
            <v>0</v>
          </cell>
          <cell r="X48">
            <v>0</v>
          </cell>
        </row>
        <row r="49">
          <cell r="A49">
            <v>37984</v>
          </cell>
          <cell r="B49" t="str">
            <v>Levimatic</v>
          </cell>
          <cell r="E49">
            <v>18</v>
          </cell>
          <cell r="F49">
            <v>9</v>
          </cell>
          <cell r="G49">
            <v>3636</v>
          </cell>
          <cell r="H49">
            <v>0</v>
          </cell>
          <cell r="I49">
            <v>0</v>
          </cell>
          <cell r="L49">
            <v>0</v>
          </cell>
          <cell r="M49">
            <v>0</v>
          </cell>
          <cell r="N49">
            <v>0</v>
          </cell>
          <cell r="S49">
            <v>0</v>
          </cell>
          <cell r="T49">
            <v>0</v>
          </cell>
          <cell r="U49">
            <v>0</v>
          </cell>
          <cell r="W49">
            <v>0</v>
          </cell>
          <cell r="X49">
            <v>3636</v>
          </cell>
        </row>
        <row r="50">
          <cell r="A50">
            <v>37984</v>
          </cell>
          <cell r="B50" t="str">
            <v>Giftwrap</v>
          </cell>
          <cell r="E50">
            <v>43.5</v>
          </cell>
          <cell r="F50">
            <v>0</v>
          </cell>
          <cell r="G50">
            <v>848</v>
          </cell>
          <cell r="H50">
            <v>0</v>
          </cell>
          <cell r="I50">
            <v>0</v>
          </cell>
          <cell r="L50">
            <v>0</v>
          </cell>
          <cell r="M50">
            <v>0</v>
          </cell>
          <cell r="N50">
            <v>0</v>
          </cell>
          <cell r="S50">
            <v>0</v>
          </cell>
          <cell r="T50">
            <v>0</v>
          </cell>
          <cell r="U50">
            <v>0</v>
          </cell>
          <cell r="W50">
            <v>0</v>
          </cell>
          <cell r="X50">
            <v>0</v>
          </cell>
        </row>
        <row r="51">
          <cell r="A51">
            <v>37984</v>
          </cell>
          <cell r="B51" t="str">
            <v>ShipSupport</v>
          </cell>
          <cell r="E51">
            <v>154.14998996258001</v>
          </cell>
          <cell r="F51">
            <v>64.5</v>
          </cell>
          <cell r="G51">
            <v>0</v>
          </cell>
          <cell r="H51">
            <v>0</v>
          </cell>
          <cell r="I51">
            <v>0</v>
          </cell>
          <cell r="L51">
            <v>0</v>
          </cell>
          <cell r="M51">
            <v>0</v>
          </cell>
          <cell r="N51">
            <v>0</v>
          </cell>
          <cell r="S51">
            <v>0</v>
          </cell>
          <cell r="T51">
            <v>0</v>
          </cell>
          <cell r="U51">
            <v>0</v>
          </cell>
          <cell r="W51">
            <v>1.8999900000000001</v>
          </cell>
          <cell r="X51">
            <v>0</v>
          </cell>
        </row>
        <row r="52">
          <cell r="A52">
            <v>37984</v>
          </cell>
          <cell r="B52" t="str">
            <v>BMV Receive</v>
          </cell>
          <cell r="E52">
            <v>174.79998779297</v>
          </cell>
          <cell r="F52">
            <v>66.3</v>
          </cell>
          <cell r="G52">
            <v>28350</v>
          </cell>
          <cell r="H52">
            <v>22926</v>
          </cell>
          <cell r="I52">
            <v>0</v>
          </cell>
          <cell r="L52">
            <v>102.5</v>
          </cell>
          <cell r="M52">
            <v>0</v>
          </cell>
          <cell r="N52">
            <v>14</v>
          </cell>
          <cell r="S52">
            <v>0</v>
          </cell>
          <cell r="T52">
            <v>43.8</v>
          </cell>
          <cell r="U52">
            <v>0</v>
          </cell>
          <cell r="W52">
            <v>-8.0000199999999992</v>
          </cell>
          <cell r="X52">
            <v>0</v>
          </cell>
        </row>
        <row r="53">
          <cell r="A53">
            <v>37984</v>
          </cell>
          <cell r="B53" t="str">
            <v>InventoryControl</v>
          </cell>
          <cell r="E53">
            <v>182.46666717529001</v>
          </cell>
          <cell r="F53">
            <v>0</v>
          </cell>
          <cell r="G53">
            <v>0</v>
          </cell>
          <cell r="H53">
            <v>0</v>
          </cell>
          <cell r="I53">
            <v>0</v>
          </cell>
          <cell r="L53">
            <v>0</v>
          </cell>
          <cell r="M53">
            <v>0</v>
          </cell>
          <cell r="N53">
            <v>0</v>
          </cell>
          <cell r="S53">
            <v>0</v>
          </cell>
          <cell r="T53">
            <v>0</v>
          </cell>
          <cell r="U53">
            <v>0</v>
          </cell>
          <cell r="W53">
            <v>32.386699999999998</v>
          </cell>
          <cell r="X53">
            <v>0</v>
          </cell>
        </row>
        <row r="54">
          <cell r="A54">
            <v>37984</v>
          </cell>
          <cell r="B54" t="str">
            <v>BMV Stow</v>
          </cell>
          <cell r="E54">
            <v>110.5</v>
          </cell>
          <cell r="F54">
            <v>-110.5</v>
          </cell>
          <cell r="G54">
            <v>26968</v>
          </cell>
          <cell r="H54">
            <v>24457</v>
          </cell>
          <cell r="I54">
            <v>2511</v>
          </cell>
          <cell r="L54">
            <v>92.5</v>
          </cell>
          <cell r="M54">
            <v>18</v>
          </cell>
          <cell r="N54">
            <v>0</v>
          </cell>
          <cell r="S54">
            <v>0</v>
          </cell>
          <cell r="T54">
            <v>0</v>
          </cell>
          <cell r="U54">
            <v>0</v>
          </cell>
          <cell r="W54">
            <v>0</v>
          </cell>
          <cell r="X54">
            <v>0</v>
          </cell>
        </row>
        <row r="55">
          <cell r="A55">
            <v>37984</v>
          </cell>
          <cell r="B55" t="str">
            <v>Replenishment</v>
          </cell>
          <cell r="E55">
            <v>96</v>
          </cell>
          <cell r="F55">
            <v>0</v>
          </cell>
          <cell r="G55">
            <v>10089</v>
          </cell>
          <cell r="H55">
            <v>0</v>
          </cell>
          <cell r="I55">
            <v>0</v>
          </cell>
          <cell r="L55">
            <v>0</v>
          </cell>
          <cell r="M55">
            <v>0</v>
          </cell>
          <cell r="N55">
            <v>0</v>
          </cell>
          <cell r="S55">
            <v>0</v>
          </cell>
          <cell r="T55">
            <v>0</v>
          </cell>
          <cell r="U55">
            <v>0</v>
          </cell>
          <cell r="W55">
            <v>48</v>
          </cell>
          <cell r="X55">
            <v>0</v>
          </cell>
        </row>
        <row r="56">
          <cell r="A56">
            <v>37984</v>
          </cell>
          <cell r="B56" t="str">
            <v>Office</v>
          </cell>
          <cell r="E56">
            <v>30</v>
          </cell>
          <cell r="F56">
            <v>0</v>
          </cell>
          <cell r="G56">
            <v>0</v>
          </cell>
          <cell r="H56">
            <v>0</v>
          </cell>
          <cell r="I56">
            <v>0</v>
          </cell>
          <cell r="L56">
            <v>0</v>
          </cell>
          <cell r="M56">
            <v>0</v>
          </cell>
          <cell r="N56">
            <v>0</v>
          </cell>
          <cell r="S56">
            <v>0</v>
          </cell>
          <cell r="T56">
            <v>0</v>
          </cell>
          <cell r="U56">
            <v>0</v>
          </cell>
          <cell r="W56">
            <v>30</v>
          </cell>
          <cell r="X56">
            <v>0</v>
          </cell>
        </row>
        <row r="57">
          <cell r="A57">
            <v>37984</v>
          </cell>
          <cell r="B57" t="str">
            <v>Offsite1Receive</v>
          </cell>
          <cell r="E57">
            <v>0</v>
          </cell>
          <cell r="F57">
            <v>0</v>
          </cell>
          <cell r="G57">
            <v>0</v>
          </cell>
          <cell r="H57">
            <v>0</v>
          </cell>
          <cell r="I57">
            <v>0</v>
          </cell>
          <cell r="L57">
            <v>0</v>
          </cell>
          <cell r="M57">
            <v>0</v>
          </cell>
          <cell r="N57">
            <v>0</v>
          </cell>
          <cell r="S57">
            <v>0</v>
          </cell>
          <cell r="T57">
            <v>0</v>
          </cell>
          <cell r="U57">
            <v>0</v>
          </cell>
          <cell r="W57">
            <v>0</v>
          </cell>
          <cell r="X57">
            <v>0</v>
          </cell>
        </row>
        <row r="58">
          <cell r="A58">
            <v>37984</v>
          </cell>
          <cell r="B58" t="str">
            <v>QA</v>
          </cell>
          <cell r="E58">
            <v>50.716667175292997</v>
          </cell>
          <cell r="F58">
            <v>0</v>
          </cell>
          <cell r="G58">
            <v>0</v>
          </cell>
          <cell r="H58">
            <v>0</v>
          </cell>
          <cell r="I58">
            <v>0</v>
          </cell>
          <cell r="L58">
            <v>0</v>
          </cell>
          <cell r="M58">
            <v>0</v>
          </cell>
          <cell r="N58">
            <v>0</v>
          </cell>
          <cell r="S58">
            <v>0</v>
          </cell>
          <cell r="T58">
            <v>0</v>
          </cell>
          <cell r="U58">
            <v>0</v>
          </cell>
          <cell r="W58">
            <v>50.716700000000003</v>
          </cell>
          <cell r="X58">
            <v>0</v>
          </cell>
        </row>
        <row r="59">
          <cell r="A59">
            <v>37984</v>
          </cell>
          <cell r="B59" t="str">
            <v>Vreturns</v>
          </cell>
          <cell r="E59">
            <v>0</v>
          </cell>
          <cell r="F59">
            <v>0</v>
          </cell>
          <cell r="G59">
            <v>0</v>
          </cell>
          <cell r="H59">
            <v>0</v>
          </cell>
          <cell r="I59">
            <v>0</v>
          </cell>
          <cell r="L59">
            <v>0</v>
          </cell>
          <cell r="M59">
            <v>0</v>
          </cell>
          <cell r="N59">
            <v>0</v>
          </cell>
          <cell r="S59">
            <v>0</v>
          </cell>
          <cell r="T59">
            <v>0</v>
          </cell>
          <cell r="U59">
            <v>0</v>
          </cell>
          <cell r="W59">
            <v>0</v>
          </cell>
          <cell r="X59">
            <v>0</v>
          </cell>
        </row>
        <row r="60">
          <cell r="A60">
            <v>37984</v>
          </cell>
          <cell r="B60" t="str">
            <v>Facilities</v>
          </cell>
          <cell r="E60">
            <v>58.950000762938998</v>
          </cell>
          <cell r="F60">
            <v>0</v>
          </cell>
          <cell r="G60">
            <v>0</v>
          </cell>
          <cell r="H60">
            <v>0</v>
          </cell>
          <cell r="I60">
            <v>0</v>
          </cell>
          <cell r="L60">
            <v>0</v>
          </cell>
          <cell r="M60">
            <v>0</v>
          </cell>
          <cell r="N60">
            <v>0</v>
          </cell>
          <cell r="S60">
            <v>0</v>
          </cell>
          <cell r="T60">
            <v>0</v>
          </cell>
          <cell r="U60">
            <v>0</v>
          </cell>
          <cell r="W60">
            <v>58.95</v>
          </cell>
          <cell r="X60">
            <v>0</v>
          </cell>
        </row>
        <row r="61">
          <cell r="A61">
            <v>37984</v>
          </cell>
          <cell r="B61" t="str">
            <v>Facilities</v>
          </cell>
          <cell r="E61">
            <v>20</v>
          </cell>
          <cell r="F61">
            <v>0</v>
          </cell>
          <cell r="G61">
            <v>0</v>
          </cell>
          <cell r="H61">
            <v>0</v>
          </cell>
          <cell r="I61">
            <v>0</v>
          </cell>
          <cell r="L61">
            <v>0</v>
          </cell>
          <cell r="M61">
            <v>0</v>
          </cell>
          <cell r="N61">
            <v>0</v>
          </cell>
          <cell r="S61">
            <v>0</v>
          </cell>
          <cell r="T61">
            <v>0</v>
          </cell>
          <cell r="U61">
            <v>0</v>
          </cell>
          <cell r="W61">
            <v>20</v>
          </cell>
          <cell r="X61">
            <v>0</v>
          </cell>
        </row>
        <row r="62">
          <cell r="A62">
            <v>37984</v>
          </cell>
          <cell r="B62" t="str">
            <v>SNOC</v>
          </cell>
          <cell r="E62">
            <v>9.8999996185303001</v>
          </cell>
          <cell r="F62">
            <v>0</v>
          </cell>
          <cell r="G62">
            <v>0</v>
          </cell>
          <cell r="H62">
            <v>0</v>
          </cell>
          <cell r="I62">
            <v>0</v>
          </cell>
          <cell r="L62">
            <v>0</v>
          </cell>
          <cell r="M62">
            <v>0</v>
          </cell>
          <cell r="N62">
            <v>0</v>
          </cell>
          <cell r="S62">
            <v>0</v>
          </cell>
          <cell r="T62">
            <v>0</v>
          </cell>
          <cell r="U62">
            <v>0</v>
          </cell>
          <cell r="W62">
            <v>9.9</v>
          </cell>
          <cell r="X62">
            <v>0</v>
          </cell>
        </row>
        <row r="63">
          <cell r="A63">
            <v>37984</v>
          </cell>
          <cell r="B63" t="str">
            <v>Swat</v>
          </cell>
          <cell r="E63">
            <v>8.5833330154418999</v>
          </cell>
          <cell r="F63">
            <v>0</v>
          </cell>
          <cell r="G63">
            <v>0</v>
          </cell>
          <cell r="H63">
            <v>0</v>
          </cell>
          <cell r="I63">
            <v>0</v>
          </cell>
          <cell r="L63">
            <v>0</v>
          </cell>
          <cell r="M63">
            <v>0</v>
          </cell>
          <cell r="N63">
            <v>0</v>
          </cell>
          <cell r="S63">
            <v>0</v>
          </cell>
          <cell r="T63">
            <v>0</v>
          </cell>
          <cell r="U63">
            <v>0</v>
          </cell>
          <cell r="W63">
            <v>8.5833300000000001</v>
          </cell>
          <cell r="X63">
            <v>0</v>
          </cell>
        </row>
        <row r="64">
          <cell r="A64">
            <v>37984</v>
          </cell>
          <cell r="B64" t="str">
            <v>CustomerService</v>
          </cell>
          <cell r="E64">
            <v>12</v>
          </cell>
          <cell r="F64">
            <v>0</v>
          </cell>
          <cell r="G64">
            <v>0</v>
          </cell>
          <cell r="H64">
            <v>0</v>
          </cell>
          <cell r="I64">
            <v>0</v>
          </cell>
          <cell r="L64">
            <v>0</v>
          </cell>
          <cell r="M64">
            <v>0</v>
          </cell>
          <cell r="N64">
            <v>0</v>
          </cell>
          <cell r="S64">
            <v>0</v>
          </cell>
          <cell r="T64">
            <v>0</v>
          </cell>
          <cell r="U64">
            <v>0</v>
          </cell>
          <cell r="W64">
            <v>12</v>
          </cell>
          <cell r="X64">
            <v>0</v>
          </cell>
        </row>
        <row r="65">
          <cell r="A65">
            <v>37984</v>
          </cell>
          <cell r="B65" t="str">
            <v>CustomerService</v>
          </cell>
          <cell r="E65">
            <v>10</v>
          </cell>
          <cell r="F65">
            <v>0</v>
          </cell>
          <cell r="G65">
            <v>0</v>
          </cell>
          <cell r="H65">
            <v>0</v>
          </cell>
          <cell r="I65">
            <v>0</v>
          </cell>
          <cell r="L65">
            <v>0</v>
          </cell>
          <cell r="M65">
            <v>0</v>
          </cell>
          <cell r="N65">
            <v>0</v>
          </cell>
          <cell r="S65">
            <v>0</v>
          </cell>
          <cell r="T65">
            <v>0</v>
          </cell>
          <cell r="U65">
            <v>0</v>
          </cell>
          <cell r="W65">
            <v>10</v>
          </cell>
          <cell r="X65">
            <v>0</v>
          </cell>
        </row>
        <row r="66">
          <cell r="A66">
            <v>37983</v>
          </cell>
          <cell r="B66" t="str">
            <v>QA</v>
          </cell>
          <cell r="E66">
            <v>46.183334350586001</v>
          </cell>
          <cell r="F66">
            <v>0</v>
          </cell>
          <cell r="G66">
            <v>0</v>
          </cell>
          <cell r="H66">
            <v>0</v>
          </cell>
          <cell r="I66">
            <v>0</v>
          </cell>
          <cell r="L66">
            <v>0</v>
          </cell>
          <cell r="M66">
            <v>0</v>
          </cell>
          <cell r="N66">
            <v>0</v>
          </cell>
          <cell r="S66">
            <v>0</v>
          </cell>
          <cell r="T66">
            <v>0</v>
          </cell>
          <cell r="U66">
            <v>0</v>
          </cell>
          <cell r="W66">
            <v>102.18300000000001</v>
          </cell>
          <cell r="X66">
            <v>0</v>
          </cell>
        </row>
        <row r="67">
          <cell r="A67">
            <v>37983</v>
          </cell>
          <cell r="B67" t="str">
            <v>Vreturns</v>
          </cell>
          <cell r="E67">
            <v>31.383333206176999</v>
          </cell>
          <cell r="F67">
            <v>0</v>
          </cell>
          <cell r="G67">
            <v>0</v>
          </cell>
          <cell r="H67">
            <v>0</v>
          </cell>
          <cell r="I67">
            <v>0</v>
          </cell>
          <cell r="L67">
            <v>0</v>
          </cell>
          <cell r="M67">
            <v>0</v>
          </cell>
          <cell r="N67">
            <v>0</v>
          </cell>
          <cell r="S67">
            <v>0</v>
          </cell>
          <cell r="T67">
            <v>0</v>
          </cell>
          <cell r="U67">
            <v>0</v>
          </cell>
          <cell r="W67">
            <v>8.3833300000000008</v>
          </cell>
          <cell r="X67">
            <v>0</v>
          </cell>
        </row>
        <row r="68">
          <cell r="A68">
            <v>37983</v>
          </cell>
          <cell r="B68" t="str">
            <v>Shipping</v>
          </cell>
          <cell r="E68">
            <v>446.98333740234</v>
          </cell>
          <cell r="F68">
            <v>0</v>
          </cell>
          <cell r="G68">
            <v>0</v>
          </cell>
          <cell r="H68">
            <v>0</v>
          </cell>
          <cell r="I68">
            <v>0</v>
          </cell>
          <cell r="L68">
            <v>0</v>
          </cell>
          <cell r="M68">
            <v>0</v>
          </cell>
          <cell r="N68">
            <v>0</v>
          </cell>
          <cell r="S68">
            <v>0</v>
          </cell>
          <cell r="T68">
            <v>0</v>
          </cell>
          <cell r="U68">
            <v>0</v>
          </cell>
          <cell r="W68">
            <v>-30.5167</v>
          </cell>
          <cell r="X68">
            <v>17775</v>
          </cell>
        </row>
        <row r="69">
          <cell r="A69">
            <v>37983</v>
          </cell>
          <cell r="B69" t="str">
            <v>Autobox</v>
          </cell>
          <cell r="E69">
            <v>220</v>
          </cell>
          <cell r="F69">
            <v>93.5</v>
          </cell>
          <cell r="G69">
            <v>29357</v>
          </cell>
          <cell r="H69">
            <v>0</v>
          </cell>
          <cell r="I69">
            <v>0</v>
          </cell>
          <cell r="L69">
            <v>0</v>
          </cell>
          <cell r="M69">
            <v>0</v>
          </cell>
          <cell r="N69">
            <v>0</v>
          </cell>
          <cell r="S69">
            <v>0</v>
          </cell>
          <cell r="T69">
            <v>0</v>
          </cell>
          <cell r="U69">
            <v>0</v>
          </cell>
          <cell r="W69">
            <v>0</v>
          </cell>
          <cell r="X69">
            <v>0</v>
          </cell>
        </row>
        <row r="70">
          <cell r="A70">
            <v>37983</v>
          </cell>
          <cell r="B70" t="str">
            <v>Levimatic</v>
          </cell>
          <cell r="E70">
            <v>34</v>
          </cell>
          <cell r="F70">
            <v>0</v>
          </cell>
          <cell r="G70">
            <v>6623</v>
          </cell>
          <cell r="H70">
            <v>0</v>
          </cell>
          <cell r="I70">
            <v>0</v>
          </cell>
          <cell r="L70">
            <v>0</v>
          </cell>
          <cell r="M70">
            <v>0</v>
          </cell>
          <cell r="N70">
            <v>0</v>
          </cell>
          <cell r="S70">
            <v>0</v>
          </cell>
          <cell r="T70">
            <v>0</v>
          </cell>
          <cell r="U70">
            <v>0</v>
          </cell>
          <cell r="W70">
            <v>0</v>
          </cell>
          <cell r="X70">
            <v>0</v>
          </cell>
        </row>
        <row r="71">
          <cell r="A71">
            <v>37983</v>
          </cell>
          <cell r="B71" t="str">
            <v>Giftwrap</v>
          </cell>
          <cell r="E71">
            <v>47.5</v>
          </cell>
          <cell r="F71">
            <v>0</v>
          </cell>
          <cell r="G71">
            <v>881</v>
          </cell>
          <cell r="H71">
            <v>0</v>
          </cell>
          <cell r="I71">
            <v>0</v>
          </cell>
          <cell r="L71">
            <v>0</v>
          </cell>
          <cell r="M71">
            <v>0</v>
          </cell>
          <cell r="N71">
            <v>0</v>
          </cell>
          <cell r="S71">
            <v>0</v>
          </cell>
          <cell r="T71">
            <v>0</v>
          </cell>
          <cell r="U71">
            <v>0</v>
          </cell>
          <cell r="W71">
            <v>0</v>
          </cell>
          <cell r="X71">
            <v>0</v>
          </cell>
        </row>
        <row r="72">
          <cell r="A72">
            <v>37983</v>
          </cell>
          <cell r="B72" t="str">
            <v>ShipSupport</v>
          </cell>
          <cell r="E72">
            <v>145.48329925537001</v>
          </cell>
          <cell r="F72">
            <v>36</v>
          </cell>
          <cell r="G72">
            <v>0</v>
          </cell>
          <cell r="H72">
            <v>0</v>
          </cell>
          <cell r="I72">
            <v>0</v>
          </cell>
          <cell r="L72">
            <v>0</v>
          </cell>
          <cell r="M72">
            <v>0</v>
          </cell>
          <cell r="N72">
            <v>0</v>
          </cell>
          <cell r="S72">
            <v>0</v>
          </cell>
          <cell r="T72">
            <v>0</v>
          </cell>
          <cell r="U72">
            <v>0</v>
          </cell>
          <cell r="W72">
            <v>-30.5167</v>
          </cell>
          <cell r="X72">
            <v>0</v>
          </cell>
        </row>
        <row r="73">
          <cell r="A73">
            <v>37983</v>
          </cell>
          <cell r="B73" t="str">
            <v>Training</v>
          </cell>
          <cell r="E73">
            <v>0</v>
          </cell>
          <cell r="F73">
            <v>0</v>
          </cell>
          <cell r="G73">
            <v>0</v>
          </cell>
          <cell r="H73">
            <v>0</v>
          </cell>
          <cell r="I73">
            <v>0</v>
          </cell>
          <cell r="L73">
            <v>0</v>
          </cell>
          <cell r="M73">
            <v>0</v>
          </cell>
          <cell r="N73">
            <v>0</v>
          </cell>
          <cell r="S73">
            <v>0</v>
          </cell>
          <cell r="T73">
            <v>0</v>
          </cell>
          <cell r="U73">
            <v>0</v>
          </cell>
          <cell r="W73">
            <v>0</v>
          </cell>
          <cell r="X73">
            <v>0</v>
          </cell>
        </row>
        <row r="74">
          <cell r="A74">
            <v>37983</v>
          </cell>
          <cell r="B74" t="str">
            <v>Offsite1Receive</v>
          </cell>
          <cell r="E74">
            <v>-0.27333068847656</v>
          </cell>
          <cell r="F74">
            <v>0</v>
          </cell>
          <cell r="G74">
            <v>0</v>
          </cell>
          <cell r="H74">
            <v>0</v>
          </cell>
          <cell r="I74">
            <v>0</v>
          </cell>
          <cell r="L74">
            <v>0</v>
          </cell>
          <cell r="M74">
            <v>0</v>
          </cell>
          <cell r="N74">
            <v>0</v>
          </cell>
          <cell r="S74">
            <v>0</v>
          </cell>
          <cell r="T74">
            <v>0</v>
          </cell>
          <cell r="U74">
            <v>0</v>
          </cell>
          <cell r="W74">
            <v>-0.27333099999999999</v>
          </cell>
          <cell r="X74">
            <v>0</v>
          </cell>
        </row>
        <row r="75">
          <cell r="A75">
            <v>37983</v>
          </cell>
          <cell r="B75" t="str">
            <v>Offsite1Ship</v>
          </cell>
          <cell r="E75">
            <v>143.03999328613</v>
          </cell>
          <cell r="F75">
            <v>22.5</v>
          </cell>
          <cell r="G75">
            <v>1282</v>
          </cell>
          <cell r="H75">
            <v>1282</v>
          </cell>
          <cell r="I75">
            <v>0</v>
          </cell>
          <cell r="L75">
            <v>38.5</v>
          </cell>
          <cell r="M75">
            <v>0</v>
          </cell>
          <cell r="N75">
            <v>0</v>
          </cell>
          <cell r="S75">
            <v>0</v>
          </cell>
          <cell r="T75">
            <v>0</v>
          </cell>
          <cell r="U75">
            <v>0</v>
          </cell>
          <cell r="W75">
            <v>0</v>
          </cell>
          <cell r="X75">
            <v>0</v>
          </cell>
        </row>
        <row r="76">
          <cell r="A76">
            <v>37983</v>
          </cell>
          <cell r="B76" t="str">
            <v>Sortation</v>
          </cell>
          <cell r="E76">
            <v>333.90000629424998</v>
          </cell>
          <cell r="F76">
            <v>0</v>
          </cell>
          <cell r="G76">
            <v>0</v>
          </cell>
          <cell r="H76">
            <v>0</v>
          </cell>
          <cell r="I76">
            <v>0</v>
          </cell>
          <cell r="L76">
            <v>0</v>
          </cell>
          <cell r="M76">
            <v>0</v>
          </cell>
          <cell r="N76">
            <v>0</v>
          </cell>
          <cell r="S76">
            <v>0</v>
          </cell>
          <cell r="T76">
            <v>0</v>
          </cell>
          <cell r="U76">
            <v>0</v>
          </cell>
          <cell r="W76">
            <v>-15.49</v>
          </cell>
          <cell r="X76">
            <v>0</v>
          </cell>
        </row>
        <row r="77">
          <cell r="A77">
            <v>37983</v>
          </cell>
          <cell r="B77" t="str">
            <v>Rebin</v>
          </cell>
          <cell r="E77">
            <v>146</v>
          </cell>
          <cell r="F77">
            <v>19</v>
          </cell>
          <cell r="G77">
            <v>35590</v>
          </cell>
          <cell r="H77">
            <v>0</v>
          </cell>
          <cell r="I77">
            <v>0</v>
          </cell>
          <cell r="L77">
            <v>0</v>
          </cell>
          <cell r="M77">
            <v>0</v>
          </cell>
          <cell r="N77">
            <v>0</v>
          </cell>
          <cell r="S77">
            <v>0</v>
          </cell>
          <cell r="T77">
            <v>0</v>
          </cell>
          <cell r="U77">
            <v>0</v>
          </cell>
          <cell r="W77">
            <v>0</v>
          </cell>
          <cell r="X77">
            <v>0</v>
          </cell>
        </row>
        <row r="78">
          <cell r="A78">
            <v>37983</v>
          </cell>
          <cell r="B78" t="str">
            <v>Stack</v>
          </cell>
          <cell r="E78">
            <v>92.5</v>
          </cell>
          <cell r="F78">
            <v>0</v>
          </cell>
          <cell r="G78">
            <v>16216</v>
          </cell>
          <cell r="H78">
            <v>0</v>
          </cell>
          <cell r="I78">
            <v>0</v>
          </cell>
          <cell r="L78">
            <v>0</v>
          </cell>
          <cell r="M78">
            <v>0</v>
          </cell>
          <cell r="N78">
            <v>0</v>
          </cell>
          <cell r="S78">
            <v>903</v>
          </cell>
          <cell r="T78">
            <v>0</v>
          </cell>
          <cell r="U78">
            <v>0</v>
          </cell>
          <cell r="W78">
            <v>0</v>
          </cell>
          <cell r="X78">
            <v>0</v>
          </cell>
        </row>
        <row r="79">
          <cell r="A79">
            <v>37983</v>
          </cell>
          <cell r="B79" t="str">
            <v>Bundler</v>
          </cell>
          <cell r="E79">
            <v>95.399999618530003</v>
          </cell>
          <cell r="F79">
            <v>0</v>
          </cell>
          <cell r="G79">
            <v>16216</v>
          </cell>
          <cell r="H79">
            <v>0</v>
          </cell>
          <cell r="I79">
            <v>0</v>
          </cell>
          <cell r="L79">
            <v>0</v>
          </cell>
          <cell r="M79">
            <v>0</v>
          </cell>
          <cell r="N79">
            <v>0</v>
          </cell>
          <cell r="S79">
            <v>0</v>
          </cell>
          <cell r="T79">
            <v>0</v>
          </cell>
          <cell r="U79">
            <v>0</v>
          </cell>
          <cell r="W79">
            <v>-15.49</v>
          </cell>
          <cell r="X79">
            <v>5282</v>
          </cell>
        </row>
        <row r="80">
          <cell r="A80">
            <v>37983</v>
          </cell>
          <cell r="B80" t="str">
            <v>Picking</v>
          </cell>
          <cell r="E80">
            <v>378.28332519531</v>
          </cell>
          <cell r="F80">
            <v>36.5</v>
          </cell>
          <cell r="G80">
            <v>45026</v>
          </cell>
          <cell r="H80">
            <v>0</v>
          </cell>
          <cell r="I80">
            <v>0</v>
          </cell>
          <cell r="L80">
            <v>0</v>
          </cell>
          <cell r="M80">
            <v>0</v>
          </cell>
          <cell r="N80">
            <v>0</v>
          </cell>
          <cell r="S80">
            <v>0</v>
          </cell>
          <cell r="T80">
            <v>0</v>
          </cell>
          <cell r="U80">
            <v>0</v>
          </cell>
          <cell r="W80">
            <v>-13.216699999999999</v>
          </cell>
          <cell r="X80">
            <v>0</v>
          </cell>
        </row>
        <row r="81">
          <cell r="A81">
            <v>37983</v>
          </cell>
          <cell r="B81" t="str">
            <v>InventoryControl</v>
          </cell>
          <cell r="E81">
            <v>35.033332824707003</v>
          </cell>
          <cell r="F81">
            <v>0</v>
          </cell>
          <cell r="G81">
            <v>0</v>
          </cell>
          <cell r="H81">
            <v>0</v>
          </cell>
          <cell r="I81">
            <v>0</v>
          </cell>
          <cell r="L81">
            <v>0</v>
          </cell>
          <cell r="M81">
            <v>0</v>
          </cell>
          <cell r="N81">
            <v>0</v>
          </cell>
          <cell r="S81">
            <v>0</v>
          </cell>
          <cell r="T81">
            <v>0</v>
          </cell>
          <cell r="U81">
            <v>0</v>
          </cell>
          <cell r="W81">
            <v>35.033299999999997</v>
          </cell>
          <cell r="X81">
            <v>0</v>
          </cell>
        </row>
        <row r="82">
          <cell r="A82">
            <v>37983</v>
          </cell>
          <cell r="B82" t="str">
            <v>Office</v>
          </cell>
          <cell r="E82">
            <v>10.683333396911999</v>
          </cell>
          <cell r="F82">
            <v>0</v>
          </cell>
          <cell r="G82">
            <v>0</v>
          </cell>
          <cell r="H82">
            <v>0</v>
          </cell>
          <cell r="I82">
            <v>0</v>
          </cell>
          <cell r="L82">
            <v>0</v>
          </cell>
          <cell r="M82">
            <v>0</v>
          </cell>
          <cell r="N82">
            <v>0</v>
          </cell>
          <cell r="S82">
            <v>0</v>
          </cell>
          <cell r="T82">
            <v>0</v>
          </cell>
          <cell r="U82">
            <v>0</v>
          </cell>
          <cell r="W82">
            <v>10.683299999999999</v>
          </cell>
          <cell r="X82">
            <v>0</v>
          </cell>
        </row>
        <row r="83">
          <cell r="A83">
            <v>37983</v>
          </cell>
          <cell r="B83" t="str">
            <v>Office</v>
          </cell>
          <cell r="E83">
            <v>0</v>
          </cell>
          <cell r="F83">
            <v>0</v>
          </cell>
          <cell r="G83">
            <v>0</v>
          </cell>
          <cell r="H83">
            <v>0</v>
          </cell>
          <cell r="I83">
            <v>0</v>
          </cell>
          <cell r="L83">
            <v>0</v>
          </cell>
          <cell r="M83">
            <v>0</v>
          </cell>
          <cell r="N83">
            <v>0</v>
          </cell>
          <cell r="S83">
            <v>0</v>
          </cell>
          <cell r="T83">
            <v>0</v>
          </cell>
          <cell r="U83">
            <v>0</v>
          </cell>
          <cell r="W83">
            <v>0</v>
          </cell>
          <cell r="X83">
            <v>0</v>
          </cell>
        </row>
        <row r="84">
          <cell r="A84">
            <v>37983</v>
          </cell>
          <cell r="B84" t="str">
            <v>BMV Receive</v>
          </cell>
          <cell r="E84">
            <v>0</v>
          </cell>
          <cell r="F84">
            <v>0</v>
          </cell>
          <cell r="G84">
            <v>0</v>
          </cell>
          <cell r="H84">
            <v>0</v>
          </cell>
          <cell r="I84">
            <v>0</v>
          </cell>
          <cell r="L84">
            <v>0</v>
          </cell>
          <cell r="M84">
            <v>0</v>
          </cell>
          <cell r="N84">
            <v>0</v>
          </cell>
          <cell r="S84">
            <v>0</v>
          </cell>
          <cell r="T84">
            <v>0</v>
          </cell>
          <cell r="U84">
            <v>0</v>
          </cell>
          <cell r="W84">
            <v>0</v>
          </cell>
          <cell r="X84">
            <v>0</v>
          </cell>
        </row>
        <row r="85">
          <cell r="A85">
            <v>37983</v>
          </cell>
          <cell r="B85" t="str">
            <v>BMV Receive</v>
          </cell>
          <cell r="E85">
            <v>0</v>
          </cell>
          <cell r="F85">
            <v>0</v>
          </cell>
          <cell r="G85">
            <v>0</v>
          </cell>
          <cell r="H85">
            <v>0</v>
          </cell>
          <cell r="I85">
            <v>0</v>
          </cell>
          <cell r="L85">
            <v>0</v>
          </cell>
          <cell r="M85">
            <v>0</v>
          </cell>
          <cell r="N85">
            <v>0</v>
          </cell>
          <cell r="S85">
            <v>0</v>
          </cell>
          <cell r="T85">
            <v>0</v>
          </cell>
          <cell r="U85">
            <v>0</v>
          </cell>
          <cell r="W85">
            <v>0</v>
          </cell>
          <cell r="X85">
            <v>0</v>
          </cell>
        </row>
        <row r="86">
          <cell r="A86">
            <v>37983</v>
          </cell>
          <cell r="B86" t="str">
            <v>Picking</v>
          </cell>
          <cell r="E86">
            <v>0</v>
          </cell>
          <cell r="F86">
            <v>0</v>
          </cell>
          <cell r="G86">
            <v>0</v>
          </cell>
          <cell r="H86">
            <v>0</v>
          </cell>
          <cell r="I86">
            <v>0</v>
          </cell>
          <cell r="L86">
            <v>0</v>
          </cell>
          <cell r="M86">
            <v>0</v>
          </cell>
          <cell r="N86">
            <v>0</v>
          </cell>
          <cell r="S86">
            <v>0</v>
          </cell>
          <cell r="T86">
            <v>0</v>
          </cell>
          <cell r="U86">
            <v>0</v>
          </cell>
          <cell r="W86">
            <v>0</v>
          </cell>
          <cell r="X86">
            <v>0</v>
          </cell>
        </row>
        <row r="87">
          <cell r="A87">
            <v>37983</v>
          </cell>
          <cell r="B87" t="str">
            <v>QA</v>
          </cell>
          <cell r="E87">
            <v>0</v>
          </cell>
          <cell r="F87">
            <v>0</v>
          </cell>
          <cell r="G87">
            <v>0</v>
          </cell>
          <cell r="H87">
            <v>0</v>
          </cell>
          <cell r="I87">
            <v>0</v>
          </cell>
          <cell r="L87">
            <v>0</v>
          </cell>
          <cell r="M87">
            <v>0</v>
          </cell>
          <cell r="N87">
            <v>0</v>
          </cell>
          <cell r="S87">
            <v>0</v>
          </cell>
          <cell r="T87">
            <v>0</v>
          </cell>
          <cell r="U87">
            <v>0</v>
          </cell>
          <cell r="W87">
            <v>0</v>
          </cell>
          <cell r="X87">
            <v>0</v>
          </cell>
        </row>
        <row r="88">
          <cell r="A88">
            <v>37983</v>
          </cell>
          <cell r="B88" t="str">
            <v>Vreturns</v>
          </cell>
          <cell r="E88">
            <v>0</v>
          </cell>
          <cell r="F88">
            <v>0</v>
          </cell>
          <cell r="G88">
            <v>0</v>
          </cell>
          <cell r="H88">
            <v>0</v>
          </cell>
          <cell r="I88">
            <v>0</v>
          </cell>
          <cell r="L88">
            <v>0</v>
          </cell>
          <cell r="M88">
            <v>0</v>
          </cell>
          <cell r="N88">
            <v>0</v>
          </cell>
          <cell r="S88">
            <v>0</v>
          </cell>
          <cell r="T88">
            <v>0</v>
          </cell>
          <cell r="U88">
            <v>0</v>
          </cell>
          <cell r="W88">
            <v>0</v>
          </cell>
          <cell r="X88">
            <v>0</v>
          </cell>
        </row>
        <row r="89">
          <cell r="A89">
            <v>37983</v>
          </cell>
          <cell r="B89" t="str">
            <v>Facilities</v>
          </cell>
          <cell r="E89">
            <v>68.533332824707003</v>
          </cell>
          <cell r="F89">
            <v>0</v>
          </cell>
          <cell r="G89">
            <v>0</v>
          </cell>
          <cell r="H89">
            <v>0</v>
          </cell>
          <cell r="I89">
            <v>0</v>
          </cell>
          <cell r="L89">
            <v>0</v>
          </cell>
          <cell r="M89">
            <v>0</v>
          </cell>
          <cell r="N89">
            <v>0</v>
          </cell>
          <cell r="S89">
            <v>0</v>
          </cell>
          <cell r="T89">
            <v>0</v>
          </cell>
          <cell r="U89">
            <v>0</v>
          </cell>
          <cell r="W89">
            <v>68.533299999999997</v>
          </cell>
          <cell r="X89">
            <v>0</v>
          </cell>
        </row>
        <row r="90">
          <cell r="A90">
            <v>37983</v>
          </cell>
          <cell r="B90" t="str">
            <v>Facilities</v>
          </cell>
          <cell r="E90">
            <v>0</v>
          </cell>
          <cell r="F90">
            <v>0</v>
          </cell>
          <cell r="G90">
            <v>0</v>
          </cell>
          <cell r="H90">
            <v>0</v>
          </cell>
          <cell r="I90">
            <v>0</v>
          </cell>
          <cell r="L90">
            <v>0</v>
          </cell>
          <cell r="M90">
            <v>0</v>
          </cell>
          <cell r="N90">
            <v>0</v>
          </cell>
          <cell r="S90">
            <v>0</v>
          </cell>
          <cell r="T90">
            <v>0</v>
          </cell>
          <cell r="U90">
            <v>0</v>
          </cell>
          <cell r="W90">
            <v>0</v>
          </cell>
          <cell r="X90">
            <v>0</v>
          </cell>
        </row>
        <row r="91">
          <cell r="A91">
            <v>37983</v>
          </cell>
          <cell r="B91" t="str">
            <v>SNOC</v>
          </cell>
          <cell r="E91">
            <v>8.8666667938231996</v>
          </cell>
          <cell r="F91">
            <v>0</v>
          </cell>
          <cell r="G91">
            <v>0</v>
          </cell>
          <cell r="H91">
            <v>0</v>
          </cell>
          <cell r="I91">
            <v>0</v>
          </cell>
          <cell r="L91">
            <v>0</v>
          </cell>
          <cell r="M91">
            <v>0</v>
          </cell>
          <cell r="N91">
            <v>0</v>
          </cell>
          <cell r="S91">
            <v>0</v>
          </cell>
          <cell r="T91">
            <v>0</v>
          </cell>
          <cell r="U91">
            <v>0</v>
          </cell>
          <cell r="W91">
            <v>8.8666699999999992</v>
          </cell>
          <cell r="X91">
            <v>0</v>
          </cell>
        </row>
        <row r="92">
          <cell r="A92">
            <v>37983</v>
          </cell>
          <cell r="B92" t="str">
            <v>Sortation</v>
          </cell>
          <cell r="E92">
            <v>0.20000076293944999</v>
          </cell>
          <cell r="F92">
            <v>0</v>
          </cell>
          <cell r="G92">
            <v>0</v>
          </cell>
          <cell r="H92">
            <v>0</v>
          </cell>
          <cell r="I92">
            <v>0</v>
          </cell>
          <cell r="L92">
            <v>0</v>
          </cell>
          <cell r="M92">
            <v>0</v>
          </cell>
          <cell r="N92">
            <v>0</v>
          </cell>
          <cell r="S92">
            <v>0</v>
          </cell>
          <cell r="T92">
            <v>0</v>
          </cell>
          <cell r="U92">
            <v>0</v>
          </cell>
          <cell r="W92">
            <v>0.20000100000000001</v>
          </cell>
          <cell r="X92">
            <v>0</v>
          </cell>
        </row>
        <row r="93">
          <cell r="A93">
            <v>37983</v>
          </cell>
          <cell r="B93" t="str">
            <v>Shipping</v>
          </cell>
          <cell r="E93">
            <v>0</v>
          </cell>
          <cell r="F93">
            <v>0</v>
          </cell>
          <cell r="G93">
            <v>0</v>
          </cell>
          <cell r="H93">
            <v>0</v>
          </cell>
          <cell r="I93">
            <v>0</v>
          </cell>
          <cell r="L93">
            <v>0</v>
          </cell>
          <cell r="M93">
            <v>0</v>
          </cell>
          <cell r="N93">
            <v>0</v>
          </cell>
          <cell r="S93">
            <v>0</v>
          </cell>
          <cell r="T93">
            <v>0</v>
          </cell>
          <cell r="U93">
            <v>0</v>
          </cell>
          <cell r="W93">
            <v>0</v>
          </cell>
          <cell r="X93">
            <v>0</v>
          </cell>
        </row>
        <row r="94">
          <cell r="A94">
            <v>37983</v>
          </cell>
          <cell r="B94" t="str">
            <v>CReturns</v>
          </cell>
          <cell r="E94">
            <v>0</v>
          </cell>
          <cell r="F94">
            <v>0</v>
          </cell>
          <cell r="G94">
            <v>0</v>
          </cell>
          <cell r="H94">
            <v>0</v>
          </cell>
          <cell r="I94">
            <v>0</v>
          </cell>
          <cell r="L94">
            <v>0</v>
          </cell>
          <cell r="M94">
            <v>0</v>
          </cell>
          <cell r="N94">
            <v>0</v>
          </cell>
          <cell r="S94">
            <v>0</v>
          </cell>
          <cell r="T94">
            <v>0</v>
          </cell>
          <cell r="U94">
            <v>0</v>
          </cell>
          <cell r="W94">
            <v>0</v>
          </cell>
          <cell r="X94">
            <v>0</v>
          </cell>
        </row>
        <row r="95">
          <cell r="A95">
            <v>37983</v>
          </cell>
          <cell r="B95" t="str">
            <v>CustomerService</v>
          </cell>
          <cell r="E95">
            <v>12</v>
          </cell>
          <cell r="F95">
            <v>0</v>
          </cell>
          <cell r="G95">
            <v>0</v>
          </cell>
          <cell r="H95">
            <v>0</v>
          </cell>
          <cell r="I95">
            <v>0</v>
          </cell>
          <cell r="L95">
            <v>0</v>
          </cell>
          <cell r="M95">
            <v>0</v>
          </cell>
          <cell r="N95">
            <v>0</v>
          </cell>
          <cell r="S95">
            <v>0</v>
          </cell>
          <cell r="T95">
            <v>0</v>
          </cell>
          <cell r="U95">
            <v>0</v>
          </cell>
          <cell r="W95">
            <v>12</v>
          </cell>
          <cell r="X95">
            <v>0</v>
          </cell>
        </row>
        <row r="96">
          <cell r="A96">
            <v>37983</v>
          </cell>
          <cell r="B96" t="str">
            <v>CustomerService</v>
          </cell>
          <cell r="E96">
            <v>0</v>
          </cell>
          <cell r="F96">
            <v>0</v>
          </cell>
          <cell r="G96">
            <v>0</v>
          </cell>
          <cell r="H96">
            <v>0</v>
          </cell>
          <cell r="I96">
            <v>0</v>
          </cell>
          <cell r="L96">
            <v>0</v>
          </cell>
          <cell r="M96">
            <v>0</v>
          </cell>
          <cell r="N96">
            <v>0</v>
          </cell>
          <cell r="S96">
            <v>0</v>
          </cell>
          <cell r="T96">
            <v>0</v>
          </cell>
          <cell r="U96">
            <v>0</v>
          </cell>
          <cell r="W96">
            <v>0</v>
          </cell>
          <cell r="X96">
            <v>0</v>
          </cell>
        </row>
        <row r="97">
          <cell r="A97">
            <v>37983</v>
          </cell>
          <cell r="B97" t="str">
            <v>Swat</v>
          </cell>
          <cell r="E97">
            <v>0</v>
          </cell>
          <cell r="F97">
            <v>0</v>
          </cell>
          <cell r="G97">
            <v>0</v>
          </cell>
          <cell r="H97">
            <v>0</v>
          </cell>
          <cell r="I97">
            <v>0</v>
          </cell>
          <cell r="L97">
            <v>0</v>
          </cell>
          <cell r="M97">
            <v>0</v>
          </cell>
          <cell r="N97">
            <v>0</v>
          </cell>
          <cell r="S97">
            <v>0</v>
          </cell>
          <cell r="T97">
            <v>0</v>
          </cell>
          <cell r="U97">
            <v>0</v>
          </cell>
          <cell r="W97">
            <v>0</v>
          </cell>
          <cell r="X97">
            <v>0</v>
          </cell>
        </row>
        <row r="98">
          <cell r="A98">
            <v>37983</v>
          </cell>
          <cell r="B98" t="str">
            <v>Offsite1Receive</v>
          </cell>
          <cell r="E98">
            <v>0</v>
          </cell>
          <cell r="F98">
            <v>0</v>
          </cell>
          <cell r="G98">
            <v>0</v>
          </cell>
          <cell r="H98">
            <v>0</v>
          </cell>
          <cell r="I98">
            <v>0</v>
          </cell>
          <cell r="L98">
            <v>0</v>
          </cell>
          <cell r="M98">
            <v>0</v>
          </cell>
          <cell r="N98">
            <v>0</v>
          </cell>
          <cell r="S98">
            <v>0</v>
          </cell>
          <cell r="T98">
            <v>0</v>
          </cell>
          <cell r="U98">
            <v>0</v>
          </cell>
          <cell r="W98">
            <v>0</v>
          </cell>
          <cell r="X98">
            <v>0</v>
          </cell>
        </row>
        <row r="99">
          <cell r="A99">
            <v>37983</v>
          </cell>
          <cell r="B99" t="str">
            <v>Bundler</v>
          </cell>
          <cell r="E99">
            <v>0.20000100135803001</v>
          </cell>
          <cell r="F99">
            <v>0</v>
          </cell>
          <cell r="G99">
            <v>0</v>
          </cell>
          <cell r="H99">
            <v>0</v>
          </cell>
          <cell r="I99">
            <v>0</v>
          </cell>
          <cell r="L99">
            <v>0</v>
          </cell>
          <cell r="M99">
            <v>0</v>
          </cell>
          <cell r="N99">
            <v>0</v>
          </cell>
          <cell r="S99">
            <v>0</v>
          </cell>
          <cell r="T99">
            <v>0</v>
          </cell>
          <cell r="U99">
            <v>0</v>
          </cell>
          <cell r="W99">
            <v>0.20000100000000001</v>
          </cell>
          <cell r="X99">
            <v>0</v>
          </cell>
        </row>
        <row r="100">
          <cell r="A100">
            <v>37982</v>
          </cell>
          <cell r="B100" t="str">
            <v>CReturns</v>
          </cell>
          <cell r="E100">
            <v>61</v>
          </cell>
          <cell r="F100">
            <v>0</v>
          </cell>
          <cell r="G100">
            <v>462</v>
          </cell>
          <cell r="H100">
            <v>462</v>
          </cell>
          <cell r="I100">
            <v>0</v>
          </cell>
          <cell r="L100">
            <v>24</v>
          </cell>
          <cell r="M100">
            <v>0</v>
          </cell>
          <cell r="N100">
            <v>0</v>
          </cell>
          <cell r="S100">
            <v>0</v>
          </cell>
          <cell r="T100">
            <v>0</v>
          </cell>
          <cell r="U100">
            <v>0</v>
          </cell>
          <cell r="W100">
            <v>-5</v>
          </cell>
          <cell r="X100">
            <v>0</v>
          </cell>
        </row>
        <row r="101">
          <cell r="A101">
            <v>37982</v>
          </cell>
          <cell r="B101" t="str">
            <v>Vreturns</v>
          </cell>
          <cell r="E101">
            <v>78.966667175292997</v>
          </cell>
          <cell r="F101">
            <v>0</v>
          </cell>
          <cell r="G101">
            <v>13200</v>
          </cell>
          <cell r="H101">
            <v>0</v>
          </cell>
          <cell r="I101">
            <v>13200</v>
          </cell>
          <cell r="L101">
            <v>0</v>
          </cell>
          <cell r="M101">
            <v>54</v>
          </cell>
          <cell r="N101">
            <v>0</v>
          </cell>
          <cell r="S101">
            <v>0</v>
          </cell>
          <cell r="T101">
            <v>0</v>
          </cell>
          <cell r="U101">
            <v>0</v>
          </cell>
          <cell r="W101">
            <v>-5.0333300000000003</v>
          </cell>
          <cell r="X101">
            <v>0</v>
          </cell>
        </row>
        <row r="102">
          <cell r="A102">
            <v>37982</v>
          </cell>
          <cell r="B102" t="str">
            <v>QA</v>
          </cell>
          <cell r="E102">
            <v>79.300003051757997</v>
          </cell>
          <cell r="F102">
            <v>0</v>
          </cell>
          <cell r="G102">
            <v>0</v>
          </cell>
          <cell r="H102">
            <v>0</v>
          </cell>
          <cell r="I102">
            <v>0</v>
          </cell>
          <cell r="L102">
            <v>0</v>
          </cell>
          <cell r="M102">
            <v>0</v>
          </cell>
          <cell r="N102">
            <v>0</v>
          </cell>
          <cell r="S102">
            <v>0</v>
          </cell>
          <cell r="T102">
            <v>0</v>
          </cell>
          <cell r="U102">
            <v>0</v>
          </cell>
          <cell r="W102">
            <v>39.549999999999997</v>
          </cell>
          <cell r="X102">
            <v>0</v>
          </cell>
        </row>
        <row r="103">
          <cell r="A103">
            <v>37982</v>
          </cell>
          <cell r="B103" t="str">
            <v>InventoryControl</v>
          </cell>
          <cell r="E103">
            <v>84</v>
          </cell>
          <cell r="F103">
            <v>0</v>
          </cell>
          <cell r="G103">
            <v>0</v>
          </cell>
          <cell r="H103">
            <v>0</v>
          </cell>
          <cell r="I103">
            <v>0</v>
          </cell>
          <cell r="L103">
            <v>0</v>
          </cell>
          <cell r="M103">
            <v>0</v>
          </cell>
          <cell r="N103">
            <v>0</v>
          </cell>
          <cell r="S103">
            <v>0</v>
          </cell>
          <cell r="T103">
            <v>0</v>
          </cell>
          <cell r="U103">
            <v>0</v>
          </cell>
          <cell r="W103">
            <v>74</v>
          </cell>
          <cell r="X103">
            <v>0</v>
          </cell>
        </row>
        <row r="104">
          <cell r="A104">
            <v>37982</v>
          </cell>
          <cell r="B104" t="str">
            <v>BMV Receive</v>
          </cell>
          <cell r="E104">
            <v>88.066665649414006</v>
          </cell>
          <cell r="F104">
            <v>1.82</v>
          </cell>
          <cell r="G104">
            <v>20930</v>
          </cell>
          <cell r="H104">
            <v>19636</v>
          </cell>
          <cell r="I104">
            <v>0</v>
          </cell>
          <cell r="L104">
            <v>108</v>
          </cell>
          <cell r="M104">
            <v>0</v>
          </cell>
          <cell r="N104">
            <v>8</v>
          </cell>
          <cell r="S104">
            <v>0</v>
          </cell>
          <cell r="T104">
            <v>0</v>
          </cell>
          <cell r="U104">
            <v>0</v>
          </cell>
          <cell r="W104">
            <v>-29.753299999999999</v>
          </cell>
          <cell r="X104">
            <v>0</v>
          </cell>
        </row>
        <row r="105">
          <cell r="A105">
            <v>37982</v>
          </cell>
          <cell r="B105" t="str">
            <v>BMV Stow</v>
          </cell>
          <cell r="E105">
            <v>83.5</v>
          </cell>
          <cell r="F105">
            <v>0</v>
          </cell>
          <cell r="G105">
            <v>32475</v>
          </cell>
          <cell r="H105">
            <v>30016</v>
          </cell>
          <cell r="I105">
            <v>2459</v>
          </cell>
          <cell r="L105">
            <v>75.5</v>
          </cell>
          <cell r="M105">
            <v>8</v>
          </cell>
          <cell r="N105">
            <v>0</v>
          </cell>
          <cell r="S105">
            <v>0</v>
          </cell>
          <cell r="T105">
            <v>0</v>
          </cell>
          <cell r="U105">
            <v>0</v>
          </cell>
          <cell r="W105">
            <v>0</v>
          </cell>
          <cell r="X105">
            <v>0</v>
          </cell>
        </row>
        <row r="106">
          <cell r="A106">
            <v>37982</v>
          </cell>
          <cell r="B106" t="str">
            <v>Replenishment</v>
          </cell>
          <cell r="E106">
            <v>36</v>
          </cell>
          <cell r="F106">
            <v>0</v>
          </cell>
          <cell r="G106">
            <v>4330</v>
          </cell>
          <cell r="H106">
            <v>0</v>
          </cell>
          <cell r="I106">
            <v>0</v>
          </cell>
          <cell r="L106">
            <v>0</v>
          </cell>
          <cell r="M106">
            <v>0</v>
          </cell>
          <cell r="N106">
            <v>0</v>
          </cell>
          <cell r="S106">
            <v>0</v>
          </cell>
          <cell r="T106">
            <v>0</v>
          </cell>
          <cell r="U106">
            <v>0</v>
          </cell>
          <cell r="W106">
            <v>0</v>
          </cell>
          <cell r="X106">
            <v>0</v>
          </cell>
        </row>
        <row r="107">
          <cell r="A107">
            <v>37982</v>
          </cell>
          <cell r="B107" t="str">
            <v>Offsite1Receive</v>
          </cell>
          <cell r="E107">
            <v>-147.64999389648</v>
          </cell>
          <cell r="F107">
            <v>0</v>
          </cell>
          <cell r="G107">
            <v>0</v>
          </cell>
          <cell r="H107">
            <v>0</v>
          </cell>
          <cell r="I107">
            <v>0</v>
          </cell>
          <cell r="L107">
            <v>0</v>
          </cell>
          <cell r="M107">
            <v>0</v>
          </cell>
          <cell r="N107">
            <v>0</v>
          </cell>
          <cell r="S107">
            <v>0</v>
          </cell>
          <cell r="T107">
            <v>0</v>
          </cell>
          <cell r="U107">
            <v>0</v>
          </cell>
          <cell r="W107">
            <v>-147.65</v>
          </cell>
          <cell r="X107">
            <v>0</v>
          </cell>
        </row>
        <row r="108">
          <cell r="A108">
            <v>37982</v>
          </cell>
          <cell r="B108" t="str">
            <v>Offsite1Ship</v>
          </cell>
          <cell r="E108">
            <v>144.64999389648</v>
          </cell>
          <cell r="F108">
            <v>18</v>
          </cell>
          <cell r="G108">
            <v>1271</v>
          </cell>
          <cell r="H108">
            <v>1271</v>
          </cell>
          <cell r="I108">
            <v>0</v>
          </cell>
          <cell r="L108">
            <v>37.5</v>
          </cell>
          <cell r="M108">
            <v>0</v>
          </cell>
          <cell r="N108">
            <v>0</v>
          </cell>
          <cell r="S108">
            <v>0</v>
          </cell>
          <cell r="T108">
            <v>0</v>
          </cell>
          <cell r="U108">
            <v>0</v>
          </cell>
          <cell r="W108">
            <v>0</v>
          </cell>
          <cell r="X108">
            <v>0</v>
          </cell>
        </row>
        <row r="109">
          <cell r="A109">
            <v>37982</v>
          </cell>
          <cell r="B109" t="str">
            <v>Shipping</v>
          </cell>
          <cell r="E109">
            <v>432.4333190918</v>
          </cell>
          <cell r="F109">
            <v>0</v>
          </cell>
          <cell r="G109">
            <v>0</v>
          </cell>
          <cell r="H109">
            <v>0</v>
          </cell>
          <cell r="I109">
            <v>0</v>
          </cell>
          <cell r="L109">
            <v>0</v>
          </cell>
          <cell r="M109">
            <v>0</v>
          </cell>
          <cell r="N109">
            <v>0</v>
          </cell>
          <cell r="S109">
            <v>0</v>
          </cell>
          <cell r="T109">
            <v>0</v>
          </cell>
          <cell r="U109">
            <v>0</v>
          </cell>
          <cell r="W109">
            <v>-8.3166799999999999</v>
          </cell>
          <cell r="X109">
            <v>16208</v>
          </cell>
        </row>
        <row r="110">
          <cell r="A110">
            <v>37982</v>
          </cell>
          <cell r="B110" t="str">
            <v>Autobox</v>
          </cell>
          <cell r="E110">
            <v>226</v>
          </cell>
          <cell r="F110">
            <v>0</v>
          </cell>
          <cell r="G110">
            <v>26543</v>
          </cell>
          <cell r="H110">
            <v>0</v>
          </cell>
          <cell r="I110">
            <v>0</v>
          </cell>
          <cell r="L110">
            <v>0</v>
          </cell>
          <cell r="M110">
            <v>0</v>
          </cell>
          <cell r="N110">
            <v>0</v>
          </cell>
          <cell r="S110">
            <v>0</v>
          </cell>
          <cell r="T110">
            <v>0</v>
          </cell>
          <cell r="U110">
            <v>0</v>
          </cell>
          <cell r="W110">
            <v>0</v>
          </cell>
          <cell r="X110">
            <v>0</v>
          </cell>
        </row>
        <row r="111">
          <cell r="A111">
            <v>37982</v>
          </cell>
          <cell r="B111" t="str">
            <v>Levimatic</v>
          </cell>
          <cell r="E111">
            <v>32.25</v>
          </cell>
          <cell r="F111">
            <v>0</v>
          </cell>
          <cell r="G111">
            <v>6189</v>
          </cell>
          <cell r="H111">
            <v>0</v>
          </cell>
          <cell r="I111">
            <v>0</v>
          </cell>
          <cell r="L111">
            <v>0</v>
          </cell>
          <cell r="M111">
            <v>0</v>
          </cell>
          <cell r="N111">
            <v>0</v>
          </cell>
          <cell r="S111">
            <v>0</v>
          </cell>
          <cell r="T111">
            <v>0</v>
          </cell>
          <cell r="U111">
            <v>0</v>
          </cell>
          <cell r="W111">
            <v>0</v>
          </cell>
          <cell r="X111">
            <v>0</v>
          </cell>
        </row>
        <row r="112">
          <cell r="A112">
            <v>37982</v>
          </cell>
          <cell r="B112" t="str">
            <v>Giftwrap</v>
          </cell>
          <cell r="E112">
            <v>37.5</v>
          </cell>
          <cell r="F112">
            <v>0</v>
          </cell>
          <cell r="G112">
            <v>673</v>
          </cell>
          <cell r="H112">
            <v>0</v>
          </cell>
          <cell r="I112">
            <v>0</v>
          </cell>
          <cell r="L112">
            <v>0</v>
          </cell>
          <cell r="M112">
            <v>0</v>
          </cell>
          <cell r="N112">
            <v>0</v>
          </cell>
          <cell r="S112">
            <v>0</v>
          </cell>
          <cell r="T112">
            <v>0</v>
          </cell>
          <cell r="U112">
            <v>0</v>
          </cell>
          <cell r="W112">
            <v>0</v>
          </cell>
          <cell r="X112">
            <v>354</v>
          </cell>
        </row>
        <row r="113">
          <cell r="A113">
            <v>37982</v>
          </cell>
          <cell r="B113" t="str">
            <v>ShipSupport</v>
          </cell>
          <cell r="E113">
            <v>136.68332004547</v>
          </cell>
          <cell r="F113">
            <v>0</v>
          </cell>
          <cell r="G113">
            <v>0</v>
          </cell>
          <cell r="H113">
            <v>0</v>
          </cell>
          <cell r="I113">
            <v>0</v>
          </cell>
          <cell r="L113">
            <v>0</v>
          </cell>
          <cell r="M113">
            <v>0</v>
          </cell>
          <cell r="N113">
            <v>0</v>
          </cell>
          <cell r="S113">
            <v>0</v>
          </cell>
          <cell r="T113">
            <v>0</v>
          </cell>
          <cell r="U113">
            <v>0</v>
          </cell>
          <cell r="W113">
            <v>-8.3166799999999999</v>
          </cell>
          <cell r="X113">
            <v>0</v>
          </cell>
        </row>
        <row r="114">
          <cell r="A114">
            <v>37982</v>
          </cell>
          <cell r="B114" t="str">
            <v>Picking</v>
          </cell>
          <cell r="E114">
            <v>555.58331298828</v>
          </cell>
          <cell r="F114">
            <v>52</v>
          </cell>
          <cell r="G114">
            <v>62753</v>
          </cell>
          <cell r="H114">
            <v>0</v>
          </cell>
          <cell r="I114">
            <v>0</v>
          </cell>
          <cell r="L114">
            <v>0</v>
          </cell>
          <cell r="M114">
            <v>0</v>
          </cell>
          <cell r="N114">
            <v>0</v>
          </cell>
          <cell r="S114">
            <v>0</v>
          </cell>
          <cell r="T114">
            <v>0</v>
          </cell>
          <cell r="U114">
            <v>0</v>
          </cell>
          <cell r="W114">
            <v>-28.416699999999999</v>
          </cell>
          <cell r="X114">
            <v>0</v>
          </cell>
        </row>
        <row r="115">
          <cell r="A115">
            <v>37982</v>
          </cell>
          <cell r="B115" t="str">
            <v>Sortation</v>
          </cell>
          <cell r="E115">
            <v>380.90664434433</v>
          </cell>
          <cell r="F115">
            <v>0</v>
          </cell>
          <cell r="G115">
            <v>0</v>
          </cell>
          <cell r="H115">
            <v>0</v>
          </cell>
          <cell r="I115">
            <v>0</v>
          </cell>
          <cell r="L115">
            <v>0</v>
          </cell>
          <cell r="M115">
            <v>0</v>
          </cell>
          <cell r="N115">
            <v>0</v>
          </cell>
          <cell r="S115">
            <v>0</v>
          </cell>
          <cell r="T115">
            <v>0</v>
          </cell>
          <cell r="U115">
            <v>0</v>
          </cell>
          <cell r="W115">
            <v>-7.4133599999999999</v>
          </cell>
          <cell r="X115">
            <v>0</v>
          </cell>
        </row>
        <row r="116">
          <cell r="A116">
            <v>37982</v>
          </cell>
          <cell r="B116" t="str">
            <v>Rebin</v>
          </cell>
          <cell r="E116">
            <v>175.5</v>
          </cell>
          <cell r="F116">
            <v>36</v>
          </cell>
          <cell r="G116">
            <v>38554</v>
          </cell>
          <cell r="H116">
            <v>0</v>
          </cell>
          <cell r="I116">
            <v>0</v>
          </cell>
          <cell r="L116">
            <v>0</v>
          </cell>
          <cell r="M116">
            <v>0</v>
          </cell>
          <cell r="N116">
            <v>0</v>
          </cell>
          <cell r="S116">
            <v>0</v>
          </cell>
          <cell r="T116">
            <v>0</v>
          </cell>
          <cell r="U116">
            <v>0</v>
          </cell>
          <cell r="W116">
            <v>0</v>
          </cell>
          <cell r="X116">
            <v>0</v>
          </cell>
        </row>
        <row r="117">
          <cell r="A117">
            <v>37982</v>
          </cell>
          <cell r="B117" t="str">
            <v>Stack</v>
          </cell>
          <cell r="E117">
            <v>120.5</v>
          </cell>
          <cell r="F117">
            <v>0</v>
          </cell>
          <cell r="G117">
            <v>25350</v>
          </cell>
          <cell r="H117">
            <v>0</v>
          </cell>
          <cell r="I117">
            <v>0</v>
          </cell>
          <cell r="L117">
            <v>0</v>
          </cell>
          <cell r="M117">
            <v>0</v>
          </cell>
          <cell r="N117">
            <v>0</v>
          </cell>
          <cell r="S117">
            <v>2302</v>
          </cell>
          <cell r="T117">
            <v>0</v>
          </cell>
          <cell r="U117">
            <v>0</v>
          </cell>
          <cell r="W117">
            <v>0</v>
          </cell>
          <cell r="X117">
            <v>0</v>
          </cell>
        </row>
        <row r="118">
          <cell r="A118">
            <v>37982</v>
          </cell>
          <cell r="B118" t="str">
            <v>Bundler</v>
          </cell>
          <cell r="E118">
            <v>84.906639575957996</v>
          </cell>
          <cell r="F118">
            <v>0</v>
          </cell>
          <cell r="G118">
            <v>25350</v>
          </cell>
          <cell r="H118">
            <v>0</v>
          </cell>
          <cell r="I118">
            <v>0</v>
          </cell>
          <cell r="L118">
            <v>0</v>
          </cell>
          <cell r="M118">
            <v>0</v>
          </cell>
          <cell r="N118">
            <v>0</v>
          </cell>
          <cell r="S118">
            <v>0</v>
          </cell>
          <cell r="T118">
            <v>0</v>
          </cell>
          <cell r="U118">
            <v>0</v>
          </cell>
          <cell r="W118">
            <v>-7.4133599999999999</v>
          </cell>
          <cell r="X118">
            <v>7988</v>
          </cell>
        </row>
        <row r="119">
          <cell r="A119">
            <v>37982</v>
          </cell>
          <cell r="B119" t="str">
            <v>Office</v>
          </cell>
          <cell r="E119">
            <v>13</v>
          </cell>
          <cell r="F119">
            <v>0</v>
          </cell>
          <cell r="G119">
            <v>0</v>
          </cell>
          <cell r="H119">
            <v>0</v>
          </cell>
          <cell r="I119">
            <v>0</v>
          </cell>
          <cell r="L119">
            <v>0</v>
          </cell>
          <cell r="M119">
            <v>0</v>
          </cell>
          <cell r="N119">
            <v>0</v>
          </cell>
          <cell r="S119">
            <v>0</v>
          </cell>
          <cell r="T119">
            <v>0</v>
          </cell>
          <cell r="U119">
            <v>0</v>
          </cell>
          <cell r="W119">
            <v>13</v>
          </cell>
          <cell r="X119">
            <v>0</v>
          </cell>
        </row>
        <row r="120">
          <cell r="A120">
            <v>37982</v>
          </cell>
          <cell r="B120" t="str">
            <v>Office</v>
          </cell>
          <cell r="E120">
            <v>0</v>
          </cell>
          <cell r="F120">
            <v>0</v>
          </cell>
          <cell r="G120">
            <v>0</v>
          </cell>
          <cell r="H120">
            <v>0</v>
          </cell>
          <cell r="I120">
            <v>0</v>
          </cell>
          <cell r="L120">
            <v>0</v>
          </cell>
          <cell r="M120">
            <v>0</v>
          </cell>
          <cell r="N120">
            <v>0</v>
          </cell>
          <cell r="S120">
            <v>0</v>
          </cell>
          <cell r="T120">
            <v>0</v>
          </cell>
          <cell r="U120">
            <v>0</v>
          </cell>
          <cell r="W120">
            <v>0</v>
          </cell>
          <cell r="X120">
            <v>0</v>
          </cell>
        </row>
        <row r="121">
          <cell r="A121">
            <v>37982</v>
          </cell>
          <cell r="B121" t="str">
            <v>BMV Receive</v>
          </cell>
          <cell r="E121">
            <v>41.299999237061002</v>
          </cell>
          <cell r="F121">
            <v>0</v>
          </cell>
          <cell r="G121">
            <v>0</v>
          </cell>
          <cell r="H121">
            <v>0</v>
          </cell>
          <cell r="I121">
            <v>0</v>
          </cell>
          <cell r="L121">
            <v>0</v>
          </cell>
          <cell r="M121">
            <v>0</v>
          </cell>
          <cell r="N121">
            <v>0</v>
          </cell>
          <cell r="S121">
            <v>0</v>
          </cell>
          <cell r="T121">
            <v>0</v>
          </cell>
          <cell r="U121">
            <v>0</v>
          </cell>
          <cell r="W121">
            <v>41.3</v>
          </cell>
          <cell r="X121">
            <v>0</v>
          </cell>
        </row>
        <row r="122">
          <cell r="A122">
            <v>37982</v>
          </cell>
          <cell r="B122" t="str">
            <v>Picking</v>
          </cell>
          <cell r="E122">
            <v>-4.9999237060547E-2</v>
          </cell>
          <cell r="F122">
            <v>0</v>
          </cell>
          <cell r="G122">
            <v>0</v>
          </cell>
          <cell r="H122">
            <v>0</v>
          </cell>
          <cell r="I122">
            <v>0</v>
          </cell>
          <cell r="L122">
            <v>0</v>
          </cell>
          <cell r="M122">
            <v>0</v>
          </cell>
          <cell r="N122">
            <v>0</v>
          </cell>
          <cell r="S122">
            <v>0</v>
          </cell>
          <cell r="T122">
            <v>0</v>
          </cell>
          <cell r="U122">
            <v>0</v>
          </cell>
          <cell r="W122">
            <v>-4.9999200000000001E-2</v>
          </cell>
          <cell r="X122">
            <v>0</v>
          </cell>
        </row>
        <row r="123">
          <cell r="A123">
            <v>37982</v>
          </cell>
          <cell r="B123" t="str">
            <v>QA</v>
          </cell>
          <cell r="E123">
            <v>3.0999999046325999</v>
          </cell>
          <cell r="F123">
            <v>0</v>
          </cell>
          <cell r="G123">
            <v>0</v>
          </cell>
          <cell r="H123">
            <v>0</v>
          </cell>
          <cell r="I123">
            <v>0</v>
          </cell>
          <cell r="L123">
            <v>0</v>
          </cell>
          <cell r="M123">
            <v>0</v>
          </cell>
          <cell r="N123">
            <v>0</v>
          </cell>
          <cell r="S123">
            <v>0</v>
          </cell>
          <cell r="T123">
            <v>0</v>
          </cell>
          <cell r="U123">
            <v>0</v>
          </cell>
          <cell r="W123">
            <v>3.1</v>
          </cell>
          <cell r="X123">
            <v>0</v>
          </cell>
        </row>
        <row r="124">
          <cell r="A124">
            <v>37982</v>
          </cell>
          <cell r="B124" t="str">
            <v>Vreturns</v>
          </cell>
          <cell r="E124">
            <v>0</v>
          </cell>
          <cell r="F124">
            <v>0</v>
          </cell>
          <cell r="G124">
            <v>0</v>
          </cell>
          <cell r="H124">
            <v>0</v>
          </cell>
          <cell r="I124">
            <v>0</v>
          </cell>
          <cell r="L124">
            <v>0</v>
          </cell>
          <cell r="M124">
            <v>0</v>
          </cell>
          <cell r="N124">
            <v>0</v>
          </cell>
          <cell r="S124">
            <v>0</v>
          </cell>
          <cell r="T124">
            <v>0</v>
          </cell>
          <cell r="U124">
            <v>0</v>
          </cell>
          <cell r="W124">
            <v>0</v>
          </cell>
          <cell r="X124">
            <v>0</v>
          </cell>
        </row>
        <row r="125">
          <cell r="A125">
            <v>37982</v>
          </cell>
          <cell r="B125" t="str">
            <v>Facilities</v>
          </cell>
          <cell r="E125">
            <v>28.416666030883999</v>
          </cell>
          <cell r="F125">
            <v>0</v>
          </cell>
          <cell r="G125">
            <v>0</v>
          </cell>
          <cell r="H125">
            <v>0</v>
          </cell>
          <cell r="I125">
            <v>0</v>
          </cell>
          <cell r="L125">
            <v>0</v>
          </cell>
          <cell r="M125">
            <v>0</v>
          </cell>
          <cell r="N125">
            <v>0</v>
          </cell>
          <cell r="S125">
            <v>0</v>
          </cell>
          <cell r="T125">
            <v>0</v>
          </cell>
          <cell r="U125">
            <v>0</v>
          </cell>
          <cell r="W125">
            <v>28.416699999999999</v>
          </cell>
          <cell r="X125">
            <v>0</v>
          </cell>
        </row>
        <row r="126">
          <cell r="A126">
            <v>37982</v>
          </cell>
          <cell r="B126" t="str">
            <v>Facilities</v>
          </cell>
          <cell r="E126">
            <v>0</v>
          </cell>
          <cell r="F126">
            <v>0</v>
          </cell>
          <cell r="G126">
            <v>0</v>
          </cell>
          <cell r="H126">
            <v>0</v>
          </cell>
          <cell r="I126">
            <v>0</v>
          </cell>
          <cell r="L126">
            <v>0</v>
          </cell>
          <cell r="M126">
            <v>0</v>
          </cell>
          <cell r="N126">
            <v>0</v>
          </cell>
          <cell r="S126">
            <v>0</v>
          </cell>
          <cell r="T126">
            <v>0</v>
          </cell>
          <cell r="U126">
            <v>0</v>
          </cell>
          <cell r="W126">
            <v>0</v>
          </cell>
          <cell r="X126">
            <v>0</v>
          </cell>
        </row>
        <row r="127">
          <cell r="A127">
            <v>37982</v>
          </cell>
          <cell r="B127" t="str">
            <v>SNOC</v>
          </cell>
          <cell r="E127">
            <v>11.89999961853</v>
          </cell>
          <cell r="F127">
            <v>0</v>
          </cell>
          <cell r="G127">
            <v>0</v>
          </cell>
          <cell r="H127">
            <v>0</v>
          </cell>
          <cell r="I127">
            <v>0</v>
          </cell>
          <cell r="L127">
            <v>0</v>
          </cell>
          <cell r="M127">
            <v>0</v>
          </cell>
          <cell r="N127">
            <v>0</v>
          </cell>
          <cell r="S127">
            <v>0</v>
          </cell>
          <cell r="T127">
            <v>0</v>
          </cell>
          <cell r="U127">
            <v>0</v>
          </cell>
          <cell r="W127">
            <v>11.9</v>
          </cell>
          <cell r="X127">
            <v>0</v>
          </cell>
        </row>
        <row r="128">
          <cell r="A128">
            <v>37982</v>
          </cell>
          <cell r="B128" t="str">
            <v>Sortation</v>
          </cell>
          <cell r="E128">
            <v>0.12666702270508001</v>
          </cell>
          <cell r="F128">
            <v>0</v>
          </cell>
          <cell r="G128">
            <v>0</v>
          </cell>
          <cell r="H128">
            <v>0</v>
          </cell>
          <cell r="I128">
            <v>0</v>
          </cell>
          <cell r="L128">
            <v>0</v>
          </cell>
          <cell r="M128">
            <v>0</v>
          </cell>
          <cell r="N128">
            <v>0</v>
          </cell>
          <cell r="S128">
            <v>0</v>
          </cell>
          <cell r="T128">
            <v>0</v>
          </cell>
          <cell r="U128">
            <v>0</v>
          </cell>
          <cell r="W128">
            <v>0.126667</v>
          </cell>
          <cell r="X128">
            <v>0</v>
          </cell>
        </row>
        <row r="129">
          <cell r="A129">
            <v>37982</v>
          </cell>
          <cell r="B129" t="str">
            <v>Shipping</v>
          </cell>
          <cell r="E129">
            <v>56.5</v>
          </cell>
          <cell r="F129">
            <v>0</v>
          </cell>
          <cell r="G129">
            <v>0</v>
          </cell>
          <cell r="H129">
            <v>0</v>
          </cell>
          <cell r="I129">
            <v>0</v>
          </cell>
          <cell r="L129">
            <v>0</v>
          </cell>
          <cell r="M129">
            <v>0</v>
          </cell>
          <cell r="N129">
            <v>0</v>
          </cell>
          <cell r="S129">
            <v>0</v>
          </cell>
          <cell r="T129">
            <v>0</v>
          </cell>
          <cell r="U129">
            <v>0</v>
          </cell>
          <cell r="W129">
            <v>56.5</v>
          </cell>
          <cell r="X129">
            <v>0</v>
          </cell>
        </row>
        <row r="130">
          <cell r="A130">
            <v>37982</v>
          </cell>
          <cell r="B130" t="str">
            <v>CustomerService</v>
          </cell>
          <cell r="E130">
            <v>12</v>
          </cell>
          <cell r="F130">
            <v>0</v>
          </cell>
          <cell r="G130">
            <v>0</v>
          </cell>
          <cell r="H130">
            <v>0</v>
          </cell>
          <cell r="I130">
            <v>0</v>
          </cell>
          <cell r="L130">
            <v>0</v>
          </cell>
          <cell r="M130">
            <v>0</v>
          </cell>
          <cell r="N130">
            <v>0</v>
          </cell>
          <cell r="S130">
            <v>0</v>
          </cell>
          <cell r="T130">
            <v>0</v>
          </cell>
          <cell r="U130">
            <v>0</v>
          </cell>
          <cell r="W130">
            <v>12</v>
          </cell>
          <cell r="X130">
            <v>0</v>
          </cell>
        </row>
        <row r="131">
          <cell r="A131">
            <v>37982</v>
          </cell>
          <cell r="B131" t="str">
            <v>CustomerService</v>
          </cell>
          <cell r="E131">
            <v>0</v>
          </cell>
          <cell r="F131">
            <v>0</v>
          </cell>
          <cell r="G131">
            <v>0</v>
          </cell>
          <cell r="H131">
            <v>0</v>
          </cell>
          <cell r="I131">
            <v>0</v>
          </cell>
          <cell r="L131">
            <v>0</v>
          </cell>
          <cell r="M131">
            <v>0</v>
          </cell>
          <cell r="N131">
            <v>0</v>
          </cell>
          <cell r="S131">
            <v>0</v>
          </cell>
          <cell r="T131">
            <v>0</v>
          </cell>
          <cell r="U131">
            <v>0</v>
          </cell>
          <cell r="W131">
            <v>0</v>
          </cell>
          <cell r="X131">
            <v>0</v>
          </cell>
        </row>
        <row r="132">
          <cell r="A132">
            <v>37982</v>
          </cell>
          <cell r="B132" t="str">
            <v>Bundler</v>
          </cell>
          <cell r="E132">
            <v>0.12666699290276001</v>
          </cell>
          <cell r="F132">
            <v>0</v>
          </cell>
          <cell r="G132">
            <v>0</v>
          </cell>
          <cell r="H132">
            <v>0</v>
          </cell>
          <cell r="I132">
            <v>0</v>
          </cell>
          <cell r="L132">
            <v>0</v>
          </cell>
          <cell r="M132">
            <v>0</v>
          </cell>
          <cell r="N132">
            <v>0</v>
          </cell>
          <cell r="S132">
            <v>0</v>
          </cell>
          <cell r="T132">
            <v>0</v>
          </cell>
          <cell r="U132">
            <v>0</v>
          </cell>
          <cell r="W132">
            <v>0.126667</v>
          </cell>
          <cell r="X132">
            <v>0</v>
          </cell>
        </row>
        <row r="133">
          <cell r="A133">
            <v>37982</v>
          </cell>
          <cell r="B133" t="str">
            <v>Training</v>
          </cell>
          <cell r="E133">
            <v>0</v>
          </cell>
          <cell r="F133">
            <v>0</v>
          </cell>
          <cell r="G133">
            <v>0</v>
          </cell>
          <cell r="H133">
            <v>0</v>
          </cell>
          <cell r="I133">
            <v>0</v>
          </cell>
          <cell r="L133">
            <v>0</v>
          </cell>
          <cell r="M133">
            <v>0</v>
          </cell>
          <cell r="N133">
            <v>0</v>
          </cell>
          <cell r="S133">
            <v>0</v>
          </cell>
          <cell r="T133">
            <v>0</v>
          </cell>
          <cell r="U133">
            <v>0</v>
          </cell>
          <cell r="W133">
            <v>0</v>
          </cell>
          <cell r="X133">
            <v>0</v>
          </cell>
        </row>
        <row r="134">
          <cell r="A134">
            <v>37981</v>
          </cell>
          <cell r="B134" t="str">
            <v>InventoryControl</v>
          </cell>
          <cell r="E134">
            <v>127.44999694824</v>
          </cell>
          <cell r="F134">
            <v>0</v>
          </cell>
          <cell r="G134">
            <v>0</v>
          </cell>
          <cell r="H134">
            <v>0</v>
          </cell>
          <cell r="I134">
            <v>0</v>
          </cell>
          <cell r="L134">
            <v>0</v>
          </cell>
          <cell r="M134">
            <v>0</v>
          </cell>
          <cell r="N134">
            <v>0</v>
          </cell>
          <cell r="S134">
            <v>0</v>
          </cell>
          <cell r="T134">
            <v>0</v>
          </cell>
          <cell r="U134">
            <v>0</v>
          </cell>
          <cell r="W134">
            <v>-4.3</v>
          </cell>
          <cell r="X134">
            <v>0</v>
          </cell>
        </row>
        <row r="135">
          <cell r="A135">
            <v>37981</v>
          </cell>
          <cell r="B135" t="str">
            <v>Shipping</v>
          </cell>
          <cell r="E135">
            <v>370.23333740234</v>
          </cell>
          <cell r="F135">
            <v>0</v>
          </cell>
          <cell r="G135">
            <v>0</v>
          </cell>
          <cell r="H135">
            <v>0</v>
          </cell>
          <cell r="I135">
            <v>0</v>
          </cell>
          <cell r="L135">
            <v>0</v>
          </cell>
          <cell r="M135">
            <v>0</v>
          </cell>
          <cell r="N135">
            <v>0</v>
          </cell>
          <cell r="S135">
            <v>0</v>
          </cell>
          <cell r="T135">
            <v>0</v>
          </cell>
          <cell r="U135">
            <v>0</v>
          </cell>
          <cell r="W135">
            <v>8.9833400000000001</v>
          </cell>
          <cell r="X135">
            <v>11633</v>
          </cell>
        </row>
        <row r="136">
          <cell r="A136">
            <v>37981</v>
          </cell>
          <cell r="B136" t="str">
            <v>Autobox</v>
          </cell>
          <cell r="E136">
            <v>149.5</v>
          </cell>
          <cell r="F136">
            <v>0</v>
          </cell>
          <cell r="G136">
            <v>17558</v>
          </cell>
          <cell r="H136">
            <v>0</v>
          </cell>
          <cell r="I136">
            <v>0</v>
          </cell>
          <cell r="L136">
            <v>0</v>
          </cell>
          <cell r="M136">
            <v>0</v>
          </cell>
          <cell r="N136">
            <v>0</v>
          </cell>
          <cell r="S136">
            <v>0</v>
          </cell>
          <cell r="T136">
            <v>0</v>
          </cell>
          <cell r="U136">
            <v>0</v>
          </cell>
          <cell r="W136">
            <v>0</v>
          </cell>
          <cell r="X136">
            <v>0</v>
          </cell>
        </row>
        <row r="137">
          <cell r="A137">
            <v>37981</v>
          </cell>
          <cell r="B137" t="str">
            <v>Levimatic</v>
          </cell>
          <cell r="E137">
            <v>0</v>
          </cell>
          <cell r="F137">
            <v>0</v>
          </cell>
          <cell r="G137">
            <v>0</v>
          </cell>
          <cell r="H137">
            <v>0</v>
          </cell>
          <cell r="I137">
            <v>0</v>
          </cell>
          <cell r="L137">
            <v>0</v>
          </cell>
          <cell r="M137">
            <v>0</v>
          </cell>
          <cell r="N137">
            <v>0</v>
          </cell>
          <cell r="S137">
            <v>0</v>
          </cell>
          <cell r="T137">
            <v>0</v>
          </cell>
          <cell r="U137">
            <v>0</v>
          </cell>
          <cell r="W137">
            <v>0</v>
          </cell>
          <cell r="X137">
            <v>0</v>
          </cell>
        </row>
        <row r="138">
          <cell r="A138">
            <v>37981</v>
          </cell>
          <cell r="B138" t="str">
            <v>Giftwrap</v>
          </cell>
          <cell r="E138">
            <v>0</v>
          </cell>
          <cell r="F138">
            <v>0</v>
          </cell>
          <cell r="G138">
            <v>0</v>
          </cell>
          <cell r="H138">
            <v>0</v>
          </cell>
          <cell r="I138">
            <v>0</v>
          </cell>
          <cell r="L138">
            <v>0</v>
          </cell>
          <cell r="M138">
            <v>0</v>
          </cell>
          <cell r="N138">
            <v>0</v>
          </cell>
          <cell r="S138">
            <v>0</v>
          </cell>
          <cell r="T138">
            <v>0</v>
          </cell>
          <cell r="U138">
            <v>0</v>
          </cell>
          <cell r="W138">
            <v>0</v>
          </cell>
          <cell r="X138">
            <v>0</v>
          </cell>
        </row>
        <row r="139">
          <cell r="A139">
            <v>37981</v>
          </cell>
          <cell r="B139" t="str">
            <v>ShipSupport</v>
          </cell>
          <cell r="E139">
            <v>220.73334026337</v>
          </cell>
          <cell r="F139">
            <v>50</v>
          </cell>
          <cell r="G139">
            <v>0</v>
          </cell>
          <cell r="H139">
            <v>0</v>
          </cell>
          <cell r="I139">
            <v>0</v>
          </cell>
          <cell r="L139">
            <v>0</v>
          </cell>
          <cell r="M139">
            <v>0</v>
          </cell>
          <cell r="N139">
            <v>0</v>
          </cell>
          <cell r="S139">
            <v>0</v>
          </cell>
          <cell r="T139">
            <v>0</v>
          </cell>
          <cell r="U139">
            <v>0</v>
          </cell>
          <cell r="W139">
            <v>8.9833400000000001</v>
          </cell>
          <cell r="X139">
            <v>0</v>
          </cell>
        </row>
        <row r="140">
          <cell r="A140">
            <v>37981</v>
          </cell>
          <cell r="B140" t="str">
            <v>Picking</v>
          </cell>
          <cell r="E140">
            <v>380.75</v>
          </cell>
          <cell r="F140">
            <v>30</v>
          </cell>
          <cell r="G140">
            <v>44798</v>
          </cell>
          <cell r="H140">
            <v>0</v>
          </cell>
          <cell r="I140">
            <v>0</v>
          </cell>
          <cell r="L140">
            <v>0</v>
          </cell>
          <cell r="M140">
            <v>0</v>
          </cell>
          <cell r="N140">
            <v>0</v>
          </cell>
          <cell r="S140">
            <v>0</v>
          </cell>
          <cell r="T140">
            <v>0</v>
          </cell>
          <cell r="U140">
            <v>0</v>
          </cell>
          <cell r="W140">
            <v>-4</v>
          </cell>
          <cell r="X140">
            <v>0</v>
          </cell>
        </row>
        <row r="141">
          <cell r="A141">
            <v>37981</v>
          </cell>
          <cell r="B141" t="str">
            <v>Offsite1Receive</v>
          </cell>
          <cell r="E141">
            <v>13.929992675781</v>
          </cell>
          <cell r="F141">
            <v>7</v>
          </cell>
          <cell r="G141">
            <v>2079</v>
          </cell>
          <cell r="H141">
            <v>0</v>
          </cell>
          <cell r="I141">
            <v>0</v>
          </cell>
          <cell r="L141">
            <v>0</v>
          </cell>
          <cell r="M141">
            <v>0</v>
          </cell>
          <cell r="N141">
            <v>0</v>
          </cell>
          <cell r="S141">
            <v>0</v>
          </cell>
          <cell r="T141">
            <v>0</v>
          </cell>
          <cell r="U141">
            <v>0</v>
          </cell>
          <cell r="W141">
            <v>-14.07</v>
          </cell>
          <cell r="X141">
            <v>0</v>
          </cell>
        </row>
        <row r="142">
          <cell r="A142">
            <v>37981</v>
          </cell>
          <cell r="B142" t="str">
            <v>Offsite1Ship</v>
          </cell>
          <cell r="E142">
            <v>203.57000732422</v>
          </cell>
          <cell r="F142">
            <v>17</v>
          </cell>
          <cell r="G142">
            <v>2053</v>
          </cell>
          <cell r="H142">
            <v>0</v>
          </cell>
          <cell r="I142">
            <v>0</v>
          </cell>
          <cell r="L142">
            <v>0</v>
          </cell>
          <cell r="M142">
            <v>0</v>
          </cell>
          <cell r="N142">
            <v>0</v>
          </cell>
          <cell r="S142">
            <v>0</v>
          </cell>
          <cell r="T142">
            <v>0</v>
          </cell>
          <cell r="U142">
            <v>0</v>
          </cell>
          <cell r="W142">
            <v>0</v>
          </cell>
          <cell r="X142">
            <v>0</v>
          </cell>
        </row>
        <row r="143">
          <cell r="A143">
            <v>37981</v>
          </cell>
          <cell r="B143" t="str">
            <v>BMV Receive</v>
          </cell>
          <cell r="E143">
            <v>200.89999389648</v>
          </cell>
          <cell r="F143">
            <v>36.9</v>
          </cell>
          <cell r="G143">
            <v>59325</v>
          </cell>
          <cell r="H143">
            <v>46668</v>
          </cell>
          <cell r="I143">
            <v>0</v>
          </cell>
          <cell r="L143">
            <v>208</v>
          </cell>
          <cell r="M143">
            <v>0</v>
          </cell>
          <cell r="N143">
            <v>12</v>
          </cell>
          <cell r="S143">
            <v>0</v>
          </cell>
          <cell r="T143">
            <v>32</v>
          </cell>
          <cell r="U143">
            <v>0</v>
          </cell>
          <cell r="W143">
            <v>-56</v>
          </cell>
          <cell r="X143">
            <v>0</v>
          </cell>
        </row>
        <row r="144">
          <cell r="A144">
            <v>37981</v>
          </cell>
          <cell r="B144" t="str">
            <v>Sortation</v>
          </cell>
          <cell r="E144">
            <v>255.75</v>
          </cell>
          <cell r="F144">
            <v>0</v>
          </cell>
          <cell r="G144">
            <v>0</v>
          </cell>
          <cell r="H144">
            <v>0</v>
          </cell>
          <cell r="I144">
            <v>0</v>
          </cell>
          <cell r="L144">
            <v>0</v>
          </cell>
          <cell r="M144">
            <v>0</v>
          </cell>
          <cell r="N144">
            <v>0</v>
          </cell>
          <cell r="S144">
            <v>0</v>
          </cell>
          <cell r="T144">
            <v>0</v>
          </cell>
          <cell r="U144">
            <v>0</v>
          </cell>
          <cell r="W144">
            <v>-45.5</v>
          </cell>
          <cell r="X144">
            <v>0</v>
          </cell>
        </row>
        <row r="145">
          <cell r="A145">
            <v>37981</v>
          </cell>
          <cell r="B145" t="str">
            <v>Rebin</v>
          </cell>
          <cell r="E145">
            <v>120</v>
          </cell>
          <cell r="F145">
            <v>20</v>
          </cell>
          <cell r="G145">
            <v>25624</v>
          </cell>
          <cell r="H145">
            <v>0</v>
          </cell>
          <cell r="I145">
            <v>0</v>
          </cell>
          <cell r="L145">
            <v>0</v>
          </cell>
          <cell r="M145">
            <v>0</v>
          </cell>
          <cell r="N145">
            <v>0</v>
          </cell>
          <cell r="S145">
            <v>0</v>
          </cell>
          <cell r="T145">
            <v>0</v>
          </cell>
          <cell r="U145">
            <v>0</v>
          </cell>
          <cell r="W145">
            <v>0</v>
          </cell>
          <cell r="X145">
            <v>0</v>
          </cell>
        </row>
        <row r="146">
          <cell r="A146">
            <v>37981</v>
          </cell>
          <cell r="B146" t="str">
            <v>Stack</v>
          </cell>
          <cell r="E146">
            <v>85</v>
          </cell>
          <cell r="F146">
            <v>0</v>
          </cell>
          <cell r="G146">
            <v>15414</v>
          </cell>
          <cell r="H146">
            <v>0</v>
          </cell>
          <cell r="I146">
            <v>0</v>
          </cell>
          <cell r="L146">
            <v>0</v>
          </cell>
          <cell r="M146">
            <v>0</v>
          </cell>
          <cell r="N146">
            <v>0</v>
          </cell>
          <cell r="S146">
            <v>0</v>
          </cell>
          <cell r="T146">
            <v>0</v>
          </cell>
          <cell r="U146">
            <v>0</v>
          </cell>
          <cell r="W146">
            <v>0</v>
          </cell>
          <cell r="X146">
            <v>0</v>
          </cell>
        </row>
        <row r="147">
          <cell r="A147">
            <v>37981</v>
          </cell>
          <cell r="B147" t="str">
            <v>Bundler</v>
          </cell>
          <cell r="E147">
            <v>50.75</v>
          </cell>
          <cell r="F147">
            <v>0</v>
          </cell>
          <cell r="G147">
            <v>15414</v>
          </cell>
          <cell r="H147">
            <v>0</v>
          </cell>
          <cell r="I147">
            <v>0</v>
          </cell>
          <cell r="L147">
            <v>0</v>
          </cell>
          <cell r="M147">
            <v>0</v>
          </cell>
          <cell r="N147">
            <v>0</v>
          </cell>
          <cell r="S147">
            <v>0</v>
          </cell>
          <cell r="T147">
            <v>0</v>
          </cell>
          <cell r="U147">
            <v>0</v>
          </cell>
          <cell r="W147">
            <v>-45.5</v>
          </cell>
          <cell r="X147">
            <v>5329</v>
          </cell>
        </row>
        <row r="148">
          <cell r="A148">
            <v>37981</v>
          </cell>
          <cell r="B148" t="str">
            <v>BMV Stow</v>
          </cell>
          <cell r="E148">
            <v>110.5</v>
          </cell>
          <cell r="F148">
            <v>0</v>
          </cell>
          <cell r="G148">
            <v>52820</v>
          </cell>
          <cell r="H148">
            <v>41297</v>
          </cell>
          <cell r="I148">
            <v>11523</v>
          </cell>
          <cell r="L148">
            <v>90.5</v>
          </cell>
          <cell r="M148">
            <v>20</v>
          </cell>
          <cell r="N148">
            <v>0</v>
          </cell>
          <cell r="S148">
            <v>0</v>
          </cell>
          <cell r="T148">
            <v>0</v>
          </cell>
          <cell r="U148">
            <v>0</v>
          </cell>
          <cell r="W148">
            <v>0</v>
          </cell>
          <cell r="X148">
            <v>0</v>
          </cell>
        </row>
        <row r="149">
          <cell r="A149">
            <v>37981</v>
          </cell>
          <cell r="B149" t="str">
            <v>Replenishment</v>
          </cell>
          <cell r="E149">
            <v>64</v>
          </cell>
          <cell r="F149">
            <v>0</v>
          </cell>
          <cell r="G149">
            <v>10031</v>
          </cell>
          <cell r="H149">
            <v>0</v>
          </cell>
          <cell r="I149">
            <v>0</v>
          </cell>
          <cell r="L149">
            <v>0</v>
          </cell>
          <cell r="M149">
            <v>0</v>
          </cell>
          <cell r="N149">
            <v>0</v>
          </cell>
          <cell r="S149">
            <v>0</v>
          </cell>
          <cell r="T149">
            <v>0</v>
          </cell>
          <cell r="U149">
            <v>0</v>
          </cell>
          <cell r="W149">
            <v>0</v>
          </cell>
          <cell r="X149">
            <v>0</v>
          </cell>
        </row>
        <row r="150">
          <cell r="A150">
            <v>37981</v>
          </cell>
          <cell r="B150" t="str">
            <v>Vreturns</v>
          </cell>
          <cell r="E150">
            <v>120.01666641235001</v>
          </cell>
          <cell r="F150">
            <v>0</v>
          </cell>
          <cell r="G150">
            <v>9446</v>
          </cell>
          <cell r="H150">
            <v>0</v>
          </cell>
          <cell r="I150">
            <v>9646</v>
          </cell>
          <cell r="L150">
            <v>0</v>
          </cell>
          <cell r="M150">
            <v>70</v>
          </cell>
          <cell r="N150">
            <v>0</v>
          </cell>
          <cell r="S150">
            <v>0</v>
          </cell>
          <cell r="T150">
            <v>0</v>
          </cell>
          <cell r="U150">
            <v>0</v>
          </cell>
          <cell r="W150">
            <v>-14.9833</v>
          </cell>
          <cell r="X150">
            <v>0</v>
          </cell>
        </row>
        <row r="151">
          <cell r="A151">
            <v>37981</v>
          </cell>
          <cell r="B151" t="str">
            <v>Sortation</v>
          </cell>
          <cell r="E151">
            <v>-0.38333129882812</v>
          </cell>
          <cell r="F151">
            <v>0</v>
          </cell>
          <cell r="G151">
            <v>0</v>
          </cell>
          <cell r="H151">
            <v>0</v>
          </cell>
          <cell r="I151">
            <v>0</v>
          </cell>
          <cell r="L151">
            <v>0</v>
          </cell>
          <cell r="M151">
            <v>0</v>
          </cell>
          <cell r="N151">
            <v>0</v>
          </cell>
          <cell r="S151">
            <v>0</v>
          </cell>
          <cell r="T151">
            <v>0</v>
          </cell>
          <cell r="U151">
            <v>0</v>
          </cell>
          <cell r="W151">
            <v>-0.38333099999999998</v>
          </cell>
          <cell r="X151">
            <v>0</v>
          </cell>
        </row>
        <row r="152">
          <cell r="A152">
            <v>37981</v>
          </cell>
          <cell r="B152" t="str">
            <v>Rebin</v>
          </cell>
          <cell r="E152">
            <v>0</v>
          </cell>
          <cell r="F152">
            <v>0</v>
          </cell>
          <cell r="G152">
            <v>0</v>
          </cell>
          <cell r="H152">
            <v>0</v>
          </cell>
          <cell r="I152">
            <v>0</v>
          </cell>
          <cell r="L152">
            <v>0</v>
          </cell>
          <cell r="M152">
            <v>0</v>
          </cell>
          <cell r="N152">
            <v>0</v>
          </cell>
          <cell r="S152">
            <v>0</v>
          </cell>
          <cell r="T152">
            <v>0</v>
          </cell>
          <cell r="U152">
            <v>0</v>
          </cell>
          <cell r="W152">
            <v>0</v>
          </cell>
          <cell r="X152">
            <v>0</v>
          </cell>
        </row>
        <row r="153">
          <cell r="A153">
            <v>37981</v>
          </cell>
          <cell r="B153" t="str">
            <v>Stack</v>
          </cell>
          <cell r="E153">
            <v>0</v>
          </cell>
          <cell r="F153">
            <v>0</v>
          </cell>
          <cell r="G153">
            <v>0</v>
          </cell>
          <cell r="H153">
            <v>0</v>
          </cell>
          <cell r="I153">
            <v>0</v>
          </cell>
          <cell r="L153">
            <v>0</v>
          </cell>
          <cell r="M153">
            <v>0</v>
          </cell>
          <cell r="N153">
            <v>0</v>
          </cell>
          <cell r="S153">
            <v>0</v>
          </cell>
          <cell r="T153">
            <v>0</v>
          </cell>
          <cell r="U153">
            <v>0</v>
          </cell>
          <cell r="W153">
            <v>0</v>
          </cell>
          <cell r="X153">
            <v>0</v>
          </cell>
        </row>
        <row r="154">
          <cell r="A154">
            <v>37981</v>
          </cell>
          <cell r="B154" t="str">
            <v>Bundler</v>
          </cell>
          <cell r="E154">
            <v>-0.38333100080490001</v>
          </cell>
          <cell r="F154">
            <v>0</v>
          </cell>
          <cell r="G154">
            <v>0</v>
          </cell>
          <cell r="H154">
            <v>0</v>
          </cell>
          <cell r="I154">
            <v>0</v>
          </cell>
          <cell r="L154">
            <v>0</v>
          </cell>
          <cell r="M154">
            <v>0</v>
          </cell>
          <cell r="N154">
            <v>0</v>
          </cell>
          <cell r="S154">
            <v>0</v>
          </cell>
          <cell r="T154">
            <v>0</v>
          </cell>
          <cell r="U154">
            <v>0</v>
          </cell>
          <cell r="W154">
            <v>-0.38333099999999998</v>
          </cell>
          <cell r="X154">
            <v>0</v>
          </cell>
        </row>
        <row r="155">
          <cell r="A155">
            <v>37981</v>
          </cell>
          <cell r="B155" t="str">
            <v>CReturns</v>
          </cell>
          <cell r="E155">
            <v>-28</v>
          </cell>
          <cell r="F155">
            <v>0</v>
          </cell>
          <cell r="G155">
            <v>371</v>
          </cell>
          <cell r="H155">
            <v>0</v>
          </cell>
          <cell r="I155">
            <v>0</v>
          </cell>
          <cell r="L155">
            <v>0</v>
          </cell>
          <cell r="M155">
            <v>0</v>
          </cell>
          <cell r="N155">
            <v>0</v>
          </cell>
          <cell r="S155">
            <v>0</v>
          </cell>
          <cell r="T155">
            <v>0</v>
          </cell>
          <cell r="U155">
            <v>0</v>
          </cell>
          <cell r="W155">
            <v>-44</v>
          </cell>
          <cell r="X155">
            <v>0</v>
          </cell>
        </row>
        <row r="156">
          <cell r="A156">
            <v>37981</v>
          </cell>
          <cell r="B156" t="str">
            <v>QA</v>
          </cell>
          <cell r="E156">
            <v>71</v>
          </cell>
          <cell r="F156">
            <v>0</v>
          </cell>
          <cell r="G156">
            <v>0</v>
          </cell>
          <cell r="H156">
            <v>0</v>
          </cell>
          <cell r="I156">
            <v>0</v>
          </cell>
          <cell r="L156">
            <v>0</v>
          </cell>
          <cell r="M156">
            <v>0</v>
          </cell>
          <cell r="N156">
            <v>0</v>
          </cell>
          <cell r="S156">
            <v>0</v>
          </cell>
          <cell r="T156">
            <v>0</v>
          </cell>
          <cell r="U156">
            <v>0</v>
          </cell>
          <cell r="W156">
            <v>-5.5</v>
          </cell>
          <cell r="X156">
            <v>0</v>
          </cell>
        </row>
        <row r="157">
          <cell r="A157">
            <v>37981</v>
          </cell>
          <cell r="B157" t="str">
            <v>Office</v>
          </cell>
          <cell r="E157">
            <v>49.383335113525</v>
          </cell>
          <cell r="F157">
            <v>0</v>
          </cell>
          <cell r="G157">
            <v>0</v>
          </cell>
          <cell r="H157">
            <v>0</v>
          </cell>
          <cell r="I157">
            <v>0</v>
          </cell>
          <cell r="L157">
            <v>0</v>
          </cell>
          <cell r="M157">
            <v>0</v>
          </cell>
          <cell r="N157">
            <v>0</v>
          </cell>
          <cell r="S157">
            <v>0</v>
          </cell>
          <cell r="T157">
            <v>0</v>
          </cell>
          <cell r="U157">
            <v>0</v>
          </cell>
          <cell r="W157">
            <v>49.383299999999998</v>
          </cell>
          <cell r="X157">
            <v>0</v>
          </cell>
        </row>
        <row r="158">
          <cell r="A158">
            <v>37981</v>
          </cell>
          <cell r="B158" t="str">
            <v>Office</v>
          </cell>
          <cell r="E158">
            <v>0</v>
          </cell>
          <cell r="F158">
            <v>0</v>
          </cell>
          <cell r="G158">
            <v>0</v>
          </cell>
          <cell r="H158">
            <v>0</v>
          </cell>
          <cell r="I158">
            <v>0</v>
          </cell>
          <cell r="L158">
            <v>0</v>
          </cell>
          <cell r="M158">
            <v>0</v>
          </cell>
          <cell r="N158">
            <v>0</v>
          </cell>
          <cell r="S158">
            <v>0</v>
          </cell>
          <cell r="T158">
            <v>0</v>
          </cell>
          <cell r="U158">
            <v>0</v>
          </cell>
          <cell r="W158">
            <v>0</v>
          </cell>
          <cell r="X158">
            <v>0</v>
          </cell>
        </row>
        <row r="159">
          <cell r="A159">
            <v>37981</v>
          </cell>
          <cell r="B159" t="str">
            <v>Offsite1Receive</v>
          </cell>
          <cell r="E159">
            <v>0</v>
          </cell>
          <cell r="F159">
            <v>0</v>
          </cell>
          <cell r="G159">
            <v>0</v>
          </cell>
          <cell r="H159">
            <v>0</v>
          </cell>
          <cell r="I159">
            <v>0</v>
          </cell>
          <cell r="L159">
            <v>0</v>
          </cell>
          <cell r="M159">
            <v>0</v>
          </cell>
          <cell r="N159">
            <v>0</v>
          </cell>
          <cell r="S159">
            <v>0</v>
          </cell>
          <cell r="T159">
            <v>0</v>
          </cell>
          <cell r="U159">
            <v>0</v>
          </cell>
          <cell r="W159">
            <v>0</v>
          </cell>
          <cell r="X159">
            <v>0</v>
          </cell>
        </row>
        <row r="160">
          <cell r="A160">
            <v>37981</v>
          </cell>
          <cell r="B160" t="str">
            <v>BMV Receive</v>
          </cell>
          <cell r="E160">
            <v>60.716667175292997</v>
          </cell>
          <cell r="F160">
            <v>0</v>
          </cell>
          <cell r="G160">
            <v>0</v>
          </cell>
          <cell r="H160">
            <v>0</v>
          </cell>
          <cell r="I160">
            <v>0</v>
          </cell>
          <cell r="L160">
            <v>0</v>
          </cell>
          <cell r="M160">
            <v>0</v>
          </cell>
          <cell r="N160">
            <v>0</v>
          </cell>
          <cell r="S160">
            <v>0</v>
          </cell>
          <cell r="T160">
            <v>0</v>
          </cell>
          <cell r="U160">
            <v>0</v>
          </cell>
          <cell r="W160">
            <v>60.716700000000003</v>
          </cell>
          <cell r="X160">
            <v>0</v>
          </cell>
        </row>
        <row r="161">
          <cell r="A161">
            <v>37981</v>
          </cell>
          <cell r="B161" t="str">
            <v>Picking</v>
          </cell>
          <cell r="E161">
            <v>39.900001525878999</v>
          </cell>
          <cell r="F161">
            <v>0</v>
          </cell>
          <cell r="G161">
            <v>0</v>
          </cell>
          <cell r="H161">
            <v>0</v>
          </cell>
          <cell r="I161">
            <v>0</v>
          </cell>
          <cell r="L161">
            <v>0</v>
          </cell>
          <cell r="M161">
            <v>0</v>
          </cell>
          <cell r="N161">
            <v>0</v>
          </cell>
          <cell r="S161">
            <v>0</v>
          </cell>
          <cell r="T161">
            <v>0</v>
          </cell>
          <cell r="U161">
            <v>0</v>
          </cell>
          <cell r="W161">
            <v>39.9</v>
          </cell>
          <cell r="X161">
            <v>0</v>
          </cell>
        </row>
        <row r="162">
          <cell r="A162">
            <v>37981</v>
          </cell>
          <cell r="B162" t="str">
            <v>QA</v>
          </cell>
          <cell r="E162">
            <v>0</v>
          </cell>
          <cell r="F162">
            <v>0</v>
          </cell>
          <cell r="G162">
            <v>0</v>
          </cell>
          <cell r="H162">
            <v>0</v>
          </cell>
          <cell r="I162">
            <v>0</v>
          </cell>
          <cell r="L162">
            <v>0</v>
          </cell>
          <cell r="M162">
            <v>0</v>
          </cell>
          <cell r="N162">
            <v>0</v>
          </cell>
          <cell r="S162">
            <v>0</v>
          </cell>
          <cell r="T162">
            <v>0</v>
          </cell>
          <cell r="U162">
            <v>0</v>
          </cell>
          <cell r="W162">
            <v>0</v>
          </cell>
          <cell r="X162">
            <v>0</v>
          </cell>
        </row>
        <row r="163">
          <cell r="A163">
            <v>37981</v>
          </cell>
          <cell r="B163" t="str">
            <v>Vreturns</v>
          </cell>
          <cell r="E163">
            <v>0</v>
          </cell>
          <cell r="F163">
            <v>0</v>
          </cell>
          <cell r="G163">
            <v>0</v>
          </cell>
          <cell r="H163">
            <v>0</v>
          </cell>
          <cell r="I163">
            <v>0</v>
          </cell>
          <cell r="L163">
            <v>0</v>
          </cell>
          <cell r="M163">
            <v>0</v>
          </cell>
          <cell r="N163">
            <v>0</v>
          </cell>
          <cell r="S163">
            <v>0</v>
          </cell>
          <cell r="T163">
            <v>0</v>
          </cell>
          <cell r="U163">
            <v>0</v>
          </cell>
          <cell r="W163">
            <v>0</v>
          </cell>
          <cell r="X163">
            <v>0</v>
          </cell>
        </row>
        <row r="164">
          <cell r="A164">
            <v>37981</v>
          </cell>
          <cell r="B164" t="str">
            <v>Facilities</v>
          </cell>
          <cell r="E164">
            <v>34</v>
          </cell>
          <cell r="F164">
            <v>0</v>
          </cell>
          <cell r="G164">
            <v>0</v>
          </cell>
          <cell r="H164">
            <v>0</v>
          </cell>
          <cell r="I164">
            <v>0</v>
          </cell>
          <cell r="L164">
            <v>0</v>
          </cell>
          <cell r="M164">
            <v>0</v>
          </cell>
          <cell r="N164">
            <v>0</v>
          </cell>
          <cell r="S164">
            <v>0</v>
          </cell>
          <cell r="T164">
            <v>0</v>
          </cell>
          <cell r="U164">
            <v>0</v>
          </cell>
          <cell r="W164">
            <v>34</v>
          </cell>
          <cell r="X164">
            <v>0</v>
          </cell>
        </row>
        <row r="165">
          <cell r="A165">
            <v>37981</v>
          </cell>
          <cell r="B165" t="str">
            <v>Facilities</v>
          </cell>
          <cell r="E165">
            <v>8.3999996185303001</v>
          </cell>
          <cell r="F165">
            <v>0</v>
          </cell>
          <cell r="G165">
            <v>0</v>
          </cell>
          <cell r="H165">
            <v>0</v>
          </cell>
          <cell r="I165">
            <v>0</v>
          </cell>
          <cell r="L165">
            <v>0</v>
          </cell>
          <cell r="M165">
            <v>0</v>
          </cell>
          <cell r="N165">
            <v>0</v>
          </cell>
          <cell r="S165">
            <v>0</v>
          </cell>
          <cell r="T165">
            <v>0</v>
          </cell>
          <cell r="U165">
            <v>0</v>
          </cell>
          <cell r="W165">
            <v>8.4</v>
          </cell>
          <cell r="X165">
            <v>0</v>
          </cell>
        </row>
        <row r="166">
          <cell r="A166">
            <v>37981</v>
          </cell>
          <cell r="B166" t="str">
            <v>SNOC</v>
          </cell>
          <cell r="E166">
            <v>6.5999999046326003</v>
          </cell>
          <cell r="F166">
            <v>0</v>
          </cell>
          <cell r="G166">
            <v>0</v>
          </cell>
          <cell r="H166">
            <v>0</v>
          </cell>
          <cell r="I166">
            <v>0</v>
          </cell>
          <cell r="L166">
            <v>0</v>
          </cell>
          <cell r="M166">
            <v>0</v>
          </cell>
          <cell r="N166">
            <v>0</v>
          </cell>
          <cell r="S166">
            <v>0</v>
          </cell>
          <cell r="T166">
            <v>0</v>
          </cell>
          <cell r="U166">
            <v>0</v>
          </cell>
          <cell r="W166">
            <v>6.6</v>
          </cell>
          <cell r="X166">
            <v>0</v>
          </cell>
        </row>
        <row r="167">
          <cell r="A167">
            <v>37981</v>
          </cell>
          <cell r="B167" t="str">
            <v>Swat</v>
          </cell>
          <cell r="E167">
            <v>0</v>
          </cell>
          <cell r="F167">
            <v>0</v>
          </cell>
          <cell r="G167">
            <v>0</v>
          </cell>
          <cell r="H167">
            <v>0</v>
          </cell>
          <cell r="I167">
            <v>0</v>
          </cell>
          <cell r="L167">
            <v>0</v>
          </cell>
          <cell r="M167">
            <v>0</v>
          </cell>
          <cell r="N167">
            <v>0</v>
          </cell>
          <cell r="S167">
            <v>0</v>
          </cell>
          <cell r="T167">
            <v>0</v>
          </cell>
          <cell r="U167">
            <v>0</v>
          </cell>
          <cell r="W167">
            <v>0</v>
          </cell>
          <cell r="X167">
            <v>0</v>
          </cell>
        </row>
        <row r="168">
          <cell r="A168">
            <v>37981</v>
          </cell>
          <cell r="B168" t="str">
            <v>Shipping</v>
          </cell>
          <cell r="E168">
            <v>49.599998474121001</v>
          </cell>
          <cell r="F168">
            <v>0</v>
          </cell>
          <cell r="G168">
            <v>0</v>
          </cell>
          <cell r="H168">
            <v>0</v>
          </cell>
          <cell r="I168">
            <v>0</v>
          </cell>
          <cell r="L168">
            <v>0</v>
          </cell>
          <cell r="M168">
            <v>0</v>
          </cell>
          <cell r="N168">
            <v>0</v>
          </cell>
          <cell r="S168">
            <v>0</v>
          </cell>
          <cell r="T168">
            <v>0</v>
          </cell>
          <cell r="U168">
            <v>0</v>
          </cell>
          <cell r="W168">
            <v>49.6</v>
          </cell>
          <cell r="X168">
            <v>0</v>
          </cell>
        </row>
        <row r="169">
          <cell r="A169">
            <v>37981</v>
          </cell>
          <cell r="B169" t="str">
            <v>CustomerService</v>
          </cell>
          <cell r="E169">
            <v>10</v>
          </cell>
          <cell r="F169">
            <v>0</v>
          </cell>
          <cell r="G169">
            <v>0</v>
          </cell>
          <cell r="H169">
            <v>0</v>
          </cell>
          <cell r="I169">
            <v>0</v>
          </cell>
          <cell r="L169">
            <v>0</v>
          </cell>
          <cell r="M169">
            <v>0</v>
          </cell>
          <cell r="N169">
            <v>0</v>
          </cell>
          <cell r="S169">
            <v>0</v>
          </cell>
          <cell r="T169">
            <v>0</v>
          </cell>
          <cell r="U169">
            <v>0</v>
          </cell>
          <cell r="W169">
            <v>10</v>
          </cell>
          <cell r="X169">
            <v>0</v>
          </cell>
        </row>
        <row r="170">
          <cell r="A170">
            <v>37981</v>
          </cell>
          <cell r="B170" t="str">
            <v>CustomerService</v>
          </cell>
          <cell r="E170">
            <v>0</v>
          </cell>
          <cell r="F170">
            <v>0</v>
          </cell>
          <cell r="G170">
            <v>0</v>
          </cell>
          <cell r="H170">
            <v>0</v>
          </cell>
          <cell r="I170">
            <v>0</v>
          </cell>
          <cell r="L170">
            <v>0</v>
          </cell>
          <cell r="M170">
            <v>0</v>
          </cell>
          <cell r="N170">
            <v>0</v>
          </cell>
          <cell r="S170">
            <v>0</v>
          </cell>
          <cell r="T170">
            <v>0</v>
          </cell>
          <cell r="U170">
            <v>0</v>
          </cell>
          <cell r="W170">
            <v>0</v>
          </cell>
          <cell r="X170">
            <v>0</v>
          </cell>
        </row>
        <row r="171">
          <cell r="A171">
            <v>37980</v>
          </cell>
          <cell r="B171" t="str">
            <v>CReturns</v>
          </cell>
          <cell r="E171">
            <v>0</v>
          </cell>
          <cell r="F171">
            <v>0</v>
          </cell>
          <cell r="G171">
            <v>0</v>
          </cell>
          <cell r="H171">
            <v>0</v>
          </cell>
          <cell r="I171">
            <v>0</v>
          </cell>
          <cell r="L171">
            <v>0</v>
          </cell>
          <cell r="M171">
            <v>0</v>
          </cell>
          <cell r="N171">
            <v>0</v>
          </cell>
          <cell r="S171">
            <v>0</v>
          </cell>
          <cell r="T171">
            <v>0</v>
          </cell>
          <cell r="U171">
            <v>0</v>
          </cell>
          <cell r="W171">
            <v>0</v>
          </cell>
          <cell r="X171">
            <v>0</v>
          </cell>
        </row>
        <row r="172">
          <cell r="A172">
            <v>37980</v>
          </cell>
          <cell r="B172" t="str">
            <v>Vreturns</v>
          </cell>
          <cell r="E172">
            <v>0</v>
          </cell>
          <cell r="F172">
            <v>0</v>
          </cell>
          <cell r="G172">
            <v>0</v>
          </cell>
          <cell r="H172">
            <v>0</v>
          </cell>
          <cell r="I172">
            <v>0</v>
          </cell>
          <cell r="L172">
            <v>0</v>
          </cell>
          <cell r="M172">
            <v>0</v>
          </cell>
          <cell r="N172">
            <v>0</v>
          </cell>
          <cell r="S172">
            <v>0</v>
          </cell>
          <cell r="T172">
            <v>0</v>
          </cell>
          <cell r="U172">
            <v>0</v>
          </cell>
          <cell r="W172">
            <v>0</v>
          </cell>
          <cell r="X172">
            <v>0</v>
          </cell>
        </row>
        <row r="173">
          <cell r="A173">
            <v>37979</v>
          </cell>
          <cell r="B173" t="str">
            <v>Picking</v>
          </cell>
          <cell r="E173">
            <v>0</v>
          </cell>
          <cell r="F173">
            <v>0</v>
          </cell>
          <cell r="G173">
            <v>0</v>
          </cell>
          <cell r="H173">
            <v>0</v>
          </cell>
          <cell r="I173">
            <v>0</v>
          </cell>
          <cell r="L173">
            <v>0</v>
          </cell>
          <cell r="M173">
            <v>0</v>
          </cell>
          <cell r="N173">
            <v>0</v>
          </cell>
          <cell r="S173">
            <v>0</v>
          </cell>
          <cell r="T173">
            <v>0</v>
          </cell>
          <cell r="U173">
            <v>0</v>
          </cell>
          <cell r="W173">
            <v>0</v>
          </cell>
          <cell r="X173">
            <v>0</v>
          </cell>
        </row>
        <row r="174">
          <cell r="A174">
            <v>37979</v>
          </cell>
          <cell r="B174" t="str">
            <v>Sortation</v>
          </cell>
          <cell r="E174">
            <v>184.69999694824</v>
          </cell>
          <cell r="F174">
            <v>0</v>
          </cell>
          <cell r="G174">
            <v>0</v>
          </cell>
          <cell r="H174">
            <v>0</v>
          </cell>
          <cell r="I174">
            <v>0</v>
          </cell>
          <cell r="L174">
            <v>0</v>
          </cell>
          <cell r="M174">
            <v>0</v>
          </cell>
          <cell r="N174">
            <v>0</v>
          </cell>
          <cell r="S174">
            <v>0</v>
          </cell>
          <cell r="T174">
            <v>0</v>
          </cell>
          <cell r="U174">
            <v>0</v>
          </cell>
          <cell r="W174">
            <v>-6.92</v>
          </cell>
          <cell r="X174">
            <v>0</v>
          </cell>
        </row>
        <row r="175">
          <cell r="A175">
            <v>37979</v>
          </cell>
          <cell r="B175" t="str">
            <v>Rebin</v>
          </cell>
          <cell r="E175">
            <v>69.5</v>
          </cell>
          <cell r="F175">
            <v>20</v>
          </cell>
          <cell r="G175">
            <v>7538</v>
          </cell>
          <cell r="H175">
            <v>0</v>
          </cell>
          <cell r="I175">
            <v>0</v>
          </cell>
          <cell r="L175">
            <v>0</v>
          </cell>
          <cell r="M175">
            <v>0</v>
          </cell>
          <cell r="N175">
            <v>0</v>
          </cell>
          <cell r="S175">
            <v>0</v>
          </cell>
          <cell r="T175">
            <v>0</v>
          </cell>
          <cell r="U175">
            <v>0</v>
          </cell>
          <cell r="W175">
            <v>0</v>
          </cell>
          <cell r="X175">
            <v>0</v>
          </cell>
        </row>
        <row r="176">
          <cell r="A176">
            <v>37979</v>
          </cell>
          <cell r="B176" t="str">
            <v>Stack</v>
          </cell>
          <cell r="E176">
            <v>47.5</v>
          </cell>
          <cell r="F176">
            <v>0</v>
          </cell>
          <cell r="G176">
            <v>9134</v>
          </cell>
          <cell r="H176">
            <v>0</v>
          </cell>
          <cell r="I176">
            <v>0</v>
          </cell>
          <cell r="L176">
            <v>0</v>
          </cell>
          <cell r="M176">
            <v>0</v>
          </cell>
          <cell r="N176">
            <v>0</v>
          </cell>
          <cell r="S176">
            <v>957</v>
          </cell>
          <cell r="T176">
            <v>0</v>
          </cell>
          <cell r="U176">
            <v>0</v>
          </cell>
          <cell r="W176">
            <v>0</v>
          </cell>
          <cell r="X176">
            <v>0</v>
          </cell>
        </row>
        <row r="177">
          <cell r="A177">
            <v>37979</v>
          </cell>
          <cell r="B177" t="str">
            <v>Bundler</v>
          </cell>
          <cell r="E177">
            <v>67.700002670288001</v>
          </cell>
          <cell r="F177">
            <v>0</v>
          </cell>
          <cell r="G177">
            <v>9134</v>
          </cell>
          <cell r="H177">
            <v>0</v>
          </cell>
          <cell r="I177">
            <v>0</v>
          </cell>
          <cell r="L177">
            <v>0</v>
          </cell>
          <cell r="M177">
            <v>0</v>
          </cell>
          <cell r="N177">
            <v>0</v>
          </cell>
          <cell r="S177">
            <v>0</v>
          </cell>
          <cell r="T177">
            <v>0</v>
          </cell>
          <cell r="U177">
            <v>0</v>
          </cell>
          <cell r="W177">
            <v>-6.92</v>
          </cell>
          <cell r="X177">
            <v>3633</v>
          </cell>
        </row>
        <row r="178">
          <cell r="A178">
            <v>37979</v>
          </cell>
          <cell r="B178" t="str">
            <v>Shipping</v>
          </cell>
          <cell r="E178">
            <v>155.7833404541</v>
          </cell>
          <cell r="F178">
            <v>0</v>
          </cell>
          <cell r="G178">
            <v>0</v>
          </cell>
          <cell r="H178">
            <v>0</v>
          </cell>
          <cell r="I178">
            <v>0</v>
          </cell>
          <cell r="L178">
            <v>0</v>
          </cell>
          <cell r="M178">
            <v>0</v>
          </cell>
          <cell r="N178">
            <v>0</v>
          </cell>
          <cell r="S178">
            <v>0</v>
          </cell>
          <cell r="T178">
            <v>0</v>
          </cell>
          <cell r="U178">
            <v>0</v>
          </cell>
          <cell r="W178">
            <v>-14.216699999999999</v>
          </cell>
          <cell r="X178">
            <v>3840</v>
          </cell>
        </row>
        <row r="179">
          <cell r="A179">
            <v>37979</v>
          </cell>
          <cell r="B179" t="str">
            <v>Autobox</v>
          </cell>
          <cell r="E179">
            <v>62</v>
          </cell>
          <cell r="F179">
            <v>0</v>
          </cell>
          <cell r="G179">
            <v>5463</v>
          </cell>
          <cell r="H179">
            <v>0</v>
          </cell>
          <cell r="I179">
            <v>0</v>
          </cell>
          <cell r="L179">
            <v>0</v>
          </cell>
          <cell r="M179">
            <v>0</v>
          </cell>
          <cell r="N179">
            <v>0</v>
          </cell>
          <cell r="S179">
            <v>0</v>
          </cell>
          <cell r="T179">
            <v>0</v>
          </cell>
          <cell r="U179">
            <v>0</v>
          </cell>
          <cell r="W179">
            <v>0</v>
          </cell>
          <cell r="X179">
            <v>0</v>
          </cell>
        </row>
        <row r="180">
          <cell r="A180">
            <v>37979</v>
          </cell>
          <cell r="B180" t="str">
            <v>Levimatic</v>
          </cell>
          <cell r="E180">
            <v>0</v>
          </cell>
          <cell r="F180">
            <v>0</v>
          </cell>
          <cell r="G180">
            <v>0</v>
          </cell>
          <cell r="H180">
            <v>0</v>
          </cell>
          <cell r="I180">
            <v>0</v>
          </cell>
          <cell r="L180">
            <v>0</v>
          </cell>
          <cell r="M180">
            <v>0</v>
          </cell>
          <cell r="N180">
            <v>0</v>
          </cell>
          <cell r="S180">
            <v>0</v>
          </cell>
          <cell r="T180">
            <v>0</v>
          </cell>
          <cell r="U180">
            <v>0</v>
          </cell>
          <cell r="W180">
            <v>0</v>
          </cell>
          <cell r="X180">
            <v>0</v>
          </cell>
        </row>
        <row r="181">
          <cell r="A181">
            <v>37979</v>
          </cell>
          <cell r="B181" t="str">
            <v>Giftwrap</v>
          </cell>
          <cell r="E181">
            <v>49.5</v>
          </cell>
          <cell r="F181">
            <v>0</v>
          </cell>
          <cell r="G181">
            <v>967</v>
          </cell>
          <cell r="H181">
            <v>0</v>
          </cell>
          <cell r="I181">
            <v>0</v>
          </cell>
          <cell r="L181">
            <v>0</v>
          </cell>
          <cell r="M181">
            <v>0</v>
          </cell>
          <cell r="N181">
            <v>0</v>
          </cell>
          <cell r="S181">
            <v>0</v>
          </cell>
          <cell r="T181">
            <v>0</v>
          </cell>
          <cell r="U181">
            <v>0</v>
          </cell>
          <cell r="W181">
            <v>0</v>
          </cell>
          <cell r="X181">
            <v>967</v>
          </cell>
        </row>
        <row r="182">
          <cell r="A182">
            <v>37979</v>
          </cell>
          <cell r="B182" t="str">
            <v>ShipSupport</v>
          </cell>
          <cell r="E182">
            <v>44.283300399780003</v>
          </cell>
          <cell r="F182">
            <v>40.5</v>
          </cell>
          <cell r="G182">
            <v>0</v>
          </cell>
          <cell r="H182">
            <v>0</v>
          </cell>
          <cell r="I182">
            <v>0</v>
          </cell>
          <cell r="L182">
            <v>0</v>
          </cell>
          <cell r="M182">
            <v>0</v>
          </cell>
          <cell r="N182">
            <v>0</v>
          </cell>
          <cell r="S182">
            <v>0</v>
          </cell>
          <cell r="T182">
            <v>0</v>
          </cell>
          <cell r="U182">
            <v>0</v>
          </cell>
          <cell r="W182">
            <v>-14.216699999999999</v>
          </cell>
          <cell r="X182">
            <v>0</v>
          </cell>
        </row>
        <row r="183">
          <cell r="A183">
            <v>37979</v>
          </cell>
          <cell r="B183" t="str">
            <v>Vreturns</v>
          </cell>
          <cell r="E183">
            <v>23.033332824706999</v>
          </cell>
          <cell r="F183">
            <v>0</v>
          </cell>
          <cell r="G183">
            <v>5678</v>
          </cell>
          <cell r="H183">
            <v>0</v>
          </cell>
          <cell r="I183">
            <v>5678</v>
          </cell>
          <cell r="L183">
            <v>0</v>
          </cell>
          <cell r="M183">
            <v>40</v>
          </cell>
          <cell r="N183">
            <v>0</v>
          </cell>
          <cell r="S183">
            <v>0</v>
          </cell>
          <cell r="T183">
            <v>0</v>
          </cell>
          <cell r="U183">
            <v>0</v>
          </cell>
          <cell r="W183">
            <v>-16.966699999999999</v>
          </cell>
          <cell r="X183">
            <v>0</v>
          </cell>
        </row>
        <row r="184">
          <cell r="A184">
            <v>37979</v>
          </cell>
          <cell r="B184" t="str">
            <v>Picking</v>
          </cell>
          <cell r="E184">
            <v>148.69999694824</v>
          </cell>
          <cell r="F184">
            <v>0</v>
          </cell>
          <cell r="G184">
            <v>9629</v>
          </cell>
          <cell r="H184">
            <v>0</v>
          </cell>
          <cell r="I184">
            <v>0</v>
          </cell>
          <cell r="L184">
            <v>0</v>
          </cell>
          <cell r="M184">
            <v>0</v>
          </cell>
          <cell r="N184">
            <v>0</v>
          </cell>
          <cell r="S184">
            <v>0</v>
          </cell>
          <cell r="T184">
            <v>0</v>
          </cell>
          <cell r="U184">
            <v>0</v>
          </cell>
          <cell r="W184">
            <v>23.2</v>
          </cell>
          <cell r="X184">
            <v>0</v>
          </cell>
        </row>
        <row r="185">
          <cell r="A185">
            <v>37979</v>
          </cell>
          <cell r="B185" t="str">
            <v>BMV Receive</v>
          </cell>
          <cell r="E185">
            <v>282.38333129883</v>
          </cell>
          <cell r="F185">
            <v>108.55</v>
          </cell>
          <cell r="G185">
            <v>35073</v>
          </cell>
          <cell r="H185">
            <v>26820</v>
          </cell>
          <cell r="I185">
            <v>0</v>
          </cell>
          <cell r="L185">
            <v>114</v>
          </cell>
          <cell r="M185">
            <v>0</v>
          </cell>
          <cell r="N185">
            <v>11</v>
          </cell>
          <cell r="S185">
            <v>0</v>
          </cell>
          <cell r="T185">
            <v>45</v>
          </cell>
          <cell r="U185">
            <v>0</v>
          </cell>
          <cell r="W185">
            <v>48.833300000000001</v>
          </cell>
          <cell r="X185">
            <v>0</v>
          </cell>
        </row>
        <row r="186">
          <cell r="A186">
            <v>37979</v>
          </cell>
          <cell r="B186" t="str">
            <v>Offsite1Receive</v>
          </cell>
          <cell r="E186">
            <v>57.033340454102003</v>
          </cell>
          <cell r="F186">
            <v>16.5</v>
          </cell>
          <cell r="G186">
            <v>3087</v>
          </cell>
          <cell r="H186">
            <v>0</v>
          </cell>
          <cell r="I186">
            <v>0</v>
          </cell>
          <cell r="L186">
            <v>0</v>
          </cell>
          <cell r="M186">
            <v>0</v>
          </cell>
          <cell r="N186">
            <v>0</v>
          </cell>
          <cell r="S186">
            <v>0</v>
          </cell>
          <cell r="T186">
            <v>0</v>
          </cell>
          <cell r="U186">
            <v>0</v>
          </cell>
          <cell r="W186">
            <v>1.0333399999999999</v>
          </cell>
          <cell r="X186">
            <v>0</v>
          </cell>
        </row>
        <row r="187">
          <cell r="A187">
            <v>37979</v>
          </cell>
          <cell r="B187" t="str">
            <v>Replenishment</v>
          </cell>
          <cell r="E187">
            <v>47.75</v>
          </cell>
          <cell r="F187">
            <v>0</v>
          </cell>
          <cell r="G187">
            <v>2135</v>
          </cell>
          <cell r="H187">
            <v>0</v>
          </cell>
          <cell r="I187">
            <v>0</v>
          </cell>
          <cell r="L187">
            <v>0</v>
          </cell>
          <cell r="M187">
            <v>0</v>
          </cell>
          <cell r="N187">
            <v>0</v>
          </cell>
          <cell r="S187">
            <v>0</v>
          </cell>
          <cell r="T187">
            <v>0</v>
          </cell>
          <cell r="U187">
            <v>0</v>
          </cell>
          <cell r="W187">
            <v>0</v>
          </cell>
          <cell r="X187">
            <v>0</v>
          </cell>
        </row>
        <row r="188">
          <cell r="A188">
            <v>37979</v>
          </cell>
          <cell r="B188" t="str">
            <v>Offsite1Ship</v>
          </cell>
          <cell r="E188">
            <v>149.89999389648</v>
          </cell>
          <cell r="F188">
            <v>0</v>
          </cell>
          <cell r="G188">
            <v>1078</v>
          </cell>
          <cell r="H188">
            <v>0</v>
          </cell>
          <cell r="I188">
            <v>0</v>
          </cell>
          <cell r="L188">
            <v>0</v>
          </cell>
          <cell r="M188">
            <v>0</v>
          </cell>
          <cell r="N188">
            <v>0</v>
          </cell>
          <cell r="S188">
            <v>0</v>
          </cell>
          <cell r="T188">
            <v>0</v>
          </cell>
          <cell r="U188">
            <v>0</v>
          </cell>
          <cell r="W188">
            <v>0</v>
          </cell>
          <cell r="X188">
            <v>0</v>
          </cell>
        </row>
        <row r="189">
          <cell r="A189">
            <v>37979</v>
          </cell>
          <cell r="B189" t="str">
            <v>InventoryControl</v>
          </cell>
          <cell r="E189">
            <v>89</v>
          </cell>
          <cell r="F189">
            <v>0</v>
          </cell>
          <cell r="G189">
            <v>0</v>
          </cell>
          <cell r="H189">
            <v>0</v>
          </cell>
          <cell r="I189">
            <v>0</v>
          </cell>
          <cell r="L189">
            <v>0</v>
          </cell>
          <cell r="M189">
            <v>0</v>
          </cell>
          <cell r="N189">
            <v>0</v>
          </cell>
          <cell r="S189">
            <v>0</v>
          </cell>
          <cell r="T189">
            <v>0</v>
          </cell>
          <cell r="U189">
            <v>0</v>
          </cell>
          <cell r="W189">
            <v>89</v>
          </cell>
          <cell r="X189">
            <v>0</v>
          </cell>
        </row>
        <row r="190">
          <cell r="A190">
            <v>37979</v>
          </cell>
          <cell r="B190" t="str">
            <v>Office</v>
          </cell>
          <cell r="E190">
            <v>45.349998474121001</v>
          </cell>
          <cell r="F190">
            <v>0</v>
          </cell>
          <cell r="G190">
            <v>0</v>
          </cell>
          <cell r="H190">
            <v>0</v>
          </cell>
          <cell r="I190">
            <v>0</v>
          </cell>
          <cell r="L190">
            <v>0</v>
          </cell>
          <cell r="M190">
            <v>0</v>
          </cell>
          <cell r="N190">
            <v>0</v>
          </cell>
          <cell r="S190">
            <v>0</v>
          </cell>
          <cell r="T190">
            <v>0</v>
          </cell>
          <cell r="U190">
            <v>0</v>
          </cell>
          <cell r="W190">
            <v>45.35</v>
          </cell>
          <cell r="X190">
            <v>0</v>
          </cell>
        </row>
        <row r="191">
          <cell r="A191">
            <v>37979</v>
          </cell>
          <cell r="B191" t="str">
            <v>Office</v>
          </cell>
          <cell r="E191">
            <v>0</v>
          </cell>
          <cell r="F191">
            <v>0</v>
          </cell>
          <cell r="G191">
            <v>0</v>
          </cell>
          <cell r="H191">
            <v>0</v>
          </cell>
          <cell r="I191">
            <v>0</v>
          </cell>
          <cell r="L191">
            <v>0</v>
          </cell>
          <cell r="M191">
            <v>0</v>
          </cell>
          <cell r="N191">
            <v>0</v>
          </cell>
          <cell r="S191">
            <v>0</v>
          </cell>
          <cell r="T191">
            <v>0</v>
          </cell>
          <cell r="U191">
            <v>0</v>
          </cell>
          <cell r="W191">
            <v>0</v>
          </cell>
          <cell r="X191">
            <v>0</v>
          </cell>
        </row>
        <row r="192">
          <cell r="A192">
            <v>37979</v>
          </cell>
          <cell r="B192" t="str">
            <v>Offsite1Receive</v>
          </cell>
          <cell r="E192">
            <v>0</v>
          </cell>
          <cell r="F192">
            <v>0</v>
          </cell>
          <cell r="G192">
            <v>0</v>
          </cell>
          <cell r="H192">
            <v>0</v>
          </cell>
          <cell r="I192">
            <v>0</v>
          </cell>
          <cell r="L192">
            <v>0</v>
          </cell>
          <cell r="M192">
            <v>0</v>
          </cell>
          <cell r="N192">
            <v>0</v>
          </cell>
          <cell r="S192">
            <v>0</v>
          </cell>
          <cell r="T192">
            <v>0</v>
          </cell>
          <cell r="U192">
            <v>0</v>
          </cell>
          <cell r="W192">
            <v>0</v>
          </cell>
          <cell r="X192">
            <v>0</v>
          </cell>
        </row>
        <row r="193">
          <cell r="A193">
            <v>37979</v>
          </cell>
          <cell r="B193" t="str">
            <v>BMV Receive</v>
          </cell>
          <cell r="E193">
            <v>0</v>
          </cell>
          <cell r="F193">
            <v>0</v>
          </cell>
          <cell r="G193">
            <v>0</v>
          </cell>
          <cell r="H193">
            <v>0</v>
          </cell>
          <cell r="I193">
            <v>0</v>
          </cell>
          <cell r="L193">
            <v>0</v>
          </cell>
          <cell r="M193">
            <v>0</v>
          </cell>
          <cell r="N193">
            <v>0</v>
          </cell>
          <cell r="S193">
            <v>0</v>
          </cell>
          <cell r="T193">
            <v>0</v>
          </cell>
          <cell r="U193">
            <v>0</v>
          </cell>
          <cell r="W193">
            <v>0</v>
          </cell>
          <cell r="X193">
            <v>0</v>
          </cell>
        </row>
        <row r="194">
          <cell r="A194">
            <v>37979</v>
          </cell>
          <cell r="B194" t="str">
            <v>QA</v>
          </cell>
          <cell r="E194">
            <v>49.450000762938998</v>
          </cell>
          <cell r="F194">
            <v>0</v>
          </cell>
          <cell r="G194">
            <v>0</v>
          </cell>
          <cell r="H194">
            <v>0</v>
          </cell>
          <cell r="I194">
            <v>0</v>
          </cell>
          <cell r="L194">
            <v>0</v>
          </cell>
          <cell r="M194">
            <v>0</v>
          </cell>
          <cell r="N194">
            <v>0</v>
          </cell>
          <cell r="S194">
            <v>0</v>
          </cell>
          <cell r="T194">
            <v>0</v>
          </cell>
          <cell r="U194">
            <v>0</v>
          </cell>
          <cell r="W194">
            <v>40.450000000000003</v>
          </cell>
          <cell r="X194">
            <v>0</v>
          </cell>
        </row>
        <row r="195">
          <cell r="A195">
            <v>37979</v>
          </cell>
          <cell r="B195" t="str">
            <v>QA</v>
          </cell>
          <cell r="E195">
            <v>0</v>
          </cell>
          <cell r="F195">
            <v>0</v>
          </cell>
          <cell r="G195">
            <v>0</v>
          </cell>
          <cell r="H195">
            <v>0</v>
          </cell>
          <cell r="I195">
            <v>0</v>
          </cell>
          <cell r="L195">
            <v>0</v>
          </cell>
          <cell r="M195">
            <v>0</v>
          </cell>
          <cell r="N195">
            <v>0</v>
          </cell>
          <cell r="S195">
            <v>0</v>
          </cell>
          <cell r="T195">
            <v>0</v>
          </cell>
          <cell r="U195">
            <v>0</v>
          </cell>
          <cell r="W195">
            <v>0</v>
          </cell>
          <cell r="X195">
            <v>0</v>
          </cell>
        </row>
        <row r="196">
          <cell r="A196">
            <v>37979</v>
          </cell>
          <cell r="B196" t="str">
            <v>Vreturns</v>
          </cell>
          <cell r="E196">
            <v>0</v>
          </cell>
          <cell r="F196">
            <v>0</v>
          </cell>
          <cell r="G196">
            <v>0</v>
          </cell>
          <cell r="H196">
            <v>0</v>
          </cell>
          <cell r="I196">
            <v>0</v>
          </cell>
          <cell r="L196">
            <v>0</v>
          </cell>
          <cell r="M196">
            <v>0</v>
          </cell>
          <cell r="N196">
            <v>0</v>
          </cell>
          <cell r="S196">
            <v>0</v>
          </cell>
          <cell r="T196">
            <v>0</v>
          </cell>
          <cell r="U196">
            <v>0</v>
          </cell>
          <cell r="W196">
            <v>0</v>
          </cell>
          <cell r="X196">
            <v>0</v>
          </cell>
        </row>
        <row r="197">
          <cell r="A197">
            <v>37979</v>
          </cell>
          <cell r="B197" t="str">
            <v>Facilities</v>
          </cell>
          <cell r="E197">
            <v>59.75</v>
          </cell>
          <cell r="F197">
            <v>0</v>
          </cell>
          <cell r="G197">
            <v>0</v>
          </cell>
          <cell r="H197">
            <v>0</v>
          </cell>
          <cell r="I197">
            <v>0</v>
          </cell>
          <cell r="L197">
            <v>0</v>
          </cell>
          <cell r="M197">
            <v>0</v>
          </cell>
          <cell r="N197">
            <v>0</v>
          </cell>
          <cell r="S197">
            <v>0</v>
          </cell>
          <cell r="T197">
            <v>0</v>
          </cell>
          <cell r="U197">
            <v>0</v>
          </cell>
          <cell r="W197">
            <v>59.75</v>
          </cell>
          <cell r="X197">
            <v>0</v>
          </cell>
        </row>
        <row r="198">
          <cell r="A198">
            <v>37979</v>
          </cell>
          <cell r="B198" t="str">
            <v>Facilities</v>
          </cell>
          <cell r="E198">
            <v>0</v>
          </cell>
          <cell r="F198">
            <v>0</v>
          </cell>
          <cell r="G198">
            <v>0</v>
          </cell>
          <cell r="H198">
            <v>0</v>
          </cell>
          <cell r="I198">
            <v>0</v>
          </cell>
          <cell r="L198">
            <v>0</v>
          </cell>
          <cell r="M198">
            <v>0</v>
          </cell>
          <cell r="N198">
            <v>0</v>
          </cell>
          <cell r="S198">
            <v>0</v>
          </cell>
          <cell r="T198">
            <v>0</v>
          </cell>
          <cell r="U198">
            <v>0</v>
          </cell>
          <cell r="W198">
            <v>0</v>
          </cell>
          <cell r="X198">
            <v>0</v>
          </cell>
        </row>
        <row r="199">
          <cell r="A199">
            <v>37979</v>
          </cell>
          <cell r="B199" t="str">
            <v>SNOC</v>
          </cell>
          <cell r="E199">
            <v>4.6333332061767996</v>
          </cell>
          <cell r="F199">
            <v>0</v>
          </cell>
          <cell r="G199">
            <v>0</v>
          </cell>
          <cell r="H199">
            <v>0</v>
          </cell>
          <cell r="I199">
            <v>0</v>
          </cell>
          <cell r="L199">
            <v>0</v>
          </cell>
          <cell r="M199">
            <v>0</v>
          </cell>
          <cell r="N199">
            <v>0</v>
          </cell>
          <cell r="S199">
            <v>0</v>
          </cell>
          <cell r="T199">
            <v>0</v>
          </cell>
          <cell r="U199">
            <v>0</v>
          </cell>
          <cell r="W199">
            <v>4.6333299999999999</v>
          </cell>
          <cell r="X199">
            <v>0</v>
          </cell>
        </row>
        <row r="200">
          <cell r="A200">
            <v>37979</v>
          </cell>
          <cell r="B200" t="str">
            <v>Swat</v>
          </cell>
          <cell r="E200">
            <v>0</v>
          </cell>
          <cell r="F200">
            <v>0</v>
          </cell>
          <cell r="G200">
            <v>0</v>
          </cell>
          <cell r="H200">
            <v>0</v>
          </cell>
          <cell r="I200">
            <v>0</v>
          </cell>
          <cell r="L200">
            <v>0</v>
          </cell>
          <cell r="M200">
            <v>0</v>
          </cell>
          <cell r="N200">
            <v>0</v>
          </cell>
          <cell r="S200">
            <v>0</v>
          </cell>
          <cell r="T200">
            <v>0</v>
          </cell>
          <cell r="U200">
            <v>0</v>
          </cell>
          <cell r="W200">
            <v>0</v>
          </cell>
          <cell r="X200">
            <v>0</v>
          </cell>
        </row>
        <row r="201">
          <cell r="A201">
            <v>37979</v>
          </cell>
          <cell r="B201" t="str">
            <v>Sortation</v>
          </cell>
          <cell r="E201">
            <v>0</v>
          </cell>
          <cell r="F201">
            <v>0</v>
          </cell>
          <cell r="G201">
            <v>0</v>
          </cell>
          <cell r="H201">
            <v>0</v>
          </cell>
          <cell r="I201">
            <v>0</v>
          </cell>
          <cell r="L201">
            <v>0</v>
          </cell>
          <cell r="M201">
            <v>0</v>
          </cell>
          <cell r="N201">
            <v>0</v>
          </cell>
          <cell r="S201">
            <v>0</v>
          </cell>
          <cell r="T201">
            <v>0</v>
          </cell>
          <cell r="U201">
            <v>0</v>
          </cell>
          <cell r="W201">
            <v>0</v>
          </cell>
          <cell r="X201">
            <v>0</v>
          </cell>
        </row>
        <row r="202">
          <cell r="A202">
            <v>37979</v>
          </cell>
          <cell r="B202" t="str">
            <v>Shipping</v>
          </cell>
          <cell r="E202">
            <v>0</v>
          </cell>
          <cell r="F202">
            <v>0</v>
          </cell>
          <cell r="G202">
            <v>0</v>
          </cell>
          <cell r="H202">
            <v>0</v>
          </cell>
          <cell r="I202">
            <v>0</v>
          </cell>
          <cell r="L202">
            <v>0</v>
          </cell>
          <cell r="M202">
            <v>0</v>
          </cell>
          <cell r="N202">
            <v>0</v>
          </cell>
          <cell r="S202">
            <v>0</v>
          </cell>
          <cell r="T202">
            <v>0</v>
          </cell>
          <cell r="U202">
            <v>0</v>
          </cell>
          <cell r="W202">
            <v>0</v>
          </cell>
          <cell r="X202">
            <v>0</v>
          </cell>
        </row>
        <row r="203">
          <cell r="A203">
            <v>37979</v>
          </cell>
          <cell r="B203" t="str">
            <v>CReturns</v>
          </cell>
          <cell r="E203">
            <v>36.5</v>
          </cell>
          <cell r="F203">
            <v>0</v>
          </cell>
          <cell r="G203">
            <v>0</v>
          </cell>
          <cell r="H203">
            <v>0</v>
          </cell>
          <cell r="I203">
            <v>0</v>
          </cell>
          <cell r="L203">
            <v>0</v>
          </cell>
          <cell r="M203">
            <v>0</v>
          </cell>
          <cell r="N203">
            <v>0</v>
          </cell>
          <cell r="S203">
            <v>0</v>
          </cell>
          <cell r="T203">
            <v>0</v>
          </cell>
          <cell r="U203">
            <v>0</v>
          </cell>
          <cell r="W203">
            <v>36.5</v>
          </cell>
          <cell r="X203">
            <v>0</v>
          </cell>
        </row>
        <row r="204">
          <cell r="A204">
            <v>37979</v>
          </cell>
          <cell r="B204" t="str">
            <v>CustomerService</v>
          </cell>
          <cell r="E204">
            <v>5.1500000953673997</v>
          </cell>
          <cell r="F204">
            <v>0</v>
          </cell>
          <cell r="G204">
            <v>0</v>
          </cell>
          <cell r="H204">
            <v>0</v>
          </cell>
          <cell r="I204">
            <v>0</v>
          </cell>
          <cell r="L204">
            <v>0</v>
          </cell>
          <cell r="M204">
            <v>0</v>
          </cell>
          <cell r="N204">
            <v>0</v>
          </cell>
          <cell r="S204">
            <v>0</v>
          </cell>
          <cell r="T204">
            <v>0</v>
          </cell>
          <cell r="U204">
            <v>0</v>
          </cell>
          <cell r="W204">
            <v>5.15</v>
          </cell>
          <cell r="X204">
            <v>0</v>
          </cell>
        </row>
        <row r="205">
          <cell r="A205">
            <v>37979</v>
          </cell>
          <cell r="B205" t="str">
            <v>CustomerService</v>
          </cell>
          <cell r="E205">
            <v>0</v>
          </cell>
          <cell r="F205">
            <v>0</v>
          </cell>
          <cell r="G205">
            <v>0</v>
          </cell>
          <cell r="H205">
            <v>0</v>
          </cell>
          <cell r="I205">
            <v>0</v>
          </cell>
          <cell r="L205">
            <v>0</v>
          </cell>
          <cell r="M205">
            <v>0</v>
          </cell>
          <cell r="N205">
            <v>0</v>
          </cell>
          <cell r="S205">
            <v>0</v>
          </cell>
          <cell r="T205">
            <v>0</v>
          </cell>
          <cell r="U205">
            <v>0</v>
          </cell>
          <cell r="W205">
            <v>0</v>
          </cell>
          <cell r="X205">
            <v>0</v>
          </cell>
        </row>
        <row r="206">
          <cell r="A206">
            <v>37979</v>
          </cell>
          <cell r="B206" t="str">
            <v>Bundler</v>
          </cell>
          <cell r="E206">
            <v>0</v>
          </cell>
          <cell r="F206">
            <v>0</v>
          </cell>
          <cell r="G206">
            <v>0</v>
          </cell>
          <cell r="H206">
            <v>0</v>
          </cell>
          <cell r="I206">
            <v>0</v>
          </cell>
          <cell r="L206">
            <v>0</v>
          </cell>
          <cell r="M206">
            <v>0</v>
          </cell>
          <cell r="N206">
            <v>0</v>
          </cell>
          <cell r="S206">
            <v>0</v>
          </cell>
          <cell r="T206">
            <v>0</v>
          </cell>
          <cell r="U206">
            <v>0</v>
          </cell>
          <cell r="W206">
            <v>0</v>
          </cell>
          <cell r="X206">
            <v>0</v>
          </cell>
        </row>
        <row r="207">
          <cell r="A207">
            <v>37979</v>
          </cell>
          <cell r="B207" t="str">
            <v>Replenishment</v>
          </cell>
          <cell r="E207">
            <v>0</v>
          </cell>
          <cell r="F207">
            <v>0</v>
          </cell>
          <cell r="G207">
            <v>0</v>
          </cell>
          <cell r="H207">
            <v>0</v>
          </cell>
          <cell r="I207">
            <v>0</v>
          </cell>
          <cell r="L207">
            <v>0</v>
          </cell>
          <cell r="M207">
            <v>0</v>
          </cell>
          <cell r="N207">
            <v>0</v>
          </cell>
          <cell r="S207">
            <v>0</v>
          </cell>
          <cell r="T207">
            <v>0</v>
          </cell>
          <cell r="U207">
            <v>0</v>
          </cell>
          <cell r="W207">
            <v>0</v>
          </cell>
          <cell r="X207">
            <v>0</v>
          </cell>
        </row>
        <row r="208">
          <cell r="A208">
            <v>37979</v>
          </cell>
          <cell r="B208" t="str">
            <v>Training</v>
          </cell>
          <cell r="E208">
            <v>0</v>
          </cell>
          <cell r="F208">
            <v>0</v>
          </cell>
          <cell r="G208">
            <v>0</v>
          </cell>
          <cell r="H208">
            <v>0</v>
          </cell>
          <cell r="I208">
            <v>0</v>
          </cell>
          <cell r="L208">
            <v>0</v>
          </cell>
          <cell r="M208">
            <v>0</v>
          </cell>
          <cell r="N208">
            <v>0</v>
          </cell>
          <cell r="S208">
            <v>0</v>
          </cell>
          <cell r="T208">
            <v>0</v>
          </cell>
          <cell r="U208">
            <v>0</v>
          </cell>
          <cell r="W208">
            <v>0</v>
          </cell>
          <cell r="X208">
            <v>0</v>
          </cell>
        </row>
        <row r="209">
          <cell r="A209">
            <v>37978</v>
          </cell>
          <cell r="B209" t="str">
            <v>Vreturns</v>
          </cell>
          <cell r="E209">
            <v>83.5</v>
          </cell>
          <cell r="F209">
            <v>0</v>
          </cell>
          <cell r="G209">
            <v>17467</v>
          </cell>
          <cell r="H209">
            <v>0</v>
          </cell>
          <cell r="I209">
            <v>0</v>
          </cell>
          <cell r="L209">
            <v>0</v>
          </cell>
          <cell r="M209">
            <v>0</v>
          </cell>
          <cell r="N209">
            <v>0</v>
          </cell>
          <cell r="S209">
            <v>0</v>
          </cell>
          <cell r="T209">
            <v>0</v>
          </cell>
          <cell r="U209">
            <v>0</v>
          </cell>
          <cell r="W209">
            <v>-7</v>
          </cell>
          <cell r="X209">
            <v>0</v>
          </cell>
        </row>
        <row r="210">
          <cell r="A210">
            <v>37978</v>
          </cell>
          <cell r="B210" t="str">
            <v>Shipping</v>
          </cell>
          <cell r="E210">
            <v>467.14999389648</v>
          </cell>
          <cell r="F210">
            <v>0</v>
          </cell>
          <cell r="G210">
            <v>0</v>
          </cell>
          <cell r="H210">
            <v>0</v>
          </cell>
          <cell r="I210">
            <v>0</v>
          </cell>
          <cell r="L210">
            <v>0</v>
          </cell>
          <cell r="M210">
            <v>0</v>
          </cell>
          <cell r="N210">
            <v>0</v>
          </cell>
          <cell r="S210">
            <v>0</v>
          </cell>
          <cell r="T210">
            <v>0</v>
          </cell>
          <cell r="U210">
            <v>0</v>
          </cell>
          <cell r="W210">
            <v>-10.35</v>
          </cell>
          <cell r="X210">
            <v>10278</v>
          </cell>
        </row>
        <row r="211">
          <cell r="A211">
            <v>37978</v>
          </cell>
          <cell r="B211" t="str">
            <v>Autobox</v>
          </cell>
          <cell r="E211">
            <v>167.75</v>
          </cell>
          <cell r="F211">
            <v>0</v>
          </cell>
          <cell r="G211">
            <v>19882</v>
          </cell>
          <cell r="H211">
            <v>0</v>
          </cell>
          <cell r="I211">
            <v>0</v>
          </cell>
          <cell r="L211">
            <v>0</v>
          </cell>
          <cell r="M211">
            <v>0</v>
          </cell>
          <cell r="N211">
            <v>0</v>
          </cell>
          <cell r="S211">
            <v>0</v>
          </cell>
          <cell r="T211">
            <v>0</v>
          </cell>
          <cell r="U211">
            <v>0</v>
          </cell>
          <cell r="W211">
            <v>0</v>
          </cell>
          <cell r="X211">
            <v>0</v>
          </cell>
        </row>
        <row r="212">
          <cell r="A212">
            <v>37978</v>
          </cell>
          <cell r="B212" t="str">
            <v>Levimatic</v>
          </cell>
          <cell r="E212">
            <v>27</v>
          </cell>
          <cell r="F212">
            <v>0</v>
          </cell>
          <cell r="G212">
            <v>1834</v>
          </cell>
          <cell r="H212">
            <v>0</v>
          </cell>
          <cell r="I212">
            <v>0</v>
          </cell>
          <cell r="L212">
            <v>0</v>
          </cell>
          <cell r="M212">
            <v>0</v>
          </cell>
          <cell r="N212">
            <v>0</v>
          </cell>
          <cell r="S212">
            <v>0</v>
          </cell>
          <cell r="T212">
            <v>0</v>
          </cell>
          <cell r="U212">
            <v>0</v>
          </cell>
          <cell r="W212">
            <v>0</v>
          </cell>
          <cell r="X212">
            <v>0</v>
          </cell>
        </row>
        <row r="213">
          <cell r="A213">
            <v>37978</v>
          </cell>
          <cell r="B213" t="str">
            <v>Giftwrap</v>
          </cell>
          <cell r="E213">
            <v>96</v>
          </cell>
          <cell r="F213">
            <v>0</v>
          </cell>
          <cell r="G213">
            <v>1192</v>
          </cell>
          <cell r="H213">
            <v>0</v>
          </cell>
          <cell r="I213">
            <v>0</v>
          </cell>
          <cell r="L213">
            <v>0</v>
          </cell>
          <cell r="M213">
            <v>0</v>
          </cell>
          <cell r="N213">
            <v>0</v>
          </cell>
          <cell r="S213">
            <v>0</v>
          </cell>
          <cell r="T213">
            <v>0</v>
          </cell>
          <cell r="U213">
            <v>0</v>
          </cell>
          <cell r="W213">
            <v>0</v>
          </cell>
          <cell r="X213">
            <v>1192</v>
          </cell>
        </row>
        <row r="214">
          <cell r="A214">
            <v>37978</v>
          </cell>
          <cell r="B214" t="str">
            <v>ShipSupport</v>
          </cell>
          <cell r="E214">
            <v>176.39999961852999</v>
          </cell>
          <cell r="F214">
            <v>53.5</v>
          </cell>
          <cell r="G214">
            <v>0</v>
          </cell>
          <cell r="H214">
            <v>0</v>
          </cell>
          <cell r="I214">
            <v>0</v>
          </cell>
          <cell r="L214">
            <v>0</v>
          </cell>
          <cell r="M214">
            <v>0</v>
          </cell>
          <cell r="N214">
            <v>0</v>
          </cell>
          <cell r="S214">
            <v>0</v>
          </cell>
          <cell r="T214">
            <v>0</v>
          </cell>
          <cell r="U214">
            <v>0</v>
          </cell>
          <cell r="W214">
            <v>-10.35</v>
          </cell>
          <cell r="X214">
            <v>0</v>
          </cell>
        </row>
        <row r="215">
          <cell r="A215">
            <v>37978</v>
          </cell>
          <cell r="B215" t="str">
            <v>Sortation</v>
          </cell>
          <cell r="E215">
            <v>265.86666870117</v>
          </cell>
          <cell r="F215">
            <v>0</v>
          </cell>
          <cell r="G215">
            <v>0</v>
          </cell>
          <cell r="H215">
            <v>0</v>
          </cell>
          <cell r="I215">
            <v>0</v>
          </cell>
          <cell r="L215">
            <v>0</v>
          </cell>
          <cell r="M215">
            <v>0</v>
          </cell>
          <cell r="N215">
            <v>0</v>
          </cell>
          <cell r="S215">
            <v>0</v>
          </cell>
          <cell r="T215">
            <v>0</v>
          </cell>
          <cell r="U215">
            <v>0</v>
          </cell>
          <cell r="W215">
            <v>-9.1333300000000008</v>
          </cell>
          <cell r="X215">
            <v>0</v>
          </cell>
        </row>
        <row r="216">
          <cell r="A216">
            <v>37978</v>
          </cell>
          <cell r="B216" t="str">
            <v>Rebin</v>
          </cell>
          <cell r="E216">
            <v>89</v>
          </cell>
          <cell r="F216">
            <v>26</v>
          </cell>
          <cell r="G216">
            <v>24996</v>
          </cell>
          <cell r="H216">
            <v>0</v>
          </cell>
          <cell r="I216">
            <v>0</v>
          </cell>
          <cell r="L216">
            <v>0</v>
          </cell>
          <cell r="M216">
            <v>0</v>
          </cell>
          <cell r="N216">
            <v>0</v>
          </cell>
          <cell r="S216">
            <v>0</v>
          </cell>
          <cell r="T216">
            <v>0</v>
          </cell>
          <cell r="U216">
            <v>0</v>
          </cell>
          <cell r="W216">
            <v>0</v>
          </cell>
          <cell r="X216">
            <v>0</v>
          </cell>
        </row>
        <row r="217">
          <cell r="A217">
            <v>37978</v>
          </cell>
          <cell r="B217" t="str">
            <v>Stack</v>
          </cell>
          <cell r="E217">
            <v>114.5</v>
          </cell>
          <cell r="F217">
            <v>0</v>
          </cell>
          <cell r="G217">
            <v>17818</v>
          </cell>
          <cell r="H217">
            <v>0</v>
          </cell>
          <cell r="I217">
            <v>0</v>
          </cell>
          <cell r="L217">
            <v>0</v>
          </cell>
          <cell r="M217">
            <v>0</v>
          </cell>
          <cell r="N217">
            <v>0</v>
          </cell>
          <cell r="S217">
            <v>2233</v>
          </cell>
          <cell r="T217">
            <v>0</v>
          </cell>
          <cell r="U217">
            <v>0</v>
          </cell>
          <cell r="W217">
            <v>0</v>
          </cell>
          <cell r="X217">
            <v>0</v>
          </cell>
        </row>
        <row r="218">
          <cell r="A218">
            <v>37978</v>
          </cell>
          <cell r="B218" t="str">
            <v>Bundler</v>
          </cell>
          <cell r="E218">
            <v>62.366669654846</v>
          </cell>
          <cell r="F218">
            <v>0</v>
          </cell>
          <cell r="G218">
            <v>17818</v>
          </cell>
          <cell r="H218">
            <v>0</v>
          </cell>
          <cell r="I218">
            <v>0</v>
          </cell>
          <cell r="L218">
            <v>0</v>
          </cell>
          <cell r="M218">
            <v>0</v>
          </cell>
          <cell r="N218">
            <v>0</v>
          </cell>
          <cell r="S218">
            <v>0</v>
          </cell>
          <cell r="T218">
            <v>0</v>
          </cell>
          <cell r="U218">
            <v>0</v>
          </cell>
          <cell r="W218">
            <v>-9.1333300000000008</v>
          </cell>
          <cell r="X218">
            <v>6274</v>
          </cell>
        </row>
        <row r="219">
          <cell r="A219">
            <v>37978</v>
          </cell>
          <cell r="B219" t="str">
            <v>CReturns</v>
          </cell>
          <cell r="E219">
            <v>83</v>
          </cell>
          <cell r="F219">
            <v>0</v>
          </cell>
          <cell r="G219">
            <v>375</v>
          </cell>
          <cell r="H219">
            <v>0</v>
          </cell>
          <cell r="I219">
            <v>0</v>
          </cell>
          <cell r="L219">
            <v>0</v>
          </cell>
          <cell r="M219">
            <v>0</v>
          </cell>
          <cell r="N219">
            <v>0</v>
          </cell>
          <cell r="S219">
            <v>0</v>
          </cell>
          <cell r="T219">
            <v>0</v>
          </cell>
          <cell r="U219">
            <v>0</v>
          </cell>
          <cell r="W219">
            <v>69.5</v>
          </cell>
          <cell r="X219">
            <v>0</v>
          </cell>
        </row>
        <row r="220">
          <cell r="A220">
            <v>37978</v>
          </cell>
          <cell r="B220" t="str">
            <v>InventoryControl</v>
          </cell>
          <cell r="E220">
            <v>209</v>
          </cell>
          <cell r="F220">
            <v>0</v>
          </cell>
          <cell r="G220">
            <v>0</v>
          </cell>
          <cell r="H220">
            <v>0</v>
          </cell>
          <cell r="I220">
            <v>0</v>
          </cell>
          <cell r="L220">
            <v>0</v>
          </cell>
          <cell r="M220">
            <v>0</v>
          </cell>
          <cell r="N220">
            <v>0</v>
          </cell>
          <cell r="S220">
            <v>0</v>
          </cell>
          <cell r="T220">
            <v>0</v>
          </cell>
          <cell r="U220">
            <v>0</v>
          </cell>
          <cell r="W220">
            <v>209</v>
          </cell>
          <cell r="X220">
            <v>0</v>
          </cell>
        </row>
        <row r="221">
          <cell r="A221">
            <v>37978</v>
          </cell>
          <cell r="B221" t="str">
            <v>Sortation</v>
          </cell>
          <cell r="E221">
            <v>482.25</v>
          </cell>
          <cell r="F221">
            <v>0</v>
          </cell>
          <cell r="G221">
            <v>0</v>
          </cell>
          <cell r="H221">
            <v>0</v>
          </cell>
          <cell r="I221">
            <v>0</v>
          </cell>
          <cell r="L221">
            <v>0</v>
          </cell>
          <cell r="M221">
            <v>0</v>
          </cell>
          <cell r="N221">
            <v>0</v>
          </cell>
          <cell r="S221">
            <v>0</v>
          </cell>
          <cell r="T221">
            <v>0</v>
          </cell>
          <cell r="U221">
            <v>0</v>
          </cell>
          <cell r="W221">
            <v>23.11</v>
          </cell>
          <cell r="X221">
            <v>0</v>
          </cell>
        </row>
        <row r="222">
          <cell r="A222">
            <v>37978</v>
          </cell>
          <cell r="B222" t="str">
            <v>Rebin</v>
          </cell>
          <cell r="E222">
            <v>163.5</v>
          </cell>
          <cell r="F222">
            <v>48</v>
          </cell>
          <cell r="G222">
            <v>25018</v>
          </cell>
          <cell r="H222">
            <v>0</v>
          </cell>
          <cell r="I222">
            <v>0</v>
          </cell>
          <cell r="L222">
            <v>0</v>
          </cell>
          <cell r="M222">
            <v>0</v>
          </cell>
          <cell r="N222">
            <v>0</v>
          </cell>
          <cell r="S222">
            <v>0</v>
          </cell>
          <cell r="T222">
            <v>0</v>
          </cell>
          <cell r="U222">
            <v>0</v>
          </cell>
          <cell r="W222">
            <v>0</v>
          </cell>
          <cell r="X222">
            <v>0</v>
          </cell>
        </row>
        <row r="223">
          <cell r="A223">
            <v>37978</v>
          </cell>
          <cell r="B223" t="str">
            <v>Stack</v>
          </cell>
          <cell r="E223">
            <v>138.5</v>
          </cell>
          <cell r="F223">
            <v>0</v>
          </cell>
          <cell r="G223">
            <v>23673</v>
          </cell>
          <cell r="H223">
            <v>0</v>
          </cell>
          <cell r="I223">
            <v>0</v>
          </cell>
          <cell r="L223">
            <v>0</v>
          </cell>
          <cell r="M223">
            <v>0</v>
          </cell>
          <cell r="N223">
            <v>0</v>
          </cell>
          <cell r="S223">
            <v>3131</v>
          </cell>
          <cell r="T223">
            <v>0</v>
          </cell>
          <cell r="U223">
            <v>0</v>
          </cell>
          <cell r="W223">
            <v>0</v>
          </cell>
          <cell r="X223">
            <v>0</v>
          </cell>
        </row>
        <row r="224">
          <cell r="A224">
            <v>37978</v>
          </cell>
          <cell r="B224" t="str">
            <v>Bundler</v>
          </cell>
          <cell r="E224">
            <v>180.25</v>
          </cell>
          <cell r="F224">
            <v>0</v>
          </cell>
          <cell r="G224">
            <v>23673</v>
          </cell>
          <cell r="H224">
            <v>0</v>
          </cell>
          <cell r="I224">
            <v>0</v>
          </cell>
          <cell r="L224">
            <v>0</v>
          </cell>
          <cell r="M224">
            <v>0</v>
          </cell>
          <cell r="N224">
            <v>0</v>
          </cell>
          <cell r="S224">
            <v>0</v>
          </cell>
          <cell r="T224">
            <v>0</v>
          </cell>
          <cell r="U224">
            <v>0</v>
          </cell>
          <cell r="W224">
            <v>23.11</v>
          </cell>
          <cell r="X224">
            <v>8892</v>
          </cell>
        </row>
        <row r="225">
          <cell r="A225">
            <v>37978</v>
          </cell>
          <cell r="B225" t="str">
            <v>Picking</v>
          </cell>
          <cell r="E225">
            <v>467.73333740234</v>
          </cell>
          <cell r="F225">
            <v>0</v>
          </cell>
          <cell r="G225">
            <v>39646</v>
          </cell>
          <cell r="H225">
            <v>0</v>
          </cell>
          <cell r="I225">
            <v>0</v>
          </cell>
          <cell r="L225">
            <v>0</v>
          </cell>
          <cell r="M225">
            <v>0</v>
          </cell>
          <cell r="N225">
            <v>0</v>
          </cell>
          <cell r="S225">
            <v>0</v>
          </cell>
          <cell r="T225">
            <v>0</v>
          </cell>
          <cell r="U225">
            <v>0</v>
          </cell>
          <cell r="W225">
            <v>4.3533299999999997</v>
          </cell>
          <cell r="X225">
            <v>0</v>
          </cell>
        </row>
        <row r="226">
          <cell r="A226">
            <v>37978</v>
          </cell>
          <cell r="B226" t="str">
            <v>BMV Receive</v>
          </cell>
          <cell r="E226">
            <v>418.38336181641</v>
          </cell>
          <cell r="F226">
            <v>99.5</v>
          </cell>
          <cell r="G226">
            <v>88792</v>
          </cell>
          <cell r="H226">
            <v>67279</v>
          </cell>
          <cell r="I226">
            <v>0</v>
          </cell>
          <cell r="L226">
            <v>281.5</v>
          </cell>
          <cell r="M226">
            <v>0</v>
          </cell>
          <cell r="N226">
            <v>25</v>
          </cell>
          <cell r="S226">
            <v>0</v>
          </cell>
          <cell r="T226">
            <v>85</v>
          </cell>
          <cell r="U226">
            <v>0</v>
          </cell>
          <cell r="W226">
            <v>12.3834</v>
          </cell>
          <cell r="X226">
            <v>0</v>
          </cell>
        </row>
        <row r="227">
          <cell r="A227">
            <v>37978</v>
          </cell>
          <cell r="B227" t="str">
            <v>BMV Stow</v>
          </cell>
          <cell r="E227">
            <v>211</v>
          </cell>
          <cell r="F227">
            <v>0</v>
          </cell>
          <cell r="G227">
            <v>77412</v>
          </cell>
          <cell r="H227">
            <v>66464</v>
          </cell>
          <cell r="I227">
            <v>10948</v>
          </cell>
          <cell r="L227">
            <v>191</v>
          </cell>
          <cell r="M227">
            <v>20</v>
          </cell>
          <cell r="N227">
            <v>0</v>
          </cell>
          <cell r="S227">
            <v>0</v>
          </cell>
          <cell r="T227">
            <v>0</v>
          </cell>
          <cell r="U227">
            <v>0</v>
          </cell>
          <cell r="W227">
            <v>0</v>
          </cell>
          <cell r="X227">
            <v>0</v>
          </cell>
        </row>
        <row r="228">
          <cell r="A228">
            <v>37978</v>
          </cell>
          <cell r="B228" t="str">
            <v>Offsite1Receive</v>
          </cell>
          <cell r="E228">
            <v>135.41668701172</v>
          </cell>
          <cell r="F228">
            <v>20</v>
          </cell>
          <cell r="G228">
            <v>2462</v>
          </cell>
          <cell r="H228">
            <v>0</v>
          </cell>
          <cell r="I228">
            <v>0</v>
          </cell>
          <cell r="L228">
            <v>0</v>
          </cell>
          <cell r="M228">
            <v>0</v>
          </cell>
          <cell r="N228">
            <v>0</v>
          </cell>
          <cell r="S228">
            <v>0</v>
          </cell>
          <cell r="T228">
            <v>0</v>
          </cell>
          <cell r="U228">
            <v>0</v>
          </cell>
          <cell r="W228">
            <v>10.166700000000001</v>
          </cell>
          <cell r="X228">
            <v>0</v>
          </cell>
        </row>
        <row r="229">
          <cell r="A229">
            <v>37978</v>
          </cell>
          <cell r="B229" t="str">
            <v>Offsite1Ship</v>
          </cell>
          <cell r="E229">
            <v>353</v>
          </cell>
          <cell r="F229">
            <v>35</v>
          </cell>
          <cell r="G229">
            <v>4260</v>
          </cell>
          <cell r="H229">
            <v>0</v>
          </cell>
          <cell r="I229">
            <v>0</v>
          </cell>
          <cell r="L229">
            <v>0</v>
          </cell>
          <cell r="M229">
            <v>0</v>
          </cell>
          <cell r="N229">
            <v>0</v>
          </cell>
          <cell r="S229">
            <v>0</v>
          </cell>
          <cell r="T229">
            <v>0</v>
          </cell>
          <cell r="U229">
            <v>0</v>
          </cell>
          <cell r="W229">
            <v>0</v>
          </cell>
          <cell r="X229">
            <v>0</v>
          </cell>
        </row>
        <row r="230">
          <cell r="A230">
            <v>37978</v>
          </cell>
          <cell r="B230" t="str">
            <v>Replenishment</v>
          </cell>
          <cell r="E230">
            <v>115.5</v>
          </cell>
          <cell r="F230">
            <v>0</v>
          </cell>
          <cell r="G230">
            <v>17338</v>
          </cell>
          <cell r="H230">
            <v>0</v>
          </cell>
          <cell r="I230">
            <v>0</v>
          </cell>
          <cell r="L230">
            <v>0</v>
          </cell>
          <cell r="M230">
            <v>0</v>
          </cell>
          <cell r="N230">
            <v>0</v>
          </cell>
          <cell r="S230">
            <v>0</v>
          </cell>
          <cell r="T230">
            <v>0</v>
          </cell>
          <cell r="U230">
            <v>0</v>
          </cell>
          <cell r="W230">
            <v>115.5</v>
          </cell>
          <cell r="X230">
            <v>0</v>
          </cell>
        </row>
        <row r="231">
          <cell r="A231">
            <v>37978</v>
          </cell>
          <cell r="B231" t="str">
            <v>BMV Receive</v>
          </cell>
          <cell r="E231">
            <v>175.99998474121</v>
          </cell>
          <cell r="F231">
            <v>1.54</v>
          </cell>
          <cell r="G231">
            <v>27480</v>
          </cell>
          <cell r="H231">
            <v>20680</v>
          </cell>
          <cell r="I231">
            <v>0</v>
          </cell>
          <cell r="L231">
            <v>156.69999999999999</v>
          </cell>
          <cell r="M231">
            <v>0</v>
          </cell>
          <cell r="N231">
            <v>8</v>
          </cell>
          <cell r="S231">
            <v>0</v>
          </cell>
          <cell r="T231">
            <v>59</v>
          </cell>
          <cell r="U231">
            <v>0</v>
          </cell>
          <cell r="W231">
            <v>9.7599800000000005</v>
          </cell>
          <cell r="X231">
            <v>0</v>
          </cell>
        </row>
        <row r="232">
          <cell r="A232">
            <v>37978</v>
          </cell>
          <cell r="B232" t="str">
            <v>Picking</v>
          </cell>
          <cell r="E232">
            <v>277.26666259766</v>
          </cell>
          <cell r="F232">
            <v>0</v>
          </cell>
          <cell r="G232">
            <v>29528</v>
          </cell>
          <cell r="H232">
            <v>0</v>
          </cell>
          <cell r="I232">
            <v>0</v>
          </cell>
          <cell r="L232">
            <v>0</v>
          </cell>
          <cell r="M232">
            <v>0</v>
          </cell>
          <cell r="N232">
            <v>0</v>
          </cell>
          <cell r="S232">
            <v>0</v>
          </cell>
          <cell r="T232">
            <v>0</v>
          </cell>
          <cell r="U232">
            <v>0</v>
          </cell>
          <cell r="W232">
            <v>-3.2333400000000001</v>
          </cell>
          <cell r="X232">
            <v>0</v>
          </cell>
        </row>
        <row r="233">
          <cell r="A233">
            <v>37978</v>
          </cell>
          <cell r="B233" t="str">
            <v>Shipping</v>
          </cell>
          <cell r="E233">
            <v>247.88333129883</v>
          </cell>
          <cell r="F233">
            <v>0</v>
          </cell>
          <cell r="G233">
            <v>0</v>
          </cell>
          <cell r="H233">
            <v>0</v>
          </cell>
          <cell r="I233">
            <v>0</v>
          </cell>
          <cell r="L233">
            <v>0</v>
          </cell>
          <cell r="M233">
            <v>0</v>
          </cell>
          <cell r="N233">
            <v>0</v>
          </cell>
          <cell r="S233">
            <v>0</v>
          </cell>
          <cell r="T233">
            <v>0</v>
          </cell>
          <cell r="U233">
            <v>0</v>
          </cell>
          <cell r="W233">
            <v>4.3833299999999999</v>
          </cell>
          <cell r="X233">
            <v>7074</v>
          </cell>
        </row>
        <row r="234">
          <cell r="A234">
            <v>37978</v>
          </cell>
          <cell r="B234" t="str">
            <v>Autobox</v>
          </cell>
          <cell r="E234">
            <v>72</v>
          </cell>
          <cell r="F234">
            <v>24</v>
          </cell>
          <cell r="G234">
            <v>11863</v>
          </cell>
          <cell r="H234">
            <v>0</v>
          </cell>
          <cell r="I234">
            <v>0</v>
          </cell>
          <cell r="L234">
            <v>0</v>
          </cell>
          <cell r="M234">
            <v>0</v>
          </cell>
          <cell r="N234">
            <v>0</v>
          </cell>
          <cell r="S234">
            <v>0</v>
          </cell>
          <cell r="T234">
            <v>0</v>
          </cell>
          <cell r="U234">
            <v>0</v>
          </cell>
          <cell r="W234">
            <v>0</v>
          </cell>
          <cell r="X234">
            <v>0</v>
          </cell>
        </row>
        <row r="235">
          <cell r="A235">
            <v>37978</v>
          </cell>
          <cell r="B235" t="str">
            <v>Levimatic</v>
          </cell>
          <cell r="E235">
            <v>10</v>
          </cell>
          <cell r="F235">
            <v>5</v>
          </cell>
          <cell r="G235">
            <v>1621</v>
          </cell>
          <cell r="H235">
            <v>0</v>
          </cell>
          <cell r="I235">
            <v>0</v>
          </cell>
          <cell r="L235">
            <v>0</v>
          </cell>
          <cell r="M235">
            <v>0</v>
          </cell>
          <cell r="N235">
            <v>0</v>
          </cell>
          <cell r="S235">
            <v>0</v>
          </cell>
          <cell r="T235">
            <v>0</v>
          </cell>
          <cell r="U235">
            <v>0</v>
          </cell>
          <cell r="W235">
            <v>0</v>
          </cell>
          <cell r="X235">
            <v>0</v>
          </cell>
        </row>
        <row r="236">
          <cell r="A236">
            <v>37978</v>
          </cell>
          <cell r="B236" t="str">
            <v>Giftwrap</v>
          </cell>
          <cell r="E236">
            <v>26</v>
          </cell>
          <cell r="F236">
            <v>0</v>
          </cell>
          <cell r="G236">
            <v>768</v>
          </cell>
          <cell r="H236">
            <v>0</v>
          </cell>
          <cell r="I236">
            <v>0</v>
          </cell>
          <cell r="L236">
            <v>0</v>
          </cell>
          <cell r="M236">
            <v>0</v>
          </cell>
          <cell r="N236">
            <v>0</v>
          </cell>
          <cell r="S236">
            <v>0</v>
          </cell>
          <cell r="T236">
            <v>0</v>
          </cell>
          <cell r="U236">
            <v>0</v>
          </cell>
          <cell r="W236">
            <v>0</v>
          </cell>
          <cell r="X236">
            <v>0</v>
          </cell>
        </row>
        <row r="237">
          <cell r="A237">
            <v>37978</v>
          </cell>
          <cell r="B237" t="str">
            <v>ShipSupport</v>
          </cell>
          <cell r="E237">
            <v>139.88332986832</v>
          </cell>
          <cell r="F237">
            <v>64</v>
          </cell>
          <cell r="G237">
            <v>0</v>
          </cell>
          <cell r="H237">
            <v>0</v>
          </cell>
          <cell r="I237">
            <v>0</v>
          </cell>
          <cell r="L237">
            <v>0</v>
          </cell>
          <cell r="M237">
            <v>0</v>
          </cell>
          <cell r="N237">
            <v>0</v>
          </cell>
          <cell r="S237">
            <v>0</v>
          </cell>
          <cell r="T237">
            <v>0</v>
          </cell>
          <cell r="U237">
            <v>0</v>
          </cell>
          <cell r="W237">
            <v>4.3833299999999999</v>
          </cell>
          <cell r="X237">
            <v>0</v>
          </cell>
        </row>
        <row r="238">
          <cell r="A238">
            <v>37978</v>
          </cell>
          <cell r="B238" t="str">
            <v>BMV Stow</v>
          </cell>
          <cell r="E238">
            <v>100</v>
          </cell>
          <cell r="F238">
            <v>-100</v>
          </cell>
          <cell r="G238">
            <v>32565</v>
          </cell>
          <cell r="H238">
            <v>32565</v>
          </cell>
          <cell r="I238">
            <v>0</v>
          </cell>
          <cell r="L238">
            <v>100</v>
          </cell>
          <cell r="M238">
            <v>0</v>
          </cell>
          <cell r="N238">
            <v>0</v>
          </cell>
          <cell r="S238">
            <v>0</v>
          </cell>
          <cell r="T238">
            <v>0</v>
          </cell>
          <cell r="U238">
            <v>0</v>
          </cell>
          <cell r="W238">
            <v>100</v>
          </cell>
          <cell r="X238">
            <v>0</v>
          </cell>
        </row>
        <row r="239">
          <cell r="A239">
            <v>37978</v>
          </cell>
          <cell r="B239" t="str">
            <v>Replenishment</v>
          </cell>
          <cell r="E239">
            <v>126.69999694824</v>
          </cell>
          <cell r="F239">
            <v>0</v>
          </cell>
          <cell r="G239">
            <v>25985</v>
          </cell>
          <cell r="H239">
            <v>0</v>
          </cell>
          <cell r="I239">
            <v>0</v>
          </cell>
          <cell r="L239">
            <v>0</v>
          </cell>
          <cell r="M239">
            <v>0</v>
          </cell>
          <cell r="N239">
            <v>0</v>
          </cell>
          <cell r="S239">
            <v>0</v>
          </cell>
          <cell r="T239">
            <v>0</v>
          </cell>
          <cell r="U239">
            <v>0</v>
          </cell>
          <cell r="W239">
            <v>0</v>
          </cell>
          <cell r="X239">
            <v>0</v>
          </cell>
        </row>
        <row r="240">
          <cell r="A240">
            <v>37978</v>
          </cell>
          <cell r="B240" t="str">
            <v>Office</v>
          </cell>
          <cell r="E240">
            <v>100.15000152588</v>
          </cell>
          <cell r="F240">
            <v>0</v>
          </cell>
          <cell r="G240">
            <v>0</v>
          </cell>
          <cell r="H240">
            <v>0</v>
          </cell>
          <cell r="I240">
            <v>0</v>
          </cell>
          <cell r="L240">
            <v>0</v>
          </cell>
          <cell r="M240">
            <v>0</v>
          </cell>
          <cell r="N240">
            <v>0</v>
          </cell>
          <cell r="S240">
            <v>0</v>
          </cell>
          <cell r="T240">
            <v>0</v>
          </cell>
          <cell r="U240">
            <v>0</v>
          </cell>
          <cell r="W240">
            <v>100.15</v>
          </cell>
          <cell r="X240">
            <v>0</v>
          </cell>
        </row>
        <row r="241">
          <cell r="A241">
            <v>37978</v>
          </cell>
          <cell r="B241" t="str">
            <v>Office</v>
          </cell>
          <cell r="E241">
            <v>25.416666030883999</v>
          </cell>
          <cell r="F241">
            <v>0</v>
          </cell>
          <cell r="G241">
            <v>0</v>
          </cell>
          <cell r="H241">
            <v>0</v>
          </cell>
          <cell r="I241">
            <v>0</v>
          </cell>
          <cell r="L241">
            <v>0</v>
          </cell>
          <cell r="M241">
            <v>0</v>
          </cell>
          <cell r="N241">
            <v>0</v>
          </cell>
          <cell r="S241">
            <v>0</v>
          </cell>
          <cell r="T241">
            <v>0</v>
          </cell>
          <cell r="U241">
            <v>0</v>
          </cell>
          <cell r="W241">
            <v>25.416699999999999</v>
          </cell>
          <cell r="X241">
            <v>0</v>
          </cell>
        </row>
        <row r="242">
          <cell r="A242">
            <v>37978</v>
          </cell>
          <cell r="B242" t="str">
            <v>Offsite1Receive</v>
          </cell>
          <cell r="E242">
            <v>0</v>
          </cell>
          <cell r="F242">
            <v>0</v>
          </cell>
          <cell r="G242">
            <v>0</v>
          </cell>
          <cell r="H242">
            <v>0</v>
          </cell>
          <cell r="I242">
            <v>0</v>
          </cell>
          <cell r="L242">
            <v>0</v>
          </cell>
          <cell r="M242">
            <v>0</v>
          </cell>
          <cell r="N242">
            <v>0</v>
          </cell>
          <cell r="S242">
            <v>0</v>
          </cell>
          <cell r="T242">
            <v>0</v>
          </cell>
          <cell r="U242">
            <v>0</v>
          </cell>
          <cell r="W242">
            <v>0</v>
          </cell>
          <cell r="X242">
            <v>0</v>
          </cell>
        </row>
        <row r="243">
          <cell r="A243">
            <v>37978</v>
          </cell>
          <cell r="B243" t="str">
            <v>QA</v>
          </cell>
          <cell r="E243">
            <v>84.599998474120994</v>
          </cell>
          <cell r="F243">
            <v>0</v>
          </cell>
          <cell r="G243">
            <v>0</v>
          </cell>
          <cell r="H243">
            <v>0</v>
          </cell>
          <cell r="I243">
            <v>0</v>
          </cell>
          <cell r="L243">
            <v>0</v>
          </cell>
          <cell r="M243">
            <v>0</v>
          </cell>
          <cell r="N243">
            <v>0</v>
          </cell>
          <cell r="S243">
            <v>0</v>
          </cell>
          <cell r="T243">
            <v>0</v>
          </cell>
          <cell r="U243">
            <v>0</v>
          </cell>
          <cell r="W243">
            <v>84.6</v>
          </cell>
          <cell r="X243">
            <v>0</v>
          </cell>
        </row>
        <row r="244">
          <cell r="A244">
            <v>37978</v>
          </cell>
          <cell r="B244" t="str">
            <v>QA</v>
          </cell>
          <cell r="E244">
            <v>47.200000762938998</v>
          </cell>
          <cell r="F244">
            <v>0</v>
          </cell>
          <cell r="G244">
            <v>0</v>
          </cell>
          <cell r="H244">
            <v>0</v>
          </cell>
          <cell r="I244">
            <v>0</v>
          </cell>
          <cell r="L244">
            <v>0</v>
          </cell>
          <cell r="M244">
            <v>0</v>
          </cell>
          <cell r="N244">
            <v>0</v>
          </cell>
          <cell r="S244">
            <v>0</v>
          </cell>
          <cell r="T244">
            <v>0</v>
          </cell>
          <cell r="U244">
            <v>0</v>
          </cell>
          <cell r="W244">
            <v>47.2</v>
          </cell>
          <cell r="X244">
            <v>0</v>
          </cell>
        </row>
        <row r="245">
          <cell r="A245">
            <v>37978</v>
          </cell>
          <cell r="B245" t="str">
            <v>Vreturns</v>
          </cell>
          <cell r="E245">
            <v>0</v>
          </cell>
          <cell r="F245">
            <v>0</v>
          </cell>
          <cell r="G245">
            <v>0</v>
          </cell>
          <cell r="H245">
            <v>0</v>
          </cell>
          <cell r="I245">
            <v>0</v>
          </cell>
          <cell r="L245">
            <v>0</v>
          </cell>
          <cell r="M245">
            <v>0</v>
          </cell>
          <cell r="N245">
            <v>0</v>
          </cell>
          <cell r="S245">
            <v>0</v>
          </cell>
          <cell r="T245">
            <v>0</v>
          </cell>
          <cell r="U245">
            <v>0</v>
          </cell>
          <cell r="W245">
            <v>0</v>
          </cell>
          <cell r="X245">
            <v>0</v>
          </cell>
        </row>
        <row r="246">
          <cell r="A246">
            <v>37978</v>
          </cell>
          <cell r="B246" t="str">
            <v>Facilities</v>
          </cell>
          <cell r="E246">
            <v>95.233337402344006</v>
          </cell>
          <cell r="F246">
            <v>0</v>
          </cell>
          <cell r="G246">
            <v>0</v>
          </cell>
          <cell r="H246">
            <v>0</v>
          </cell>
          <cell r="I246">
            <v>0</v>
          </cell>
          <cell r="L246">
            <v>0</v>
          </cell>
          <cell r="M246">
            <v>0</v>
          </cell>
          <cell r="N246">
            <v>0</v>
          </cell>
          <cell r="S246">
            <v>0</v>
          </cell>
          <cell r="T246">
            <v>0</v>
          </cell>
          <cell r="U246">
            <v>0</v>
          </cell>
          <cell r="W246">
            <v>95.2333</v>
          </cell>
          <cell r="X246">
            <v>0</v>
          </cell>
        </row>
        <row r="247">
          <cell r="A247">
            <v>37978</v>
          </cell>
          <cell r="B247" t="str">
            <v>Facilities</v>
          </cell>
          <cell r="E247">
            <v>16</v>
          </cell>
          <cell r="F247">
            <v>0</v>
          </cell>
          <cell r="G247">
            <v>0</v>
          </cell>
          <cell r="H247">
            <v>0</v>
          </cell>
          <cell r="I247">
            <v>0</v>
          </cell>
          <cell r="L247">
            <v>0</v>
          </cell>
          <cell r="M247">
            <v>0</v>
          </cell>
          <cell r="N247">
            <v>0</v>
          </cell>
          <cell r="S247">
            <v>0</v>
          </cell>
          <cell r="T247">
            <v>0</v>
          </cell>
          <cell r="U247">
            <v>0</v>
          </cell>
          <cell r="W247">
            <v>16</v>
          </cell>
          <cell r="X247">
            <v>0</v>
          </cell>
        </row>
        <row r="248">
          <cell r="A248">
            <v>37978</v>
          </cell>
          <cell r="B248" t="str">
            <v>SNOC</v>
          </cell>
          <cell r="E248">
            <v>8.8000001907349006</v>
          </cell>
          <cell r="F248">
            <v>0</v>
          </cell>
          <cell r="G248">
            <v>0</v>
          </cell>
          <cell r="H248">
            <v>0</v>
          </cell>
          <cell r="I248">
            <v>0</v>
          </cell>
          <cell r="L248">
            <v>0</v>
          </cell>
          <cell r="M248">
            <v>0</v>
          </cell>
          <cell r="N248">
            <v>0</v>
          </cell>
          <cell r="S248">
            <v>0</v>
          </cell>
          <cell r="T248">
            <v>0</v>
          </cell>
          <cell r="U248">
            <v>0</v>
          </cell>
          <cell r="W248">
            <v>8.8000000000000007</v>
          </cell>
          <cell r="X248">
            <v>0</v>
          </cell>
        </row>
        <row r="249">
          <cell r="A249">
            <v>37978</v>
          </cell>
          <cell r="B249" t="str">
            <v>Swat</v>
          </cell>
          <cell r="E249">
            <v>8</v>
          </cell>
          <cell r="F249">
            <v>0</v>
          </cell>
          <cell r="G249">
            <v>0</v>
          </cell>
          <cell r="H249">
            <v>0</v>
          </cell>
          <cell r="I249">
            <v>0</v>
          </cell>
          <cell r="L249">
            <v>0</v>
          </cell>
          <cell r="M249">
            <v>0</v>
          </cell>
          <cell r="N249">
            <v>0</v>
          </cell>
          <cell r="S249">
            <v>0</v>
          </cell>
          <cell r="T249">
            <v>0</v>
          </cell>
          <cell r="U249">
            <v>0</v>
          </cell>
          <cell r="W249">
            <v>8</v>
          </cell>
          <cell r="X249">
            <v>0</v>
          </cell>
        </row>
        <row r="250">
          <cell r="A250">
            <v>37978</v>
          </cell>
          <cell r="B250" t="str">
            <v>CustomerService</v>
          </cell>
          <cell r="E250">
            <v>10</v>
          </cell>
          <cell r="F250">
            <v>0</v>
          </cell>
          <cell r="G250">
            <v>0</v>
          </cell>
          <cell r="H250">
            <v>0</v>
          </cell>
          <cell r="I250">
            <v>0</v>
          </cell>
          <cell r="L250">
            <v>0</v>
          </cell>
          <cell r="M250">
            <v>0</v>
          </cell>
          <cell r="N250">
            <v>0</v>
          </cell>
          <cell r="S250">
            <v>0</v>
          </cell>
          <cell r="T250">
            <v>0</v>
          </cell>
          <cell r="U250">
            <v>0</v>
          </cell>
          <cell r="W250">
            <v>10</v>
          </cell>
          <cell r="X250">
            <v>0</v>
          </cell>
        </row>
        <row r="251">
          <cell r="A251">
            <v>37978</v>
          </cell>
          <cell r="B251" t="str">
            <v>CustomerService</v>
          </cell>
          <cell r="E251">
            <v>7.9000000953673997</v>
          </cell>
          <cell r="F251">
            <v>0</v>
          </cell>
          <cell r="G251">
            <v>0</v>
          </cell>
          <cell r="H251">
            <v>0</v>
          </cell>
          <cell r="I251">
            <v>0</v>
          </cell>
          <cell r="L251">
            <v>0</v>
          </cell>
          <cell r="M251">
            <v>0</v>
          </cell>
          <cell r="N251">
            <v>0</v>
          </cell>
          <cell r="S251">
            <v>0</v>
          </cell>
          <cell r="T251">
            <v>0</v>
          </cell>
          <cell r="U251">
            <v>0</v>
          </cell>
          <cell r="W251">
            <v>7.9</v>
          </cell>
          <cell r="X251">
            <v>0</v>
          </cell>
        </row>
        <row r="252">
          <cell r="A252">
            <v>37977</v>
          </cell>
          <cell r="B252" t="str">
            <v>Vreturns</v>
          </cell>
          <cell r="E252">
            <v>0</v>
          </cell>
          <cell r="F252">
            <v>0</v>
          </cell>
          <cell r="G252">
            <v>0</v>
          </cell>
          <cell r="H252">
            <v>0</v>
          </cell>
          <cell r="I252">
            <v>0</v>
          </cell>
          <cell r="L252">
            <v>0</v>
          </cell>
          <cell r="M252">
            <v>0</v>
          </cell>
          <cell r="N252">
            <v>0</v>
          </cell>
          <cell r="S252">
            <v>0</v>
          </cell>
          <cell r="T252">
            <v>0</v>
          </cell>
          <cell r="U252">
            <v>0</v>
          </cell>
          <cell r="W252">
            <v>0</v>
          </cell>
          <cell r="X252">
            <v>0</v>
          </cell>
        </row>
        <row r="253">
          <cell r="A253">
            <v>37977</v>
          </cell>
          <cell r="B253" t="str">
            <v>Sortation</v>
          </cell>
          <cell r="E253">
            <v>478.04330444336</v>
          </cell>
          <cell r="F253">
            <v>0</v>
          </cell>
          <cell r="G253">
            <v>0</v>
          </cell>
          <cell r="H253">
            <v>0</v>
          </cell>
          <cell r="I253">
            <v>0</v>
          </cell>
          <cell r="L253">
            <v>0</v>
          </cell>
          <cell r="M253">
            <v>0</v>
          </cell>
          <cell r="N253">
            <v>0</v>
          </cell>
          <cell r="S253">
            <v>0</v>
          </cell>
          <cell r="T253">
            <v>0</v>
          </cell>
          <cell r="U253">
            <v>0</v>
          </cell>
          <cell r="W253">
            <v>-34.866700000000002</v>
          </cell>
          <cell r="X253">
            <v>0</v>
          </cell>
        </row>
        <row r="254">
          <cell r="A254">
            <v>37977</v>
          </cell>
          <cell r="B254" t="str">
            <v>Rebin</v>
          </cell>
          <cell r="E254">
            <v>192</v>
          </cell>
          <cell r="F254">
            <v>59</v>
          </cell>
          <cell r="G254">
            <v>29936</v>
          </cell>
          <cell r="H254">
            <v>0</v>
          </cell>
          <cell r="I254">
            <v>0</v>
          </cell>
          <cell r="L254">
            <v>0</v>
          </cell>
          <cell r="M254">
            <v>0</v>
          </cell>
          <cell r="N254">
            <v>0</v>
          </cell>
          <cell r="S254">
            <v>0</v>
          </cell>
          <cell r="T254">
            <v>0</v>
          </cell>
          <cell r="U254">
            <v>0</v>
          </cell>
          <cell r="W254">
            <v>0</v>
          </cell>
          <cell r="X254">
            <v>0</v>
          </cell>
        </row>
        <row r="255">
          <cell r="A255">
            <v>37977</v>
          </cell>
          <cell r="B255" t="str">
            <v>Stack</v>
          </cell>
          <cell r="E255">
            <v>174</v>
          </cell>
          <cell r="F255">
            <v>0</v>
          </cell>
          <cell r="G255">
            <v>33134</v>
          </cell>
          <cell r="H255">
            <v>0</v>
          </cell>
          <cell r="I255">
            <v>0</v>
          </cell>
          <cell r="L255">
            <v>0</v>
          </cell>
          <cell r="M255">
            <v>0</v>
          </cell>
          <cell r="N255">
            <v>0</v>
          </cell>
          <cell r="S255">
            <v>4457</v>
          </cell>
          <cell r="T255">
            <v>0</v>
          </cell>
          <cell r="U255">
            <v>0</v>
          </cell>
          <cell r="W255">
            <v>0</v>
          </cell>
          <cell r="X255">
            <v>0</v>
          </cell>
        </row>
        <row r="256">
          <cell r="A256">
            <v>37977</v>
          </cell>
          <cell r="B256" t="str">
            <v>Bundler</v>
          </cell>
          <cell r="E256">
            <v>112.04330444336</v>
          </cell>
          <cell r="F256">
            <v>0</v>
          </cell>
          <cell r="G256">
            <v>33134</v>
          </cell>
          <cell r="H256">
            <v>0</v>
          </cell>
          <cell r="I256">
            <v>0</v>
          </cell>
          <cell r="L256">
            <v>0</v>
          </cell>
          <cell r="M256">
            <v>0</v>
          </cell>
          <cell r="N256">
            <v>0</v>
          </cell>
          <cell r="S256">
            <v>0</v>
          </cell>
          <cell r="T256">
            <v>0</v>
          </cell>
          <cell r="U256">
            <v>0</v>
          </cell>
          <cell r="W256">
            <v>-34.866700000000002</v>
          </cell>
          <cell r="X256">
            <v>12909</v>
          </cell>
        </row>
        <row r="257">
          <cell r="A257">
            <v>37977</v>
          </cell>
          <cell r="B257" t="str">
            <v>QA</v>
          </cell>
          <cell r="E257">
            <v>107.76667022705</v>
          </cell>
          <cell r="F257">
            <v>0</v>
          </cell>
          <cell r="G257">
            <v>0</v>
          </cell>
          <cell r="H257">
            <v>0</v>
          </cell>
          <cell r="I257">
            <v>0</v>
          </cell>
          <cell r="L257">
            <v>0</v>
          </cell>
          <cell r="M257">
            <v>0</v>
          </cell>
          <cell r="N257">
            <v>0</v>
          </cell>
          <cell r="S257">
            <v>0</v>
          </cell>
          <cell r="T257">
            <v>0</v>
          </cell>
          <cell r="U257">
            <v>0</v>
          </cell>
          <cell r="W257">
            <v>43.2667</v>
          </cell>
          <cell r="X257">
            <v>0</v>
          </cell>
        </row>
        <row r="258">
          <cell r="A258">
            <v>37977</v>
          </cell>
          <cell r="B258" t="str">
            <v>InventoryControl</v>
          </cell>
          <cell r="E258">
            <v>141.59999847412001</v>
          </cell>
          <cell r="F258">
            <v>0</v>
          </cell>
          <cell r="G258">
            <v>0</v>
          </cell>
          <cell r="H258">
            <v>0</v>
          </cell>
          <cell r="I258">
            <v>0</v>
          </cell>
          <cell r="L258">
            <v>0</v>
          </cell>
          <cell r="M258">
            <v>0</v>
          </cell>
          <cell r="N258">
            <v>0</v>
          </cell>
          <cell r="S258">
            <v>0</v>
          </cell>
          <cell r="T258">
            <v>0</v>
          </cell>
          <cell r="U258">
            <v>0</v>
          </cell>
          <cell r="W258">
            <v>-2.4</v>
          </cell>
          <cell r="X258">
            <v>0</v>
          </cell>
        </row>
        <row r="259">
          <cell r="A259">
            <v>37977</v>
          </cell>
          <cell r="B259" t="str">
            <v>CReturns</v>
          </cell>
          <cell r="E259">
            <v>84</v>
          </cell>
          <cell r="F259">
            <v>0</v>
          </cell>
          <cell r="G259">
            <v>616</v>
          </cell>
          <cell r="H259">
            <v>0</v>
          </cell>
          <cell r="I259">
            <v>0</v>
          </cell>
          <cell r="L259">
            <v>0</v>
          </cell>
          <cell r="M259">
            <v>0</v>
          </cell>
          <cell r="N259">
            <v>0</v>
          </cell>
          <cell r="S259">
            <v>0</v>
          </cell>
          <cell r="T259">
            <v>0</v>
          </cell>
          <cell r="U259">
            <v>0</v>
          </cell>
          <cell r="W259">
            <v>55.5</v>
          </cell>
          <cell r="X259">
            <v>0</v>
          </cell>
        </row>
        <row r="260">
          <cell r="A260">
            <v>37977</v>
          </cell>
          <cell r="B260" t="str">
            <v>Vreturns</v>
          </cell>
          <cell r="E260">
            <v>53</v>
          </cell>
          <cell r="F260">
            <v>0</v>
          </cell>
          <cell r="G260">
            <v>22976</v>
          </cell>
          <cell r="H260">
            <v>0</v>
          </cell>
          <cell r="I260">
            <v>0</v>
          </cell>
          <cell r="L260">
            <v>0</v>
          </cell>
          <cell r="M260">
            <v>0</v>
          </cell>
          <cell r="N260">
            <v>0</v>
          </cell>
          <cell r="S260">
            <v>0</v>
          </cell>
          <cell r="T260">
            <v>0</v>
          </cell>
          <cell r="U260">
            <v>0</v>
          </cell>
          <cell r="W260">
            <v>-5</v>
          </cell>
          <cell r="X260">
            <v>0</v>
          </cell>
        </row>
        <row r="261">
          <cell r="A261">
            <v>37977</v>
          </cell>
          <cell r="B261" t="str">
            <v>Offsite1Receive</v>
          </cell>
          <cell r="E261">
            <v>91.666656494140994</v>
          </cell>
          <cell r="F261">
            <v>23</v>
          </cell>
          <cell r="G261">
            <v>4424</v>
          </cell>
          <cell r="H261">
            <v>0</v>
          </cell>
          <cell r="I261">
            <v>0</v>
          </cell>
          <cell r="L261">
            <v>0</v>
          </cell>
          <cell r="M261">
            <v>0</v>
          </cell>
          <cell r="N261">
            <v>0</v>
          </cell>
          <cell r="S261">
            <v>0</v>
          </cell>
          <cell r="T261">
            <v>0</v>
          </cell>
          <cell r="U261">
            <v>0</v>
          </cell>
          <cell r="W261">
            <v>1.60666</v>
          </cell>
          <cell r="X261">
            <v>0</v>
          </cell>
        </row>
        <row r="262">
          <cell r="A262">
            <v>37977</v>
          </cell>
          <cell r="B262" t="str">
            <v>Offsite1Ship</v>
          </cell>
          <cell r="E262">
            <v>371.25</v>
          </cell>
          <cell r="F262">
            <v>63</v>
          </cell>
          <cell r="G262">
            <v>3773</v>
          </cell>
          <cell r="H262">
            <v>3773</v>
          </cell>
          <cell r="I262">
            <v>0</v>
          </cell>
          <cell r="L262">
            <v>110.25</v>
          </cell>
          <cell r="M262">
            <v>0</v>
          </cell>
          <cell r="N262">
            <v>0</v>
          </cell>
          <cell r="S262">
            <v>0</v>
          </cell>
          <cell r="T262">
            <v>0</v>
          </cell>
          <cell r="U262">
            <v>0</v>
          </cell>
          <cell r="W262">
            <v>0</v>
          </cell>
          <cell r="X262">
            <v>0</v>
          </cell>
        </row>
        <row r="263">
          <cell r="A263">
            <v>37977</v>
          </cell>
          <cell r="B263" t="str">
            <v>Sortation</v>
          </cell>
          <cell r="E263">
            <v>579.56671142578</v>
          </cell>
          <cell r="F263">
            <v>0</v>
          </cell>
          <cell r="G263">
            <v>0</v>
          </cell>
          <cell r="H263">
            <v>0</v>
          </cell>
          <cell r="I263">
            <v>0</v>
          </cell>
          <cell r="L263">
            <v>0</v>
          </cell>
          <cell r="M263">
            <v>0</v>
          </cell>
          <cell r="N263">
            <v>0</v>
          </cell>
          <cell r="S263">
            <v>0</v>
          </cell>
          <cell r="T263">
            <v>0</v>
          </cell>
          <cell r="U263">
            <v>0</v>
          </cell>
          <cell r="W263">
            <v>-67.673299999999998</v>
          </cell>
          <cell r="X263">
            <v>0</v>
          </cell>
        </row>
        <row r="264">
          <cell r="A264">
            <v>37977</v>
          </cell>
          <cell r="B264" t="str">
            <v>Rebin</v>
          </cell>
          <cell r="E264">
            <v>244.5</v>
          </cell>
          <cell r="F264">
            <v>48</v>
          </cell>
          <cell r="G264">
            <v>33605</v>
          </cell>
          <cell r="H264">
            <v>0</v>
          </cell>
          <cell r="I264">
            <v>0</v>
          </cell>
          <cell r="L264">
            <v>0</v>
          </cell>
          <cell r="M264">
            <v>0</v>
          </cell>
          <cell r="N264">
            <v>0</v>
          </cell>
          <cell r="S264">
            <v>0</v>
          </cell>
          <cell r="T264">
            <v>0</v>
          </cell>
          <cell r="U264">
            <v>0</v>
          </cell>
          <cell r="W264">
            <v>0</v>
          </cell>
          <cell r="X264">
            <v>0</v>
          </cell>
        </row>
        <row r="265">
          <cell r="A265">
            <v>37977</v>
          </cell>
          <cell r="B265" t="str">
            <v>Stack</v>
          </cell>
          <cell r="E265">
            <v>193</v>
          </cell>
          <cell r="F265">
            <v>0</v>
          </cell>
          <cell r="G265">
            <v>28615</v>
          </cell>
          <cell r="H265">
            <v>0</v>
          </cell>
          <cell r="I265">
            <v>0</v>
          </cell>
          <cell r="L265">
            <v>0</v>
          </cell>
          <cell r="M265">
            <v>0</v>
          </cell>
          <cell r="N265">
            <v>0</v>
          </cell>
          <cell r="S265">
            <v>2750</v>
          </cell>
          <cell r="T265">
            <v>0</v>
          </cell>
          <cell r="U265">
            <v>0</v>
          </cell>
          <cell r="W265">
            <v>0</v>
          </cell>
          <cell r="X265">
            <v>0</v>
          </cell>
        </row>
        <row r="266">
          <cell r="A266">
            <v>37977</v>
          </cell>
          <cell r="B266" t="str">
            <v>Bundler</v>
          </cell>
          <cell r="E266">
            <v>142.06670379638999</v>
          </cell>
          <cell r="F266">
            <v>12</v>
          </cell>
          <cell r="G266">
            <v>28615</v>
          </cell>
          <cell r="H266">
            <v>0</v>
          </cell>
          <cell r="I266">
            <v>0</v>
          </cell>
          <cell r="L266">
            <v>0</v>
          </cell>
          <cell r="M266">
            <v>0</v>
          </cell>
          <cell r="N266">
            <v>0</v>
          </cell>
          <cell r="S266">
            <v>0</v>
          </cell>
          <cell r="T266">
            <v>0</v>
          </cell>
          <cell r="U266">
            <v>0</v>
          </cell>
          <cell r="W266">
            <v>-67.673299999999998</v>
          </cell>
          <cell r="X266">
            <v>11426</v>
          </cell>
        </row>
        <row r="267">
          <cell r="A267">
            <v>37977</v>
          </cell>
          <cell r="B267" t="str">
            <v>Shipping</v>
          </cell>
          <cell r="E267">
            <v>943.71667480469</v>
          </cell>
          <cell r="F267">
            <v>0</v>
          </cell>
          <cell r="G267">
            <v>0</v>
          </cell>
          <cell r="H267">
            <v>0</v>
          </cell>
          <cell r="I267">
            <v>0</v>
          </cell>
          <cell r="L267">
            <v>0</v>
          </cell>
          <cell r="M267">
            <v>0</v>
          </cell>
          <cell r="N267">
            <v>0</v>
          </cell>
          <cell r="S267">
            <v>0</v>
          </cell>
          <cell r="T267">
            <v>0</v>
          </cell>
          <cell r="U267">
            <v>0</v>
          </cell>
          <cell r="W267">
            <v>-53.783299999999997</v>
          </cell>
          <cell r="X267">
            <v>19225</v>
          </cell>
        </row>
        <row r="268">
          <cell r="A268">
            <v>37977</v>
          </cell>
          <cell r="B268" t="str">
            <v>Autobox</v>
          </cell>
          <cell r="E268">
            <v>229</v>
          </cell>
          <cell r="F268">
            <v>100</v>
          </cell>
          <cell r="G268">
            <v>28616</v>
          </cell>
          <cell r="H268">
            <v>0</v>
          </cell>
          <cell r="I268">
            <v>0</v>
          </cell>
          <cell r="L268">
            <v>0</v>
          </cell>
          <cell r="M268">
            <v>0</v>
          </cell>
          <cell r="N268">
            <v>0</v>
          </cell>
          <cell r="S268">
            <v>0</v>
          </cell>
          <cell r="T268">
            <v>0</v>
          </cell>
          <cell r="U268">
            <v>0</v>
          </cell>
          <cell r="W268">
            <v>0</v>
          </cell>
          <cell r="X268">
            <v>0</v>
          </cell>
        </row>
        <row r="269">
          <cell r="A269">
            <v>37977</v>
          </cell>
          <cell r="B269" t="str">
            <v>Levimatic</v>
          </cell>
          <cell r="E269">
            <v>0</v>
          </cell>
          <cell r="F269">
            <v>0</v>
          </cell>
          <cell r="G269">
            <v>0</v>
          </cell>
          <cell r="H269">
            <v>0</v>
          </cell>
          <cell r="I269">
            <v>0</v>
          </cell>
          <cell r="L269">
            <v>0</v>
          </cell>
          <cell r="M269">
            <v>0</v>
          </cell>
          <cell r="N269">
            <v>0</v>
          </cell>
          <cell r="S269">
            <v>0</v>
          </cell>
          <cell r="T269">
            <v>0</v>
          </cell>
          <cell r="U269">
            <v>0</v>
          </cell>
          <cell r="W269">
            <v>0</v>
          </cell>
          <cell r="X269">
            <v>0</v>
          </cell>
        </row>
        <row r="270">
          <cell r="A270">
            <v>37977</v>
          </cell>
          <cell r="B270" t="str">
            <v>Giftwrap</v>
          </cell>
          <cell r="E270">
            <v>451</v>
          </cell>
          <cell r="F270">
            <v>0</v>
          </cell>
          <cell r="G270">
            <v>5846</v>
          </cell>
          <cell r="H270">
            <v>0</v>
          </cell>
          <cell r="I270">
            <v>0</v>
          </cell>
          <cell r="L270">
            <v>0</v>
          </cell>
          <cell r="M270">
            <v>0</v>
          </cell>
          <cell r="N270">
            <v>0</v>
          </cell>
          <cell r="S270">
            <v>0</v>
          </cell>
          <cell r="T270">
            <v>0</v>
          </cell>
          <cell r="U270">
            <v>0</v>
          </cell>
          <cell r="W270">
            <v>0</v>
          </cell>
          <cell r="X270">
            <v>0</v>
          </cell>
        </row>
        <row r="271">
          <cell r="A271">
            <v>37977</v>
          </cell>
          <cell r="B271" t="str">
            <v>ShipSupport</v>
          </cell>
          <cell r="E271">
            <v>263.71670150757001</v>
          </cell>
          <cell r="F271">
            <v>60</v>
          </cell>
          <cell r="G271">
            <v>0</v>
          </cell>
          <cell r="H271">
            <v>0</v>
          </cell>
          <cell r="I271">
            <v>0</v>
          </cell>
          <cell r="L271">
            <v>0</v>
          </cell>
          <cell r="M271">
            <v>0</v>
          </cell>
          <cell r="N271">
            <v>0</v>
          </cell>
          <cell r="S271">
            <v>0</v>
          </cell>
          <cell r="T271">
            <v>0</v>
          </cell>
          <cell r="U271">
            <v>0</v>
          </cell>
          <cell r="W271">
            <v>-53.783299999999997</v>
          </cell>
          <cell r="X271">
            <v>0</v>
          </cell>
        </row>
        <row r="272">
          <cell r="A272">
            <v>37977</v>
          </cell>
          <cell r="B272" t="str">
            <v>Picking</v>
          </cell>
          <cell r="E272">
            <v>670.75</v>
          </cell>
          <cell r="F272">
            <v>0</v>
          </cell>
          <cell r="G272">
            <v>42671</v>
          </cell>
          <cell r="H272">
            <v>0</v>
          </cell>
          <cell r="I272">
            <v>0</v>
          </cell>
          <cell r="L272">
            <v>0</v>
          </cell>
          <cell r="M272">
            <v>0</v>
          </cell>
          <cell r="N272">
            <v>0</v>
          </cell>
          <cell r="S272">
            <v>0</v>
          </cell>
          <cell r="T272">
            <v>0</v>
          </cell>
          <cell r="U272">
            <v>0</v>
          </cell>
          <cell r="W272">
            <v>51.25</v>
          </cell>
          <cell r="X272">
            <v>0</v>
          </cell>
        </row>
        <row r="273">
          <cell r="A273">
            <v>37977</v>
          </cell>
          <cell r="B273" t="str">
            <v>Picking</v>
          </cell>
          <cell r="E273">
            <v>523.41668701172</v>
          </cell>
          <cell r="F273">
            <v>0</v>
          </cell>
          <cell r="G273">
            <v>43383</v>
          </cell>
          <cell r="H273">
            <v>0</v>
          </cell>
          <cell r="I273">
            <v>0</v>
          </cell>
          <cell r="L273">
            <v>0</v>
          </cell>
          <cell r="M273">
            <v>0</v>
          </cell>
          <cell r="N273">
            <v>0</v>
          </cell>
          <cell r="S273">
            <v>0</v>
          </cell>
          <cell r="T273">
            <v>0</v>
          </cell>
          <cell r="U273">
            <v>0</v>
          </cell>
          <cell r="W273">
            <v>9.1666899999999991</v>
          </cell>
          <cell r="X273">
            <v>0</v>
          </cell>
        </row>
        <row r="274">
          <cell r="A274">
            <v>37977</v>
          </cell>
          <cell r="B274" t="str">
            <v>BMV Receive</v>
          </cell>
          <cell r="E274">
            <v>162.57333374023</v>
          </cell>
          <cell r="F274">
            <v>5.5</v>
          </cell>
          <cell r="G274">
            <v>28628</v>
          </cell>
          <cell r="H274">
            <v>27566</v>
          </cell>
          <cell r="I274">
            <v>0</v>
          </cell>
          <cell r="L274">
            <v>154.25</v>
          </cell>
          <cell r="M274">
            <v>0</v>
          </cell>
          <cell r="N274">
            <v>2.25</v>
          </cell>
          <cell r="S274">
            <v>0</v>
          </cell>
          <cell r="T274">
            <v>44.5</v>
          </cell>
          <cell r="U274">
            <v>0</v>
          </cell>
          <cell r="W274">
            <v>0.57333400000000001</v>
          </cell>
          <cell r="X274">
            <v>0</v>
          </cell>
        </row>
        <row r="275">
          <cell r="A275">
            <v>37977</v>
          </cell>
          <cell r="B275" t="str">
            <v>Shipping</v>
          </cell>
          <cell r="E275">
            <v>553.91665649414006</v>
          </cell>
          <cell r="F275">
            <v>0</v>
          </cell>
          <cell r="G275">
            <v>0</v>
          </cell>
          <cell r="H275">
            <v>0</v>
          </cell>
          <cell r="I275">
            <v>0</v>
          </cell>
          <cell r="L275">
            <v>0</v>
          </cell>
          <cell r="M275">
            <v>0</v>
          </cell>
          <cell r="N275">
            <v>0</v>
          </cell>
          <cell r="S275">
            <v>0</v>
          </cell>
          <cell r="T275">
            <v>0</v>
          </cell>
          <cell r="U275">
            <v>0</v>
          </cell>
          <cell r="W275">
            <v>28.416699999999999</v>
          </cell>
          <cell r="X275">
            <v>8179</v>
          </cell>
        </row>
        <row r="276">
          <cell r="A276">
            <v>37977</v>
          </cell>
          <cell r="B276" t="str">
            <v>Autobox</v>
          </cell>
          <cell r="E276">
            <v>75</v>
          </cell>
          <cell r="F276">
            <v>30</v>
          </cell>
          <cell r="G276">
            <v>11607</v>
          </cell>
          <cell r="H276">
            <v>0</v>
          </cell>
          <cell r="I276">
            <v>0</v>
          </cell>
          <cell r="L276">
            <v>0</v>
          </cell>
          <cell r="M276">
            <v>0</v>
          </cell>
          <cell r="N276">
            <v>0</v>
          </cell>
          <cell r="S276">
            <v>0</v>
          </cell>
          <cell r="T276">
            <v>0</v>
          </cell>
          <cell r="U276">
            <v>0</v>
          </cell>
          <cell r="W276">
            <v>0</v>
          </cell>
          <cell r="X276">
            <v>0</v>
          </cell>
        </row>
        <row r="277">
          <cell r="A277">
            <v>37977</v>
          </cell>
          <cell r="B277" t="str">
            <v>Levimatic</v>
          </cell>
          <cell r="E277">
            <v>18</v>
          </cell>
          <cell r="F277">
            <v>9</v>
          </cell>
          <cell r="G277">
            <v>2326</v>
          </cell>
          <cell r="H277">
            <v>0</v>
          </cell>
          <cell r="I277">
            <v>0</v>
          </cell>
          <cell r="L277">
            <v>0</v>
          </cell>
          <cell r="M277">
            <v>0</v>
          </cell>
          <cell r="N277">
            <v>0</v>
          </cell>
          <cell r="S277">
            <v>0</v>
          </cell>
          <cell r="T277">
            <v>0</v>
          </cell>
          <cell r="U277">
            <v>0</v>
          </cell>
          <cell r="W277">
            <v>0</v>
          </cell>
          <cell r="X277">
            <v>0</v>
          </cell>
        </row>
        <row r="278">
          <cell r="A278">
            <v>37977</v>
          </cell>
          <cell r="B278" t="str">
            <v>Giftwrap</v>
          </cell>
          <cell r="E278">
            <v>229.5</v>
          </cell>
          <cell r="F278">
            <v>0</v>
          </cell>
          <cell r="G278">
            <v>3224</v>
          </cell>
          <cell r="H278">
            <v>0</v>
          </cell>
          <cell r="I278">
            <v>0</v>
          </cell>
          <cell r="L278">
            <v>0</v>
          </cell>
          <cell r="M278">
            <v>0</v>
          </cell>
          <cell r="N278">
            <v>0</v>
          </cell>
          <cell r="S278">
            <v>0</v>
          </cell>
          <cell r="T278">
            <v>0</v>
          </cell>
          <cell r="U278">
            <v>0</v>
          </cell>
          <cell r="W278">
            <v>0</v>
          </cell>
          <cell r="X278">
            <v>0</v>
          </cell>
        </row>
        <row r="279">
          <cell r="A279">
            <v>37977</v>
          </cell>
          <cell r="B279" t="str">
            <v>ShipSupport</v>
          </cell>
          <cell r="E279">
            <v>231.41670036316</v>
          </cell>
          <cell r="F279">
            <v>95</v>
          </cell>
          <cell r="G279">
            <v>0</v>
          </cell>
          <cell r="H279">
            <v>0</v>
          </cell>
          <cell r="I279">
            <v>0</v>
          </cell>
          <cell r="L279">
            <v>0</v>
          </cell>
          <cell r="M279">
            <v>0</v>
          </cell>
          <cell r="N279">
            <v>0</v>
          </cell>
          <cell r="S279">
            <v>0</v>
          </cell>
          <cell r="T279">
            <v>0</v>
          </cell>
          <cell r="U279">
            <v>0</v>
          </cell>
          <cell r="W279">
            <v>28.416699999999999</v>
          </cell>
          <cell r="X279">
            <v>0</v>
          </cell>
        </row>
        <row r="280">
          <cell r="A280">
            <v>37977</v>
          </cell>
          <cell r="B280" t="str">
            <v>BMV Stow</v>
          </cell>
          <cell r="E280">
            <v>130.19999694824</v>
          </cell>
          <cell r="F280">
            <v>0</v>
          </cell>
          <cell r="G280">
            <v>67144</v>
          </cell>
          <cell r="H280">
            <v>65144</v>
          </cell>
          <cell r="I280">
            <v>2000</v>
          </cell>
          <cell r="L280">
            <v>123.95</v>
          </cell>
          <cell r="M280">
            <v>6.25</v>
          </cell>
          <cell r="N280">
            <v>0</v>
          </cell>
          <cell r="S280">
            <v>0</v>
          </cell>
          <cell r="T280">
            <v>0</v>
          </cell>
          <cell r="U280">
            <v>0</v>
          </cell>
          <cell r="W280">
            <v>0</v>
          </cell>
          <cell r="X280">
            <v>0</v>
          </cell>
        </row>
        <row r="281">
          <cell r="A281">
            <v>37977</v>
          </cell>
          <cell r="B281" t="str">
            <v>Replenishment</v>
          </cell>
          <cell r="E281">
            <v>137.75</v>
          </cell>
          <cell r="F281">
            <v>0</v>
          </cell>
          <cell r="G281">
            <v>28431</v>
          </cell>
          <cell r="H281">
            <v>0</v>
          </cell>
          <cell r="I281">
            <v>0</v>
          </cell>
          <cell r="L281">
            <v>0</v>
          </cell>
          <cell r="M281">
            <v>0</v>
          </cell>
          <cell r="N281">
            <v>0</v>
          </cell>
          <cell r="S281">
            <v>0</v>
          </cell>
          <cell r="T281">
            <v>0</v>
          </cell>
          <cell r="U281">
            <v>0</v>
          </cell>
          <cell r="W281">
            <v>0</v>
          </cell>
          <cell r="X281">
            <v>0</v>
          </cell>
        </row>
        <row r="282">
          <cell r="A282">
            <v>37977</v>
          </cell>
          <cell r="B282" t="str">
            <v>Training</v>
          </cell>
          <cell r="E282">
            <v>0</v>
          </cell>
          <cell r="F282">
            <v>0</v>
          </cell>
          <cell r="G282">
            <v>0</v>
          </cell>
          <cell r="H282">
            <v>0</v>
          </cell>
          <cell r="I282">
            <v>0</v>
          </cell>
          <cell r="L282">
            <v>0</v>
          </cell>
          <cell r="M282">
            <v>0</v>
          </cell>
          <cell r="N282">
            <v>0</v>
          </cell>
          <cell r="S282">
            <v>0</v>
          </cell>
          <cell r="T282">
            <v>0</v>
          </cell>
          <cell r="U282">
            <v>0</v>
          </cell>
          <cell r="W282">
            <v>0</v>
          </cell>
          <cell r="X282">
            <v>0</v>
          </cell>
        </row>
        <row r="283">
          <cell r="A283">
            <v>37977</v>
          </cell>
          <cell r="B283" t="str">
            <v>Training</v>
          </cell>
          <cell r="E283">
            <v>0</v>
          </cell>
          <cell r="F283">
            <v>0</v>
          </cell>
          <cell r="G283">
            <v>0</v>
          </cell>
          <cell r="H283">
            <v>0</v>
          </cell>
          <cell r="I283">
            <v>0</v>
          </cell>
          <cell r="L283">
            <v>0</v>
          </cell>
          <cell r="M283">
            <v>0</v>
          </cell>
          <cell r="N283">
            <v>0</v>
          </cell>
          <cell r="S283">
            <v>0</v>
          </cell>
          <cell r="T283">
            <v>0</v>
          </cell>
          <cell r="U283">
            <v>0</v>
          </cell>
          <cell r="W283">
            <v>0</v>
          </cell>
          <cell r="X283">
            <v>0</v>
          </cell>
        </row>
        <row r="284">
          <cell r="A284">
            <v>37977</v>
          </cell>
          <cell r="B284" t="str">
            <v>BMV Receive</v>
          </cell>
          <cell r="E284">
            <v>386.58331298828</v>
          </cell>
          <cell r="F284">
            <v>121.08</v>
          </cell>
          <cell r="G284">
            <v>58846</v>
          </cell>
          <cell r="H284">
            <v>40770</v>
          </cell>
          <cell r="I284">
            <v>0</v>
          </cell>
          <cell r="L284">
            <v>245.5</v>
          </cell>
          <cell r="M284">
            <v>0</v>
          </cell>
          <cell r="N284">
            <v>20</v>
          </cell>
          <cell r="S284">
            <v>0</v>
          </cell>
          <cell r="T284">
            <v>47</v>
          </cell>
          <cell r="U284">
            <v>0</v>
          </cell>
          <cell r="W284">
            <v>3.3264200000000001E-3</v>
          </cell>
          <cell r="X284">
            <v>0</v>
          </cell>
        </row>
        <row r="285">
          <cell r="A285">
            <v>37977</v>
          </cell>
          <cell r="B285" t="str">
            <v>BMV Stow</v>
          </cell>
          <cell r="E285">
            <v>143</v>
          </cell>
          <cell r="F285">
            <v>0</v>
          </cell>
          <cell r="G285">
            <v>43602</v>
          </cell>
          <cell r="H285">
            <v>33890</v>
          </cell>
          <cell r="I285">
            <v>9712</v>
          </cell>
          <cell r="L285">
            <v>100</v>
          </cell>
          <cell r="M285">
            <v>43</v>
          </cell>
          <cell r="N285">
            <v>0</v>
          </cell>
          <cell r="S285">
            <v>0</v>
          </cell>
          <cell r="T285">
            <v>0</v>
          </cell>
          <cell r="U285">
            <v>0</v>
          </cell>
          <cell r="W285">
            <v>0</v>
          </cell>
          <cell r="X285">
            <v>0</v>
          </cell>
        </row>
        <row r="286">
          <cell r="A286">
            <v>37977</v>
          </cell>
          <cell r="B286" t="str">
            <v>Replenishment</v>
          </cell>
          <cell r="E286">
            <v>80</v>
          </cell>
          <cell r="F286">
            <v>0</v>
          </cell>
          <cell r="G286">
            <v>12648</v>
          </cell>
          <cell r="H286">
            <v>0</v>
          </cell>
          <cell r="I286">
            <v>0</v>
          </cell>
          <cell r="L286">
            <v>0</v>
          </cell>
          <cell r="M286">
            <v>0</v>
          </cell>
          <cell r="N286">
            <v>0</v>
          </cell>
          <cell r="S286">
            <v>0</v>
          </cell>
          <cell r="T286">
            <v>0</v>
          </cell>
          <cell r="U286">
            <v>0</v>
          </cell>
          <cell r="W286">
            <v>0</v>
          </cell>
          <cell r="X286">
            <v>0</v>
          </cell>
        </row>
        <row r="287">
          <cell r="A287">
            <v>37977</v>
          </cell>
          <cell r="B287" t="str">
            <v>Office</v>
          </cell>
          <cell r="E287">
            <v>111.86666870117</v>
          </cell>
          <cell r="F287">
            <v>0</v>
          </cell>
          <cell r="G287">
            <v>0</v>
          </cell>
          <cell r="H287">
            <v>0</v>
          </cell>
          <cell r="I287">
            <v>0</v>
          </cell>
          <cell r="L287">
            <v>0</v>
          </cell>
          <cell r="M287">
            <v>0</v>
          </cell>
          <cell r="N287">
            <v>0</v>
          </cell>
          <cell r="S287">
            <v>0</v>
          </cell>
          <cell r="T287">
            <v>0</v>
          </cell>
          <cell r="U287">
            <v>0</v>
          </cell>
          <cell r="W287">
            <v>111.867</v>
          </cell>
          <cell r="X287">
            <v>0</v>
          </cell>
        </row>
        <row r="288">
          <cell r="A288">
            <v>37977</v>
          </cell>
          <cell r="B288" t="str">
            <v>Office</v>
          </cell>
          <cell r="E288">
            <v>32.700000762938998</v>
          </cell>
          <cell r="F288">
            <v>0</v>
          </cell>
          <cell r="G288">
            <v>0</v>
          </cell>
          <cell r="H288">
            <v>0</v>
          </cell>
          <cell r="I288">
            <v>0</v>
          </cell>
          <cell r="L288">
            <v>0</v>
          </cell>
          <cell r="M288">
            <v>0</v>
          </cell>
          <cell r="N288">
            <v>0</v>
          </cell>
          <cell r="S288">
            <v>0</v>
          </cell>
          <cell r="T288">
            <v>0</v>
          </cell>
          <cell r="U288">
            <v>0</v>
          </cell>
          <cell r="W288">
            <v>32.700000000000003</v>
          </cell>
          <cell r="X288">
            <v>0</v>
          </cell>
        </row>
        <row r="289">
          <cell r="A289">
            <v>37977</v>
          </cell>
          <cell r="B289" t="str">
            <v>QA</v>
          </cell>
          <cell r="E289">
            <v>54.983333587646001</v>
          </cell>
          <cell r="F289">
            <v>0</v>
          </cell>
          <cell r="G289">
            <v>0</v>
          </cell>
          <cell r="H289">
            <v>0</v>
          </cell>
          <cell r="I289">
            <v>0</v>
          </cell>
          <cell r="L289">
            <v>0</v>
          </cell>
          <cell r="M289">
            <v>0</v>
          </cell>
          <cell r="N289">
            <v>0</v>
          </cell>
          <cell r="S289">
            <v>0</v>
          </cell>
          <cell r="T289">
            <v>0</v>
          </cell>
          <cell r="U289">
            <v>0</v>
          </cell>
          <cell r="W289">
            <v>54.9833</v>
          </cell>
          <cell r="X289">
            <v>0</v>
          </cell>
        </row>
        <row r="290">
          <cell r="A290">
            <v>37977</v>
          </cell>
          <cell r="B290" t="str">
            <v>Facilities</v>
          </cell>
          <cell r="E290">
            <v>89.800003051757997</v>
          </cell>
          <cell r="F290">
            <v>0</v>
          </cell>
          <cell r="G290">
            <v>0</v>
          </cell>
          <cell r="H290">
            <v>0</v>
          </cell>
          <cell r="I290">
            <v>0</v>
          </cell>
          <cell r="L290">
            <v>0</v>
          </cell>
          <cell r="M290">
            <v>0</v>
          </cell>
          <cell r="N290">
            <v>0</v>
          </cell>
          <cell r="S290">
            <v>0</v>
          </cell>
          <cell r="T290">
            <v>0</v>
          </cell>
          <cell r="U290">
            <v>0</v>
          </cell>
          <cell r="W290">
            <v>89.8</v>
          </cell>
          <cell r="X290">
            <v>0</v>
          </cell>
        </row>
        <row r="291">
          <cell r="A291">
            <v>37977</v>
          </cell>
          <cell r="B291" t="str">
            <v>Facilities</v>
          </cell>
          <cell r="E291">
            <v>19.699998855591002</v>
          </cell>
          <cell r="F291">
            <v>0</v>
          </cell>
          <cell r="G291">
            <v>0</v>
          </cell>
          <cell r="H291">
            <v>0</v>
          </cell>
          <cell r="I291">
            <v>0</v>
          </cell>
          <cell r="L291">
            <v>0</v>
          </cell>
          <cell r="M291">
            <v>0</v>
          </cell>
          <cell r="N291">
            <v>0</v>
          </cell>
          <cell r="S291">
            <v>0</v>
          </cell>
          <cell r="T291">
            <v>0</v>
          </cell>
          <cell r="U291">
            <v>0</v>
          </cell>
          <cell r="W291">
            <v>19.7</v>
          </cell>
          <cell r="X291">
            <v>0</v>
          </cell>
        </row>
        <row r="292">
          <cell r="A292">
            <v>37977</v>
          </cell>
          <cell r="B292" t="str">
            <v>SNOC</v>
          </cell>
          <cell r="E292">
            <v>27.016666412353999</v>
          </cell>
          <cell r="F292">
            <v>0</v>
          </cell>
          <cell r="G292">
            <v>0</v>
          </cell>
          <cell r="H292">
            <v>0</v>
          </cell>
          <cell r="I292">
            <v>0</v>
          </cell>
          <cell r="L292">
            <v>0</v>
          </cell>
          <cell r="M292">
            <v>0</v>
          </cell>
          <cell r="N292">
            <v>0</v>
          </cell>
          <cell r="S292">
            <v>0</v>
          </cell>
          <cell r="T292">
            <v>0</v>
          </cell>
          <cell r="U292">
            <v>0</v>
          </cell>
          <cell r="W292">
            <v>27.0167</v>
          </cell>
          <cell r="X292">
            <v>0</v>
          </cell>
        </row>
        <row r="293">
          <cell r="A293">
            <v>37977</v>
          </cell>
          <cell r="B293" t="str">
            <v>CustomerService</v>
          </cell>
          <cell r="E293">
            <v>11.800000190735</v>
          </cell>
          <cell r="F293">
            <v>0</v>
          </cell>
          <cell r="G293">
            <v>0</v>
          </cell>
          <cell r="H293">
            <v>0</v>
          </cell>
          <cell r="I293">
            <v>0</v>
          </cell>
          <cell r="L293">
            <v>0</v>
          </cell>
          <cell r="M293">
            <v>0</v>
          </cell>
          <cell r="N293">
            <v>0</v>
          </cell>
          <cell r="S293">
            <v>0</v>
          </cell>
          <cell r="T293">
            <v>0</v>
          </cell>
          <cell r="U293">
            <v>0</v>
          </cell>
          <cell r="W293">
            <v>11.8</v>
          </cell>
          <cell r="X293">
            <v>0</v>
          </cell>
        </row>
        <row r="294">
          <cell r="A294">
            <v>37977</v>
          </cell>
          <cell r="B294" t="str">
            <v>CustomerService</v>
          </cell>
          <cell r="E294">
            <v>10</v>
          </cell>
          <cell r="F294">
            <v>0</v>
          </cell>
          <cell r="G294">
            <v>0</v>
          </cell>
          <cell r="H294">
            <v>0</v>
          </cell>
          <cell r="I294">
            <v>0</v>
          </cell>
          <cell r="L294">
            <v>0</v>
          </cell>
          <cell r="M294">
            <v>0</v>
          </cell>
          <cell r="N294">
            <v>0</v>
          </cell>
          <cell r="S294">
            <v>0</v>
          </cell>
          <cell r="T294">
            <v>0</v>
          </cell>
          <cell r="U294">
            <v>0</v>
          </cell>
          <cell r="W294">
            <v>10</v>
          </cell>
          <cell r="X294">
            <v>0</v>
          </cell>
        </row>
        <row r="295">
          <cell r="A295">
            <v>37977</v>
          </cell>
          <cell r="B295" t="str">
            <v>Swat</v>
          </cell>
          <cell r="E295">
            <v>8.3000001907349006</v>
          </cell>
          <cell r="F295">
            <v>0</v>
          </cell>
          <cell r="G295">
            <v>0</v>
          </cell>
          <cell r="H295">
            <v>0</v>
          </cell>
          <cell r="I295">
            <v>0</v>
          </cell>
          <cell r="L295">
            <v>0</v>
          </cell>
          <cell r="M295">
            <v>0</v>
          </cell>
          <cell r="N295">
            <v>0</v>
          </cell>
          <cell r="S295">
            <v>0</v>
          </cell>
          <cell r="T295">
            <v>0</v>
          </cell>
          <cell r="U295">
            <v>0</v>
          </cell>
          <cell r="W295">
            <v>8.3000000000000007</v>
          </cell>
          <cell r="X295">
            <v>0</v>
          </cell>
        </row>
        <row r="296">
          <cell r="A296">
            <v>37977</v>
          </cell>
          <cell r="B296" t="str">
            <v>Offsite1Receive</v>
          </cell>
          <cell r="E296">
            <v>0</v>
          </cell>
          <cell r="F296">
            <v>0</v>
          </cell>
          <cell r="G296">
            <v>0</v>
          </cell>
          <cell r="H296">
            <v>0</v>
          </cell>
          <cell r="I296">
            <v>0</v>
          </cell>
          <cell r="L296">
            <v>0</v>
          </cell>
          <cell r="M296">
            <v>0</v>
          </cell>
          <cell r="N296">
            <v>0</v>
          </cell>
          <cell r="S296">
            <v>0</v>
          </cell>
          <cell r="T296">
            <v>0</v>
          </cell>
          <cell r="U296">
            <v>0</v>
          </cell>
          <cell r="W296">
            <v>0</v>
          </cell>
          <cell r="X296">
            <v>0</v>
          </cell>
        </row>
        <row r="297">
          <cell r="A297">
            <v>37976</v>
          </cell>
          <cell r="B297" t="str">
            <v>Sortation</v>
          </cell>
          <cell r="E297">
            <v>547.53332519531</v>
          </cell>
          <cell r="F297">
            <v>0</v>
          </cell>
          <cell r="G297">
            <v>0</v>
          </cell>
          <cell r="H297">
            <v>0</v>
          </cell>
          <cell r="I297">
            <v>0</v>
          </cell>
          <cell r="L297">
            <v>0</v>
          </cell>
          <cell r="M297">
            <v>0</v>
          </cell>
          <cell r="N297">
            <v>0</v>
          </cell>
          <cell r="S297">
            <v>0</v>
          </cell>
          <cell r="T297">
            <v>0</v>
          </cell>
          <cell r="U297">
            <v>0</v>
          </cell>
          <cell r="W297">
            <v>-48.966700000000003</v>
          </cell>
          <cell r="X297">
            <v>0</v>
          </cell>
        </row>
        <row r="298">
          <cell r="A298">
            <v>37976</v>
          </cell>
          <cell r="B298" t="str">
            <v>Rebin</v>
          </cell>
          <cell r="E298">
            <v>268</v>
          </cell>
          <cell r="F298">
            <v>62</v>
          </cell>
          <cell r="G298">
            <v>48483</v>
          </cell>
          <cell r="H298">
            <v>0</v>
          </cell>
          <cell r="I298">
            <v>0</v>
          </cell>
          <cell r="L298">
            <v>0</v>
          </cell>
          <cell r="M298">
            <v>0</v>
          </cell>
          <cell r="N298">
            <v>0</v>
          </cell>
          <cell r="S298">
            <v>0</v>
          </cell>
          <cell r="T298">
            <v>0</v>
          </cell>
          <cell r="U298">
            <v>0</v>
          </cell>
          <cell r="W298">
            <v>0</v>
          </cell>
          <cell r="X298">
            <v>0</v>
          </cell>
        </row>
        <row r="299">
          <cell r="A299">
            <v>37976</v>
          </cell>
          <cell r="B299" t="str">
            <v>Stack</v>
          </cell>
          <cell r="E299">
            <v>177</v>
          </cell>
          <cell r="F299">
            <v>0</v>
          </cell>
          <cell r="G299">
            <v>34113</v>
          </cell>
          <cell r="H299">
            <v>0</v>
          </cell>
          <cell r="I299">
            <v>0</v>
          </cell>
          <cell r="L299">
            <v>0</v>
          </cell>
          <cell r="M299">
            <v>0</v>
          </cell>
          <cell r="N299">
            <v>0</v>
          </cell>
          <cell r="S299">
            <v>4322</v>
          </cell>
          <cell r="T299">
            <v>0</v>
          </cell>
          <cell r="U299">
            <v>0</v>
          </cell>
          <cell r="W299">
            <v>0</v>
          </cell>
          <cell r="X299">
            <v>0</v>
          </cell>
        </row>
        <row r="300">
          <cell r="A300">
            <v>37976</v>
          </cell>
          <cell r="B300" t="str">
            <v>Bundler</v>
          </cell>
          <cell r="E300">
            <v>102.53329849243001</v>
          </cell>
          <cell r="F300">
            <v>0</v>
          </cell>
          <cell r="G300">
            <v>34113</v>
          </cell>
          <cell r="H300">
            <v>0</v>
          </cell>
          <cell r="I300">
            <v>0</v>
          </cell>
          <cell r="L300">
            <v>0</v>
          </cell>
          <cell r="M300">
            <v>0</v>
          </cell>
          <cell r="N300">
            <v>0</v>
          </cell>
          <cell r="S300">
            <v>0</v>
          </cell>
          <cell r="T300">
            <v>0</v>
          </cell>
          <cell r="U300">
            <v>0</v>
          </cell>
          <cell r="W300">
            <v>-48.966700000000003</v>
          </cell>
          <cell r="X300">
            <v>12918</v>
          </cell>
        </row>
        <row r="301">
          <cell r="A301">
            <v>37976</v>
          </cell>
          <cell r="B301" t="str">
            <v>QA</v>
          </cell>
          <cell r="E301">
            <v>106.65000152588</v>
          </cell>
          <cell r="F301">
            <v>0</v>
          </cell>
          <cell r="G301">
            <v>0</v>
          </cell>
          <cell r="H301">
            <v>0</v>
          </cell>
          <cell r="I301">
            <v>0</v>
          </cell>
          <cell r="L301">
            <v>0</v>
          </cell>
          <cell r="M301">
            <v>0</v>
          </cell>
          <cell r="N301">
            <v>0</v>
          </cell>
          <cell r="S301">
            <v>0</v>
          </cell>
          <cell r="T301">
            <v>0</v>
          </cell>
          <cell r="U301">
            <v>0</v>
          </cell>
          <cell r="W301">
            <v>101.65</v>
          </cell>
          <cell r="X301">
            <v>0</v>
          </cell>
        </row>
        <row r="302">
          <cell r="A302">
            <v>37976</v>
          </cell>
          <cell r="B302" t="str">
            <v>Offsite1Receive</v>
          </cell>
          <cell r="E302">
            <v>3.9833374023438002</v>
          </cell>
          <cell r="F302">
            <v>0</v>
          </cell>
          <cell r="G302">
            <v>0</v>
          </cell>
          <cell r="H302">
            <v>0</v>
          </cell>
          <cell r="I302">
            <v>0</v>
          </cell>
          <cell r="L302">
            <v>0</v>
          </cell>
          <cell r="M302">
            <v>0</v>
          </cell>
          <cell r="N302">
            <v>0</v>
          </cell>
          <cell r="S302">
            <v>0</v>
          </cell>
          <cell r="T302">
            <v>0</v>
          </cell>
          <cell r="U302">
            <v>0</v>
          </cell>
          <cell r="W302">
            <v>3.9833400000000001</v>
          </cell>
          <cell r="X302">
            <v>0</v>
          </cell>
        </row>
        <row r="303">
          <cell r="A303">
            <v>37976</v>
          </cell>
          <cell r="B303" t="str">
            <v>Offsite1Ship</v>
          </cell>
          <cell r="E303">
            <v>383.64999389648</v>
          </cell>
          <cell r="F303">
            <v>63</v>
          </cell>
          <cell r="G303">
            <v>3589</v>
          </cell>
          <cell r="H303">
            <v>3589</v>
          </cell>
          <cell r="I303">
            <v>0</v>
          </cell>
          <cell r="L303">
            <v>0</v>
          </cell>
          <cell r="M303">
            <v>0</v>
          </cell>
          <cell r="N303">
            <v>0</v>
          </cell>
          <cell r="S303">
            <v>0</v>
          </cell>
          <cell r="T303">
            <v>0</v>
          </cell>
          <cell r="U303">
            <v>0</v>
          </cell>
          <cell r="W303">
            <v>0</v>
          </cell>
          <cell r="X303">
            <v>0</v>
          </cell>
        </row>
        <row r="304">
          <cell r="A304">
            <v>37976</v>
          </cell>
          <cell r="B304" t="str">
            <v>Sortation</v>
          </cell>
          <cell r="E304">
            <v>725.85003662109</v>
          </cell>
          <cell r="F304">
            <v>0</v>
          </cell>
          <cell r="G304">
            <v>0</v>
          </cell>
          <cell r="H304">
            <v>0</v>
          </cell>
          <cell r="I304">
            <v>0</v>
          </cell>
          <cell r="L304">
            <v>0</v>
          </cell>
          <cell r="M304">
            <v>0</v>
          </cell>
          <cell r="N304">
            <v>0</v>
          </cell>
          <cell r="S304">
            <v>0</v>
          </cell>
          <cell r="T304">
            <v>0</v>
          </cell>
          <cell r="U304">
            <v>0</v>
          </cell>
          <cell r="W304">
            <v>0.57000700000000004</v>
          </cell>
          <cell r="X304">
            <v>0</v>
          </cell>
        </row>
        <row r="305">
          <cell r="A305">
            <v>37976</v>
          </cell>
          <cell r="B305" t="str">
            <v>Rebin</v>
          </cell>
          <cell r="E305">
            <v>325</v>
          </cell>
          <cell r="F305">
            <v>48</v>
          </cell>
          <cell r="G305">
            <v>62857</v>
          </cell>
          <cell r="H305">
            <v>0</v>
          </cell>
          <cell r="I305">
            <v>0</v>
          </cell>
          <cell r="L305">
            <v>0</v>
          </cell>
          <cell r="M305">
            <v>0</v>
          </cell>
          <cell r="N305">
            <v>0</v>
          </cell>
          <cell r="S305">
            <v>0</v>
          </cell>
          <cell r="T305">
            <v>0</v>
          </cell>
          <cell r="U305">
            <v>0</v>
          </cell>
          <cell r="W305">
            <v>0</v>
          </cell>
          <cell r="X305">
            <v>0</v>
          </cell>
        </row>
        <row r="306">
          <cell r="A306">
            <v>37976</v>
          </cell>
          <cell r="B306" t="str">
            <v>Stack</v>
          </cell>
          <cell r="E306">
            <v>256.5</v>
          </cell>
          <cell r="F306">
            <v>0</v>
          </cell>
          <cell r="G306">
            <v>41687</v>
          </cell>
          <cell r="H306">
            <v>0</v>
          </cell>
          <cell r="I306">
            <v>0</v>
          </cell>
          <cell r="L306">
            <v>0</v>
          </cell>
          <cell r="M306">
            <v>0</v>
          </cell>
          <cell r="N306">
            <v>0</v>
          </cell>
          <cell r="S306">
            <v>2487</v>
          </cell>
          <cell r="T306">
            <v>0</v>
          </cell>
          <cell r="U306">
            <v>0</v>
          </cell>
          <cell r="W306">
            <v>0</v>
          </cell>
          <cell r="X306">
            <v>0</v>
          </cell>
        </row>
        <row r="307">
          <cell r="A307">
            <v>37976</v>
          </cell>
          <cell r="B307" t="str">
            <v>Bundler</v>
          </cell>
          <cell r="E307">
            <v>144.35000580549001</v>
          </cell>
          <cell r="F307">
            <v>12</v>
          </cell>
          <cell r="G307">
            <v>41687</v>
          </cell>
          <cell r="H307">
            <v>0</v>
          </cell>
          <cell r="I307">
            <v>0</v>
          </cell>
          <cell r="L307">
            <v>0</v>
          </cell>
          <cell r="M307">
            <v>0</v>
          </cell>
          <cell r="N307">
            <v>0</v>
          </cell>
          <cell r="S307">
            <v>0</v>
          </cell>
          <cell r="T307">
            <v>0</v>
          </cell>
          <cell r="U307">
            <v>0</v>
          </cell>
          <cell r="W307">
            <v>0.57000700000000004</v>
          </cell>
          <cell r="X307">
            <v>14779</v>
          </cell>
        </row>
        <row r="308">
          <cell r="A308">
            <v>37976</v>
          </cell>
          <cell r="B308" t="str">
            <v>Shipping</v>
          </cell>
          <cell r="E308">
            <v>882.33331298828</v>
          </cell>
          <cell r="F308">
            <v>0</v>
          </cell>
          <cell r="G308">
            <v>0</v>
          </cell>
          <cell r="H308">
            <v>0</v>
          </cell>
          <cell r="I308">
            <v>0</v>
          </cell>
          <cell r="L308">
            <v>0</v>
          </cell>
          <cell r="M308">
            <v>0</v>
          </cell>
          <cell r="N308">
            <v>0</v>
          </cell>
          <cell r="S308">
            <v>0</v>
          </cell>
          <cell r="T308">
            <v>0</v>
          </cell>
          <cell r="U308">
            <v>0</v>
          </cell>
          <cell r="W308">
            <v>-53.666699999999999</v>
          </cell>
          <cell r="X308">
            <v>25429</v>
          </cell>
        </row>
        <row r="309">
          <cell r="A309">
            <v>37976</v>
          </cell>
          <cell r="B309" t="str">
            <v>Autobox</v>
          </cell>
          <cell r="E309">
            <v>282</v>
          </cell>
          <cell r="F309">
            <v>0</v>
          </cell>
          <cell r="G309">
            <v>41877</v>
          </cell>
          <cell r="H309">
            <v>0</v>
          </cell>
          <cell r="I309">
            <v>0</v>
          </cell>
          <cell r="L309">
            <v>0</v>
          </cell>
          <cell r="M309">
            <v>0</v>
          </cell>
          <cell r="N309">
            <v>0</v>
          </cell>
          <cell r="S309">
            <v>0</v>
          </cell>
          <cell r="T309">
            <v>0</v>
          </cell>
          <cell r="U309">
            <v>0</v>
          </cell>
          <cell r="W309">
            <v>0</v>
          </cell>
          <cell r="X309">
            <v>0</v>
          </cell>
        </row>
        <row r="310">
          <cell r="A310">
            <v>37976</v>
          </cell>
          <cell r="B310" t="str">
            <v>Levimatic</v>
          </cell>
          <cell r="E310">
            <v>36</v>
          </cell>
          <cell r="F310">
            <v>0</v>
          </cell>
          <cell r="G310">
            <v>8466</v>
          </cell>
          <cell r="H310">
            <v>0</v>
          </cell>
          <cell r="I310">
            <v>0</v>
          </cell>
          <cell r="L310">
            <v>0</v>
          </cell>
          <cell r="M310">
            <v>0</v>
          </cell>
          <cell r="N310">
            <v>0</v>
          </cell>
          <cell r="S310">
            <v>0</v>
          </cell>
          <cell r="T310">
            <v>0</v>
          </cell>
          <cell r="U310">
            <v>0</v>
          </cell>
          <cell r="W310">
            <v>0</v>
          </cell>
          <cell r="X310">
            <v>0</v>
          </cell>
        </row>
        <row r="311">
          <cell r="A311">
            <v>37976</v>
          </cell>
          <cell r="B311" t="str">
            <v>Giftwrap</v>
          </cell>
          <cell r="E311">
            <v>257.5</v>
          </cell>
          <cell r="F311">
            <v>0</v>
          </cell>
          <cell r="G311">
            <v>5224</v>
          </cell>
          <cell r="H311">
            <v>0</v>
          </cell>
          <cell r="I311">
            <v>0</v>
          </cell>
          <cell r="L311">
            <v>0</v>
          </cell>
          <cell r="M311">
            <v>0</v>
          </cell>
          <cell r="N311">
            <v>0</v>
          </cell>
          <cell r="S311">
            <v>0</v>
          </cell>
          <cell r="T311">
            <v>0</v>
          </cell>
          <cell r="U311">
            <v>0</v>
          </cell>
          <cell r="W311">
            <v>0</v>
          </cell>
          <cell r="X311">
            <v>0</v>
          </cell>
        </row>
        <row r="312">
          <cell r="A312">
            <v>37976</v>
          </cell>
          <cell r="B312" t="str">
            <v>ShipSupport</v>
          </cell>
          <cell r="E312">
            <v>306.83330154419002</v>
          </cell>
          <cell r="F312">
            <v>60</v>
          </cell>
          <cell r="G312">
            <v>0</v>
          </cell>
          <cell r="H312">
            <v>0</v>
          </cell>
          <cell r="I312">
            <v>0</v>
          </cell>
          <cell r="L312">
            <v>0</v>
          </cell>
          <cell r="M312">
            <v>0</v>
          </cell>
          <cell r="N312">
            <v>0</v>
          </cell>
          <cell r="S312">
            <v>0</v>
          </cell>
          <cell r="T312">
            <v>0</v>
          </cell>
          <cell r="U312">
            <v>0</v>
          </cell>
          <cell r="W312">
            <v>-53.666699999999999</v>
          </cell>
          <cell r="X312">
            <v>0</v>
          </cell>
        </row>
        <row r="313">
          <cell r="A313">
            <v>37976</v>
          </cell>
          <cell r="B313" t="str">
            <v>Picking</v>
          </cell>
          <cell r="E313">
            <v>911.16668701172</v>
          </cell>
          <cell r="F313">
            <v>0</v>
          </cell>
          <cell r="G313">
            <v>89932</v>
          </cell>
          <cell r="H313">
            <v>0</v>
          </cell>
          <cell r="I313">
            <v>0</v>
          </cell>
          <cell r="L313">
            <v>0</v>
          </cell>
          <cell r="M313">
            <v>0</v>
          </cell>
          <cell r="N313">
            <v>0</v>
          </cell>
          <cell r="S313">
            <v>0</v>
          </cell>
          <cell r="T313">
            <v>0</v>
          </cell>
          <cell r="U313">
            <v>0</v>
          </cell>
          <cell r="W313">
            <v>58.416699999999999</v>
          </cell>
          <cell r="X313">
            <v>0</v>
          </cell>
        </row>
        <row r="314">
          <cell r="A314">
            <v>37976</v>
          </cell>
          <cell r="B314" t="str">
            <v>Picking</v>
          </cell>
          <cell r="E314">
            <v>716.09997558594</v>
          </cell>
          <cell r="F314">
            <v>0</v>
          </cell>
          <cell r="G314">
            <v>69183</v>
          </cell>
          <cell r="H314">
            <v>0</v>
          </cell>
          <cell r="I314">
            <v>0</v>
          </cell>
          <cell r="L314">
            <v>0</v>
          </cell>
          <cell r="M314">
            <v>0</v>
          </cell>
          <cell r="N314">
            <v>0</v>
          </cell>
          <cell r="S314">
            <v>0</v>
          </cell>
          <cell r="T314">
            <v>0</v>
          </cell>
          <cell r="U314">
            <v>0</v>
          </cell>
          <cell r="W314">
            <v>14.1</v>
          </cell>
          <cell r="X314">
            <v>0</v>
          </cell>
        </row>
        <row r="315">
          <cell r="A315">
            <v>37976</v>
          </cell>
          <cell r="B315" t="str">
            <v>BMV Receive</v>
          </cell>
          <cell r="E315">
            <v>169.82331848145</v>
          </cell>
          <cell r="F315">
            <v>1.5</v>
          </cell>
          <cell r="G315">
            <v>27130</v>
          </cell>
          <cell r="H315">
            <v>27130</v>
          </cell>
          <cell r="I315">
            <v>0</v>
          </cell>
          <cell r="L315">
            <v>158</v>
          </cell>
          <cell r="M315">
            <v>0</v>
          </cell>
          <cell r="N315">
            <v>0</v>
          </cell>
          <cell r="S315">
            <v>0</v>
          </cell>
          <cell r="T315">
            <v>68</v>
          </cell>
          <cell r="U315">
            <v>0</v>
          </cell>
          <cell r="W315">
            <v>10.3233</v>
          </cell>
          <cell r="X315">
            <v>0</v>
          </cell>
        </row>
        <row r="316">
          <cell r="A316">
            <v>37976</v>
          </cell>
          <cell r="B316" t="str">
            <v>BMV Stow</v>
          </cell>
          <cell r="E316">
            <v>76</v>
          </cell>
          <cell r="F316">
            <v>0</v>
          </cell>
          <cell r="G316">
            <v>24130</v>
          </cell>
          <cell r="H316">
            <v>24130</v>
          </cell>
          <cell r="I316">
            <v>0</v>
          </cell>
          <cell r="L316">
            <v>76</v>
          </cell>
          <cell r="M316">
            <v>0</v>
          </cell>
          <cell r="N316">
            <v>0</v>
          </cell>
          <cell r="S316">
            <v>0</v>
          </cell>
          <cell r="T316">
            <v>0</v>
          </cell>
          <cell r="U316">
            <v>0</v>
          </cell>
          <cell r="W316">
            <v>0</v>
          </cell>
          <cell r="X316">
            <v>0</v>
          </cell>
        </row>
        <row r="317">
          <cell r="A317">
            <v>37976</v>
          </cell>
          <cell r="B317" t="str">
            <v>Replenishment</v>
          </cell>
          <cell r="E317">
            <v>128.61000061035</v>
          </cell>
          <cell r="F317">
            <v>0</v>
          </cell>
          <cell r="G317">
            <v>26520</v>
          </cell>
          <cell r="H317">
            <v>0</v>
          </cell>
          <cell r="I317">
            <v>0</v>
          </cell>
          <cell r="L317">
            <v>0</v>
          </cell>
          <cell r="M317">
            <v>0</v>
          </cell>
          <cell r="N317">
            <v>0</v>
          </cell>
          <cell r="S317">
            <v>0</v>
          </cell>
          <cell r="T317">
            <v>0</v>
          </cell>
          <cell r="U317">
            <v>0</v>
          </cell>
          <cell r="W317">
            <v>128.61000000000001</v>
          </cell>
          <cell r="X317">
            <v>0</v>
          </cell>
        </row>
        <row r="318">
          <cell r="A318">
            <v>37976</v>
          </cell>
          <cell r="B318" t="str">
            <v>Shipping</v>
          </cell>
          <cell r="E318">
            <v>684</v>
          </cell>
          <cell r="F318">
            <v>0</v>
          </cell>
          <cell r="G318">
            <v>0</v>
          </cell>
          <cell r="H318">
            <v>0</v>
          </cell>
          <cell r="I318">
            <v>0</v>
          </cell>
          <cell r="L318">
            <v>0</v>
          </cell>
          <cell r="M318">
            <v>0</v>
          </cell>
          <cell r="N318">
            <v>0</v>
          </cell>
          <cell r="S318">
            <v>0</v>
          </cell>
          <cell r="T318">
            <v>0</v>
          </cell>
          <cell r="U318">
            <v>0</v>
          </cell>
          <cell r="W318">
            <v>10.25</v>
          </cell>
          <cell r="X318">
            <v>16520</v>
          </cell>
        </row>
        <row r="319">
          <cell r="A319">
            <v>37976</v>
          </cell>
          <cell r="B319" t="str">
            <v>Autobox</v>
          </cell>
          <cell r="E319">
            <v>171</v>
          </cell>
          <cell r="F319">
            <v>54</v>
          </cell>
          <cell r="G319">
            <v>27504</v>
          </cell>
          <cell r="H319">
            <v>0</v>
          </cell>
          <cell r="I319">
            <v>0</v>
          </cell>
          <cell r="L319">
            <v>0</v>
          </cell>
          <cell r="M319">
            <v>0</v>
          </cell>
          <cell r="N319">
            <v>0</v>
          </cell>
          <cell r="S319">
            <v>0</v>
          </cell>
          <cell r="T319">
            <v>0</v>
          </cell>
          <cell r="U319">
            <v>0</v>
          </cell>
          <cell r="W319">
            <v>0</v>
          </cell>
          <cell r="X319">
            <v>0</v>
          </cell>
        </row>
        <row r="320">
          <cell r="A320">
            <v>37976</v>
          </cell>
          <cell r="B320" t="str">
            <v>Levimatic</v>
          </cell>
          <cell r="E320">
            <v>27</v>
          </cell>
          <cell r="F320">
            <v>9</v>
          </cell>
          <cell r="G320">
            <v>4285</v>
          </cell>
          <cell r="H320">
            <v>0</v>
          </cell>
          <cell r="I320">
            <v>0</v>
          </cell>
          <cell r="L320">
            <v>0</v>
          </cell>
          <cell r="M320">
            <v>0</v>
          </cell>
          <cell r="N320">
            <v>0</v>
          </cell>
          <cell r="S320">
            <v>0</v>
          </cell>
          <cell r="T320">
            <v>0</v>
          </cell>
          <cell r="U320">
            <v>0</v>
          </cell>
          <cell r="W320">
            <v>0</v>
          </cell>
          <cell r="X320">
            <v>4261</v>
          </cell>
        </row>
        <row r="321">
          <cell r="A321">
            <v>37976</v>
          </cell>
          <cell r="B321" t="str">
            <v>Giftwrap</v>
          </cell>
          <cell r="E321">
            <v>239.5</v>
          </cell>
          <cell r="F321">
            <v>0</v>
          </cell>
          <cell r="G321">
            <v>4403</v>
          </cell>
          <cell r="H321">
            <v>0</v>
          </cell>
          <cell r="I321">
            <v>0</v>
          </cell>
          <cell r="L321">
            <v>0</v>
          </cell>
          <cell r="M321">
            <v>0</v>
          </cell>
          <cell r="N321">
            <v>0</v>
          </cell>
          <cell r="S321">
            <v>0</v>
          </cell>
          <cell r="T321">
            <v>0</v>
          </cell>
          <cell r="U321">
            <v>0</v>
          </cell>
          <cell r="W321">
            <v>0</v>
          </cell>
          <cell r="X321">
            <v>0</v>
          </cell>
        </row>
        <row r="322">
          <cell r="A322">
            <v>37976</v>
          </cell>
          <cell r="B322" t="str">
            <v>ShipSupport</v>
          </cell>
          <cell r="E322">
            <v>246.5</v>
          </cell>
          <cell r="F322">
            <v>82.25</v>
          </cell>
          <cell r="G322">
            <v>0</v>
          </cell>
          <cell r="H322">
            <v>0</v>
          </cell>
          <cell r="I322">
            <v>0</v>
          </cell>
          <cell r="L322">
            <v>0</v>
          </cell>
          <cell r="M322">
            <v>0</v>
          </cell>
          <cell r="N322">
            <v>0</v>
          </cell>
          <cell r="S322">
            <v>0</v>
          </cell>
          <cell r="T322">
            <v>0</v>
          </cell>
          <cell r="U322">
            <v>0</v>
          </cell>
          <cell r="W322">
            <v>10.25</v>
          </cell>
          <cell r="X322">
            <v>0</v>
          </cell>
        </row>
        <row r="323">
          <cell r="A323">
            <v>37976</v>
          </cell>
          <cell r="B323" t="str">
            <v>BMV Receive</v>
          </cell>
          <cell r="E323">
            <v>113.81666564941</v>
          </cell>
          <cell r="F323">
            <v>21.82</v>
          </cell>
          <cell r="G323">
            <v>23650</v>
          </cell>
          <cell r="H323">
            <v>18448</v>
          </cell>
          <cell r="I323">
            <v>0</v>
          </cell>
          <cell r="L323">
            <v>78.5</v>
          </cell>
          <cell r="M323">
            <v>0</v>
          </cell>
          <cell r="N323">
            <v>14</v>
          </cell>
          <cell r="S323">
            <v>0</v>
          </cell>
          <cell r="T323">
            <v>21.82</v>
          </cell>
          <cell r="U323">
            <v>0</v>
          </cell>
          <cell r="W323">
            <v>-0.50333399999999995</v>
          </cell>
          <cell r="X323">
            <v>0</v>
          </cell>
        </row>
        <row r="324">
          <cell r="A324">
            <v>37976</v>
          </cell>
          <cell r="B324" t="str">
            <v>BMV Stow</v>
          </cell>
          <cell r="E324">
            <v>80</v>
          </cell>
          <cell r="F324">
            <v>-8</v>
          </cell>
          <cell r="G324">
            <v>39799</v>
          </cell>
          <cell r="H324">
            <v>33051</v>
          </cell>
          <cell r="I324">
            <v>6748</v>
          </cell>
          <cell r="L324">
            <v>72</v>
          </cell>
          <cell r="M324">
            <v>8</v>
          </cell>
          <cell r="N324">
            <v>0</v>
          </cell>
          <cell r="S324">
            <v>0</v>
          </cell>
          <cell r="T324">
            <v>0</v>
          </cell>
          <cell r="U324">
            <v>0</v>
          </cell>
          <cell r="W324">
            <v>80</v>
          </cell>
          <cell r="X324">
            <v>0</v>
          </cell>
        </row>
        <row r="325">
          <cell r="A325">
            <v>37976</v>
          </cell>
          <cell r="B325" t="str">
            <v>Replenishment</v>
          </cell>
          <cell r="E325">
            <v>45.5</v>
          </cell>
          <cell r="F325">
            <v>0</v>
          </cell>
          <cell r="G325">
            <v>4252</v>
          </cell>
          <cell r="H325">
            <v>0</v>
          </cell>
          <cell r="I325">
            <v>0</v>
          </cell>
          <cell r="L325">
            <v>0</v>
          </cell>
          <cell r="M325">
            <v>0</v>
          </cell>
          <cell r="N325">
            <v>0</v>
          </cell>
          <cell r="S325">
            <v>0</v>
          </cell>
          <cell r="T325">
            <v>0</v>
          </cell>
          <cell r="U325">
            <v>0</v>
          </cell>
          <cell r="W325">
            <v>45.5</v>
          </cell>
          <cell r="X325">
            <v>0</v>
          </cell>
        </row>
        <row r="326">
          <cell r="A326">
            <v>37976</v>
          </cell>
          <cell r="B326" t="str">
            <v>InventoryControl</v>
          </cell>
          <cell r="E326">
            <v>25</v>
          </cell>
          <cell r="F326">
            <v>0</v>
          </cell>
          <cell r="G326">
            <v>0</v>
          </cell>
          <cell r="H326">
            <v>0</v>
          </cell>
          <cell r="I326">
            <v>0</v>
          </cell>
          <cell r="L326">
            <v>0</v>
          </cell>
          <cell r="M326">
            <v>0</v>
          </cell>
          <cell r="N326">
            <v>0</v>
          </cell>
          <cell r="S326">
            <v>0</v>
          </cell>
          <cell r="T326">
            <v>0</v>
          </cell>
          <cell r="U326">
            <v>0</v>
          </cell>
          <cell r="W326">
            <v>25</v>
          </cell>
          <cell r="X326">
            <v>0</v>
          </cell>
        </row>
        <row r="327">
          <cell r="A327">
            <v>37976</v>
          </cell>
          <cell r="B327" t="str">
            <v>Office</v>
          </cell>
          <cell r="E327">
            <v>46.183334350586001</v>
          </cell>
          <cell r="F327">
            <v>0</v>
          </cell>
          <cell r="G327">
            <v>0</v>
          </cell>
          <cell r="H327">
            <v>0</v>
          </cell>
          <cell r="I327">
            <v>0</v>
          </cell>
          <cell r="L327">
            <v>0</v>
          </cell>
          <cell r="M327">
            <v>0</v>
          </cell>
          <cell r="N327">
            <v>0</v>
          </cell>
          <cell r="S327">
            <v>0</v>
          </cell>
          <cell r="T327">
            <v>0</v>
          </cell>
          <cell r="U327">
            <v>0</v>
          </cell>
          <cell r="W327">
            <v>46.183300000000003</v>
          </cell>
          <cell r="X327">
            <v>0</v>
          </cell>
        </row>
        <row r="328">
          <cell r="A328">
            <v>37976</v>
          </cell>
          <cell r="B328" t="str">
            <v>Office</v>
          </cell>
          <cell r="E328">
            <v>27.5</v>
          </cell>
          <cell r="F328">
            <v>0</v>
          </cell>
          <cell r="G328">
            <v>0</v>
          </cell>
          <cell r="H328">
            <v>0</v>
          </cell>
          <cell r="I328">
            <v>0</v>
          </cell>
          <cell r="L328">
            <v>0</v>
          </cell>
          <cell r="M328">
            <v>0</v>
          </cell>
          <cell r="N328">
            <v>0</v>
          </cell>
          <cell r="S328">
            <v>0</v>
          </cell>
          <cell r="T328">
            <v>0</v>
          </cell>
          <cell r="U328">
            <v>0</v>
          </cell>
          <cell r="W328">
            <v>27.5</v>
          </cell>
          <cell r="X328">
            <v>0</v>
          </cell>
        </row>
        <row r="329">
          <cell r="A329">
            <v>37976</v>
          </cell>
          <cell r="B329" t="str">
            <v>QA</v>
          </cell>
          <cell r="E329">
            <v>30</v>
          </cell>
          <cell r="F329">
            <v>0</v>
          </cell>
          <cell r="G329">
            <v>0</v>
          </cell>
          <cell r="H329">
            <v>0</v>
          </cell>
          <cell r="I329">
            <v>0</v>
          </cell>
          <cell r="L329">
            <v>0</v>
          </cell>
          <cell r="M329">
            <v>0</v>
          </cell>
          <cell r="N329">
            <v>0</v>
          </cell>
          <cell r="S329">
            <v>0</v>
          </cell>
          <cell r="T329">
            <v>0</v>
          </cell>
          <cell r="U329">
            <v>0</v>
          </cell>
          <cell r="W329">
            <v>30</v>
          </cell>
          <cell r="X329">
            <v>0</v>
          </cell>
        </row>
        <row r="330">
          <cell r="A330">
            <v>37976</v>
          </cell>
          <cell r="B330" t="str">
            <v>Vreturns</v>
          </cell>
          <cell r="E330">
            <v>0</v>
          </cell>
          <cell r="F330">
            <v>0</v>
          </cell>
          <cell r="G330">
            <v>0</v>
          </cell>
          <cell r="H330">
            <v>0</v>
          </cell>
          <cell r="I330">
            <v>0</v>
          </cell>
          <cell r="L330">
            <v>0</v>
          </cell>
          <cell r="M330">
            <v>0</v>
          </cell>
          <cell r="N330">
            <v>0</v>
          </cell>
          <cell r="S330">
            <v>0</v>
          </cell>
          <cell r="T330">
            <v>0</v>
          </cell>
          <cell r="U330">
            <v>0</v>
          </cell>
          <cell r="W330">
            <v>0</v>
          </cell>
          <cell r="X330">
            <v>0</v>
          </cell>
        </row>
        <row r="331">
          <cell r="A331">
            <v>37976</v>
          </cell>
          <cell r="B331" t="str">
            <v>Vreturns</v>
          </cell>
          <cell r="E331">
            <v>0</v>
          </cell>
          <cell r="F331">
            <v>0</v>
          </cell>
          <cell r="G331">
            <v>0</v>
          </cell>
          <cell r="H331">
            <v>0</v>
          </cell>
          <cell r="I331">
            <v>0</v>
          </cell>
          <cell r="L331">
            <v>0</v>
          </cell>
          <cell r="M331">
            <v>0</v>
          </cell>
          <cell r="N331">
            <v>0</v>
          </cell>
          <cell r="S331">
            <v>0</v>
          </cell>
          <cell r="T331">
            <v>0</v>
          </cell>
          <cell r="U331">
            <v>0</v>
          </cell>
          <cell r="W331">
            <v>0</v>
          </cell>
          <cell r="X331">
            <v>0</v>
          </cell>
        </row>
        <row r="332">
          <cell r="A332">
            <v>37976</v>
          </cell>
          <cell r="B332" t="str">
            <v>Facilities</v>
          </cell>
          <cell r="E332">
            <v>76.233329772949006</v>
          </cell>
          <cell r="F332">
            <v>0</v>
          </cell>
          <cell r="G332">
            <v>0</v>
          </cell>
          <cell r="H332">
            <v>0</v>
          </cell>
          <cell r="I332">
            <v>0</v>
          </cell>
          <cell r="L332">
            <v>0</v>
          </cell>
          <cell r="M332">
            <v>0</v>
          </cell>
          <cell r="N332">
            <v>0</v>
          </cell>
          <cell r="S332">
            <v>0</v>
          </cell>
          <cell r="T332">
            <v>0</v>
          </cell>
          <cell r="U332">
            <v>0</v>
          </cell>
          <cell r="W332">
            <v>76.2333</v>
          </cell>
          <cell r="X332">
            <v>0</v>
          </cell>
        </row>
        <row r="333">
          <cell r="A333">
            <v>37976</v>
          </cell>
          <cell r="B333" t="str">
            <v>Facilities</v>
          </cell>
          <cell r="E333">
            <v>19.75</v>
          </cell>
          <cell r="F333">
            <v>0</v>
          </cell>
          <cell r="G333">
            <v>0</v>
          </cell>
          <cell r="H333">
            <v>0</v>
          </cell>
          <cell r="I333">
            <v>0</v>
          </cell>
          <cell r="L333">
            <v>0</v>
          </cell>
          <cell r="M333">
            <v>0</v>
          </cell>
          <cell r="N333">
            <v>0</v>
          </cell>
          <cell r="S333">
            <v>0</v>
          </cell>
          <cell r="T333">
            <v>0</v>
          </cell>
          <cell r="U333">
            <v>0</v>
          </cell>
          <cell r="W333">
            <v>19.75</v>
          </cell>
          <cell r="X333">
            <v>0</v>
          </cell>
        </row>
        <row r="334">
          <cell r="A334">
            <v>37976</v>
          </cell>
          <cell r="B334" t="str">
            <v>SNOC</v>
          </cell>
          <cell r="E334">
            <v>10.699999809265</v>
          </cell>
          <cell r="F334">
            <v>0</v>
          </cell>
          <cell r="G334">
            <v>0</v>
          </cell>
          <cell r="H334">
            <v>0</v>
          </cell>
          <cell r="I334">
            <v>0</v>
          </cell>
          <cell r="L334">
            <v>0</v>
          </cell>
          <cell r="M334">
            <v>0</v>
          </cell>
          <cell r="N334">
            <v>0</v>
          </cell>
          <cell r="S334">
            <v>0</v>
          </cell>
          <cell r="T334">
            <v>0</v>
          </cell>
          <cell r="U334">
            <v>0</v>
          </cell>
          <cell r="W334">
            <v>10.7</v>
          </cell>
          <cell r="X334">
            <v>0</v>
          </cell>
        </row>
        <row r="335">
          <cell r="A335">
            <v>37976</v>
          </cell>
          <cell r="B335" t="str">
            <v>CReturns</v>
          </cell>
          <cell r="E335">
            <v>0</v>
          </cell>
          <cell r="F335">
            <v>0</v>
          </cell>
          <cell r="G335">
            <v>0</v>
          </cell>
          <cell r="H335">
            <v>0</v>
          </cell>
          <cell r="I335">
            <v>0</v>
          </cell>
          <cell r="L335">
            <v>0</v>
          </cell>
          <cell r="M335">
            <v>0</v>
          </cell>
          <cell r="N335">
            <v>0</v>
          </cell>
          <cell r="S335">
            <v>0</v>
          </cell>
          <cell r="T335">
            <v>0</v>
          </cell>
          <cell r="U335">
            <v>0</v>
          </cell>
          <cell r="W335">
            <v>0</v>
          </cell>
          <cell r="X335">
            <v>0</v>
          </cell>
        </row>
        <row r="336">
          <cell r="A336">
            <v>37976</v>
          </cell>
          <cell r="B336" t="str">
            <v>CustomerService</v>
          </cell>
          <cell r="E336">
            <v>12</v>
          </cell>
          <cell r="F336">
            <v>0</v>
          </cell>
          <cell r="G336">
            <v>0</v>
          </cell>
          <cell r="H336">
            <v>0</v>
          </cell>
          <cell r="I336">
            <v>0</v>
          </cell>
          <cell r="L336">
            <v>0</v>
          </cell>
          <cell r="M336">
            <v>0</v>
          </cell>
          <cell r="N336">
            <v>0</v>
          </cell>
          <cell r="S336">
            <v>0</v>
          </cell>
          <cell r="T336">
            <v>0</v>
          </cell>
          <cell r="U336">
            <v>0</v>
          </cell>
          <cell r="W336">
            <v>12</v>
          </cell>
          <cell r="X336">
            <v>0</v>
          </cell>
        </row>
        <row r="337">
          <cell r="A337">
            <v>37976</v>
          </cell>
          <cell r="B337" t="str">
            <v>CustomerService</v>
          </cell>
          <cell r="E337">
            <v>0</v>
          </cell>
          <cell r="F337">
            <v>0</v>
          </cell>
          <cell r="G337">
            <v>0</v>
          </cell>
          <cell r="H337">
            <v>0</v>
          </cell>
          <cell r="I337">
            <v>0</v>
          </cell>
          <cell r="L337">
            <v>0</v>
          </cell>
          <cell r="M337">
            <v>0</v>
          </cell>
          <cell r="N337">
            <v>0</v>
          </cell>
          <cell r="S337">
            <v>0</v>
          </cell>
          <cell r="T337">
            <v>0</v>
          </cell>
          <cell r="U337">
            <v>0</v>
          </cell>
          <cell r="W337">
            <v>0</v>
          </cell>
          <cell r="X337">
            <v>0</v>
          </cell>
        </row>
        <row r="338">
          <cell r="A338">
            <v>37976</v>
          </cell>
          <cell r="B338" t="str">
            <v>Offsite1Receive</v>
          </cell>
          <cell r="E338">
            <v>0</v>
          </cell>
          <cell r="F338">
            <v>0</v>
          </cell>
          <cell r="G338">
            <v>0</v>
          </cell>
          <cell r="H338">
            <v>0</v>
          </cell>
          <cell r="I338">
            <v>0</v>
          </cell>
          <cell r="L338">
            <v>0</v>
          </cell>
          <cell r="M338">
            <v>0</v>
          </cell>
          <cell r="N338">
            <v>0</v>
          </cell>
          <cell r="S338">
            <v>0</v>
          </cell>
          <cell r="T338">
            <v>0</v>
          </cell>
          <cell r="U338">
            <v>0</v>
          </cell>
          <cell r="W338">
            <v>0</v>
          </cell>
          <cell r="X338">
            <v>0</v>
          </cell>
        </row>
        <row r="339">
          <cell r="A339">
            <v>37976</v>
          </cell>
          <cell r="B339" t="str">
            <v>Swat</v>
          </cell>
          <cell r="E339">
            <v>0</v>
          </cell>
          <cell r="F339">
            <v>0</v>
          </cell>
          <cell r="G339">
            <v>0</v>
          </cell>
          <cell r="H339">
            <v>0</v>
          </cell>
          <cell r="I339">
            <v>0</v>
          </cell>
          <cell r="L339">
            <v>0</v>
          </cell>
          <cell r="M339">
            <v>0</v>
          </cell>
          <cell r="N339">
            <v>0</v>
          </cell>
          <cell r="S339">
            <v>0</v>
          </cell>
          <cell r="T339">
            <v>0</v>
          </cell>
          <cell r="U339">
            <v>0</v>
          </cell>
          <cell r="W339">
            <v>0</v>
          </cell>
          <cell r="X339">
            <v>0</v>
          </cell>
        </row>
        <row r="340">
          <cell r="A340">
            <v>37975</v>
          </cell>
          <cell r="B340" t="str">
            <v>Training</v>
          </cell>
          <cell r="E340">
            <v>0</v>
          </cell>
          <cell r="F340">
            <v>0</v>
          </cell>
          <cell r="G340">
            <v>0</v>
          </cell>
          <cell r="H340">
            <v>0</v>
          </cell>
          <cell r="I340">
            <v>0</v>
          </cell>
          <cell r="L340">
            <v>0</v>
          </cell>
          <cell r="M340">
            <v>0</v>
          </cell>
          <cell r="N340">
            <v>0</v>
          </cell>
          <cell r="S340">
            <v>0</v>
          </cell>
          <cell r="T340">
            <v>0</v>
          </cell>
          <cell r="U340">
            <v>0</v>
          </cell>
          <cell r="W340">
            <v>0</v>
          </cell>
          <cell r="X340">
            <v>0</v>
          </cell>
        </row>
        <row r="341">
          <cell r="A341">
            <v>37975</v>
          </cell>
          <cell r="B341" t="str">
            <v>BMV Receive</v>
          </cell>
          <cell r="E341">
            <v>0</v>
          </cell>
          <cell r="F341">
            <v>0</v>
          </cell>
          <cell r="G341">
            <v>0</v>
          </cell>
          <cell r="H341">
            <v>0</v>
          </cell>
          <cell r="I341">
            <v>0</v>
          </cell>
          <cell r="L341">
            <v>0</v>
          </cell>
          <cell r="M341">
            <v>0</v>
          </cell>
          <cell r="N341">
            <v>0</v>
          </cell>
          <cell r="S341">
            <v>0</v>
          </cell>
          <cell r="T341">
            <v>0</v>
          </cell>
          <cell r="U341">
            <v>0</v>
          </cell>
          <cell r="W341">
            <v>0</v>
          </cell>
          <cell r="X341">
            <v>0</v>
          </cell>
        </row>
        <row r="342">
          <cell r="A342">
            <v>37975</v>
          </cell>
          <cell r="B342" t="str">
            <v>Shipping</v>
          </cell>
          <cell r="E342">
            <v>0</v>
          </cell>
          <cell r="F342">
            <v>0</v>
          </cell>
          <cell r="G342">
            <v>0</v>
          </cell>
          <cell r="H342">
            <v>0</v>
          </cell>
          <cell r="I342">
            <v>0</v>
          </cell>
          <cell r="L342">
            <v>0</v>
          </cell>
          <cell r="M342">
            <v>0</v>
          </cell>
          <cell r="N342">
            <v>0</v>
          </cell>
          <cell r="S342">
            <v>0</v>
          </cell>
          <cell r="T342">
            <v>0</v>
          </cell>
          <cell r="U342">
            <v>0</v>
          </cell>
          <cell r="W342">
            <v>0</v>
          </cell>
          <cell r="X342">
            <v>0</v>
          </cell>
        </row>
        <row r="343">
          <cell r="A343">
            <v>37975</v>
          </cell>
          <cell r="B343" t="str">
            <v>Autobox</v>
          </cell>
          <cell r="E343">
            <v>0</v>
          </cell>
          <cell r="F343">
            <v>0</v>
          </cell>
          <cell r="G343">
            <v>0</v>
          </cell>
          <cell r="H343">
            <v>0</v>
          </cell>
          <cell r="I343">
            <v>0</v>
          </cell>
          <cell r="L343">
            <v>0</v>
          </cell>
          <cell r="M343">
            <v>0</v>
          </cell>
          <cell r="N343">
            <v>0</v>
          </cell>
          <cell r="S343">
            <v>0</v>
          </cell>
          <cell r="T343">
            <v>0</v>
          </cell>
          <cell r="U343">
            <v>0</v>
          </cell>
          <cell r="W343">
            <v>0</v>
          </cell>
          <cell r="X343">
            <v>0</v>
          </cell>
        </row>
        <row r="344">
          <cell r="A344">
            <v>37975</v>
          </cell>
          <cell r="B344" t="str">
            <v>Levimatic</v>
          </cell>
          <cell r="E344">
            <v>0</v>
          </cell>
          <cell r="F344">
            <v>0</v>
          </cell>
          <cell r="G344">
            <v>0</v>
          </cell>
          <cell r="H344">
            <v>0</v>
          </cell>
          <cell r="I344">
            <v>0</v>
          </cell>
          <cell r="L344">
            <v>0</v>
          </cell>
          <cell r="M344">
            <v>0</v>
          </cell>
          <cell r="N344">
            <v>0</v>
          </cell>
          <cell r="S344">
            <v>0</v>
          </cell>
          <cell r="T344">
            <v>0</v>
          </cell>
          <cell r="U344">
            <v>0</v>
          </cell>
          <cell r="W344">
            <v>0</v>
          </cell>
          <cell r="X344">
            <v>0</v>
          </cell>
        </row>
        <row r="345">
          <cell r="A345">
            <v>37975</v>
          </cell>
          <cell r="B345" t="str">
            <v>Giftwrap</v>
          </cell>
          <cell r="E345">
            <v>0</v>
          </cell>
          <cell r="F345">
            <v>0</v>
          </cell>
          <cell r="G345">
            <v>0</v>
          </cell>
          <cell r="H345">
            <v>0</v>
          </cell>
          <cell r="I345">
            <v>0</v>
          </cell>
          <cell r="L345">
            <v>0</v>
          </cell>
          <cell r="M345">
            <v>0</v>
          </cell>
          <cell r="N345">
            <v>0</v>
          </cell>
          <cell r="S345">
            <v>0</v>
          </cell>
          <cell r="T345">
            <v>0</v>
          </cell>
          <cell r="U345">
            <v>0</v>
          </cell>
          <cell r="W345">
            <v>0</v>
          </cell>
          <cell r="X345">
            <v>0</v>
          </cell>
        </row>
        <row r="346">
          <cell r="A346">
            <v>37975</v>
          </cell>
          <cell r="B346" t="str">
            <v>ShipSupport</v>
          </cell>
          <cell r="E346">
            <v>0</v>
          </cell>
          <cell r="F346">
            <v>0</v>
          </cell>
          <cell r="G346">
            <v>0</v>
          </cell>
          <cell r="H346">
            <v>0</v>
          </cell>
          <cell r="I346">
            <v>0</v>
          </cell>
          <cell r="L346">
            <v>0</v>
          </cell>
          <cell r="M346">
            <v>0</v>
          </cell>
          <cell r="N346">
            <v>0</v>
          </cell>
          <cell r="S346">
            <v>0</v>
          </cell>
          <cell r="T346">
            <v>0</v>
          </cell>
          <cell r="U346">
            <v>0</v>
          </cell>
          <cell r="W346">
            <v>0</v>
          </cell>
          <cell r="X346">
            <v>0</v>
          </cell>
        </row>
        <row r="347">
          <cell r="A347">
            <v>37975</v>
          </cell>
          <cell r="B347" t="str">
            <v>BMV Receive</v>
          </cell>
          <cell r="E347">
            <v>154.86666870117</v>
          </cell>
          <cell r="F347">
            <v>30</v>
          </cell>
          <cell r="G347">
            <v>41768</v>
          </cell>
          <cell r="H347">
            <v>33073</v>
          </cell>
          <cell r="I347">
            <v>0</v>
          </cell>
          <cell r="L347">
            <v>122.77</v>
          </cell>
          <cell r="M347">
            <v>0</v>
          </cell>
          <cell r="N347">
            <v>10</v>
          </cell>
          <cell r="S347">
            <v>0</v>
          </cell>
          <cell r="T347">
            <v>30</v>
          </cell>
          <cell r="U347">
            <v>0</v>
          </cell>
          <cell r="W347">
            <v>-7.90334</v>
          </cell>
          <cell r="X347">
            <v>0</v>
          </cell>
        </row>
        <row r="348">
          <cell r="A348">
            <v>37975</v>
          </cell>
          <cell r="B348" t="str">
            <v>CReturns</v>
          </cell>
          <cell r="E348">
            <v>32.600000381469997</v>
          </cell>
          <cell r="F348">
            <v>0</v>
          </cell>
          <cell r="G348">
            <v>1191</v>
          </cell>
          <cell r="H348">
            <v>0</v>
          </cell>
          <cell r="I348">
            <v>0</v>
          </cell>
          <cell r="L348">
            <v>0</v>
          </cell>
          <cell r="M348">
            <v>0</v>
          </cell>
          <cell r="N348">
            <v>0</v>
          </cell>
          <cell r="S348">
            <v>0</v>
          </cell>
          <cell r="T348">
            <v>0</v>
          </cell>
          <cell r="U348">
            <v>0</v>
          </cell>
          <cell r="W348">
            <v>2.1</v>
          </cell>
          <cell r="X348">
            <v>0</v>
          </cell>
        </row>
        <row r="349">
          <cell r="A349">
            <v>37975</v>
          </cell>
          <cell r="B349" t="str">
            <v>Vreturns</v>
          </cell>
          <cell r="E349">
            <v>6.5499992370604998</v>
          </cell>
          <cell r="F349">
            <v>0</v>
          </cell>
          <cell r="G349">
            <v>2000</v>
          </cell>
          <cell r="H349">
            <v>0</v>
          </cell>
          <cell r="I349">
            <v>0</v>
          </cell>
          <cell r="L349">
            <v>0</v>
          </cell>
          <cell r="M349">
            <v>0</v>
          </cell>
          <cell r="N349">
            <v>0</v>
          </cell>
          <cell r="S349">
            <v>0</v>
          </cell>
          <cell r="T349">
            <v>0</v>
          </cell>
          <cell r="U349">
            <v>0</v>
          </cell>
          <cell r="W349">
            <v>-15.95</v>
          </cell>
          <cell r="X349">
            <v>0</v>
          </cell>
        </row>
        <row r="350">
          <cell r="A350">
            <v>37975</v>
          </cell>
          <cell r="B350" t="str">
            <v>InventoryControl</v>
          </cell>
          <cell r="E350">
            <v>161.93333435059</v>
          </cell>
          <cell r="F350">
            <v>0</v>
          </cell>
          <cell r="G350">
            <v>0</v>
          </cell>
          <cell r="H350">
            <v>0</v>
          </cell>
          <cell r="I350">
            <v>0</v>
          </cell>
          <cell r="L350">
            <v>0</v>
          </cell>
          <cell r="M350">
            <v>0</v>
          </cell>
          <cell r="N350">
            <v>0</v>
          </cell>
          <cell r="S350">
            <v>0</v>
          </cell>
          <cell r="T350">
            <v>0</v>
          </cell>
          <cell r="U350">
            <v>0</v>
          </cell>
          <cell r="W350">
            <v>176.93299999999999</v>
          </cell>
          <cell r="X350">
            <v>0</v>
          </cell>
        </row>
        <row r="351">
          <cell r="A351">
            <v>37975</v>
          </cell>
          <cell r="B351" t="str">
            <v>QA</v>
          </cell>
          <cell r="E351">
            <v>75.699996948242003</v>
          </cell>
          <cell r="F351">
            <v>0</v>
          </cell>
          <cell r="G351">
            <v>0</v>
          </cell>
          <cell r="H351">
            <v>0</v>
          </cell>
          <cell r="I351">
            <v>0</v>
          </cell>
          <cell r="L351">
            <v>0</v>
          </cell>
          <cell r="M351">
            <v>0</v>
          </cell>
          <cell r="N351">
            <v>0</v>
          </cell>
          <cell r="S351">
            <v>0</v>
          </cell>
          <cell r="T351">
            <v>0</v>
          </cell>
          <cell r="U351">
            <v>0</v>
          </cell>
          <cell r="W351">
            <v>119.7</v>
          </cell>
          <cell r="X351">
            <v>0</v>
          </cell>
        </row>
        <row r="352">
          <cell r="A352">
            <v>37975</v>
          </cell>
          <cell r="B352" t="str">
            <v>Offsite1Receive</v>
          </cell>
          <cell r="E352">
            <v>-387.75</v>
          </cell>
          <cell r="F352">
            <v>0</v>
          </cell>
          <cell r="G352">
            <v>0</v>
          </cell>
          <cell r="H352">
            <v>0</v>
          </cell>
          <cell r="I352">
            <v>0</v>
          </cell>
          <cell r="L352">
            <v>0</v>
          </cell>
          <cell r="M352">
            <v>0</v>
          </cell>
          <cell r="N352">
            <v>0</v>
          </cell>
          <cell r="S352">
            <v>0</v>
          </cell>
          <cell r="T352">
            <v>0</v>
          </cell>
          <cell r="U352">
            <v>0</v>
          </cell>
          <cell r="W352">
            <v>-387.75</v>
          </cell>
          <cell r="X352">
            <v>0</v>
          </cell>
        </row>
        <row r="353">
          <cell r="A353">
            <v>37975</v>
          </cell>
          <cell r="B353" t="str">
            <v>Offsite1Ship</v>
          </cell>
          <cell r="E353">
            <v>387.75</v>
          </cell>
          <cell r="F353">
            <v>49.5</v>
          </cell>
          <cell r="G353">
            <v>3872</v>
          </cell>
          <cell r="H353">
            <v>3872</v>
          </cell>
          <cell r="I353">
            <v>0</v>
          </cell>
          <cell r="L353">
            <v>132.5</v>
          </cell>
          <cell r="M353">
            <v>0</v>
          </cell>
          <cell r="N353">
            <v>0</v>
          </cell>
          <cell r="S353">
            <v>0</v>
          </cell>
          <cell r="T353">
            <v>0</v>
          </cell>
          <cell r="U353">
            <v>0</v>
          </cell>
          <cell r="W353">
            <v>0</v>
          </cell>
          <cell r="X353">
            <v>0</v>
          </cell>
        </row>
        <row r="354">
          <cell r="A354">
            <v>37975</v>
          </cell>
          <cell r="B354" t="str">
            <v>Sortation</v>
          </cell>
          <cell r="E354">
            <v>1089.9666748047</v>
          </cell>
          <cell r="F354">
            <v>0</v>
          </cell>
          <cell r="G354">
            <v>0</v>
          </cell>
          <cell r="H354">
            <v>0</v>
          </cell>
          <cell r="I354">
            <v>0</v>
          </cell>
          <cell r="L354">
            <v>0</v>
          </cell>
          <cell r="M354">
            <v>0</v>
          </cell>
          <cell r="N354">
            <v>0</v>
          </cell>
          <cell r="S354">
            <v>0</v>
          </cell>
          <cell r="T354">
            <v>0</v>
          </cell>
          <cell r="U354">
            <v>0</v>
          </cell>
          <cell r="W354">
            <v>204.87700000000001</v>
          </cell>
          <cell r="X354">
            <v>0</v>
          </cell>
        </row>
        <row r="355">
          <cell r="A355">
            <v>37975</v>
          </cell>
          <cell r="B355" t="str">
            <v>Rebin</v>
          </cell>
          <cell r="E355">
            <v>258.5</v>
          </cell>
          <cell r="F355">
            <v>58</v>
          </cell>
          <cell r="G355">
            <v>48966</v>
          </cell>
          <cell r="H355">
            <v>0</v>
          </cell>
          <cell r="I355">
            <v>0</v>
          </cell>
          <cell r="L355">
            <v>0</v>
          </cell>
          <cell r="M355">
            <v>0</v>
          </cell>
          <cell r="N355">
            <v>0</v>
          </cell>
          <cell r="S355">
            <v>0</v>
          </cell>
          <cell r="T355">
            <v>0</v>
          </cell>
          <cell r="U355">
            <v>0</v>
          </cell>
          <cell r="W355">
            <v>0</v>
          </cell>
          <cell r="X355">
            <v>0</v>
          </cell>
        </row>
        <row r="356">
          <cell r="A356">
            <v>37975</v>
          </cell>
          <cell r="B356" t="str">
            <v>Stack</v>
          </cell>
          <cell r="E356">
            <v>324.5</v>
          </cell>
          <cell r="F356">
            <v>0</v>
          </cell>
          <cell r="G356">
            <v>39045</v>
          </cell>
          <cell r="H356">
            <v>0</v>
          </cell>
          <cell r="I356">
            <v>0</v>
          </cell>
          <cell r="L356">
            <v>0</v>
          </cell>
          <cell r="M356">
            <v>0</v>
          </cell>
          <cell r="N356">
            <v>0</v>
          </cell>
          <cell r="S356">
            <v>7554</v>
          </cell>
          <cell r="T356">
            <v>0</v>
          </cell>
          <cell r="U356">
            <v>0</v>
          </cell>
          <cell r="W356">
            <v>0</v>
          </cell>
          <cell r="X356">
            <v>0</v>
          </cell>
        </row>
        <row r="357">
          <cell r="A357">
            <v>37975</v>
          </cell>
          <cell r="B357" t="str">
            <v>Bundler</v>
          </cell>
          <cell r="E357">
            <v>506.96699523925997</v>
          </cell>
          <cell r="F357">
            <v>0</v>
          </cell>
          <cell r="G357">
            <v>39045</v>
          </cell>
          <cell r="H357">
            <v>0</v>
          </cell>
          <cell r="I357">
            <v>0</v>
          </cell>
          <cell r="L357">
            <v>0</v>
          </cell>
          <cell r="M357">
            <v>0</v>
          </cell>
          <cell r="N357">
            <v>0</v>
          </cell>
          <cell r="S357">
            <v>0</v>
          </cell>
          <cell r="T357">
            <v>0</v>
          </cell>
          <cell r="U357">
            <v>0</v>
          </cell>
          <cell r="W357">
            <v>204.87700000000001</v>
          </cell>
          <cell r="X357">
            <v>16549</v>
          </cell>
        </row>
        <row r="358">
          <cell r="A358">
            <v>37975</v>
          </cell>
          <cell r="B358" t="str">
            <v>BMV Stow</v>
          </cell>
          <cell r="E358">
            <v>119</v>
          </cell>
          <cell r="F358">
            <v>0</v>
          </cell>
          <cell r="G358">
            <v>27994</v>
          </cell>
          <cell r="H358">
            <v>24747</v>
          </cell>
          <cell r="I358">
            <v>3247</v>
          </cell>
          <cell r="L358">
            <v>109</v>
          </cell>
          <cell r="M358">
            <v>10</v>
          </cell>
          <cell r="N358">
            <v>0</v>
          </cell>
          <cell r="S358">
            <v>0</v>
          </cell>
          <cell r="T358">
            <v>0</v>
          </cell>
          <cell r="U358">
            <v>0</v>
          </cell>
          <cell r="W358">
            <v>0</v>
          </cell>
          <cell r="X358">
            <v>0</v>
          </cell>
        </row>
        <row r="359">
          <cell r="A359">
            <v>37975</v>
          </cell>
          <cell r="B359" t="str">
            <v>Replenishment</v>
          </cell>
          <cell r="E359">
            <v>94</v>
          </cell>
          <cell r="F359">
            <v>0</v>
          </cell>
          <cell r="G359">
            <v>14437</v>
          </cell>
          <cell r="H359">
            <v>0</v>
          </cell>
          <cell r="I359">
            <v>0</v>
          </cell>
          <cell r="L359">
            <v>0</v>
          </cell>
          <cell r="M359">
            <v>0</v>
          </cell>
          <cell r="N359">
            <v>0</v>
          </cell>
          <cell r="S359">
            <v>0</v>
          </cell>
          <cell r="T359">
            <v>0</v>
          </cell>
          <cell r="U359">
            <v>0</v>
          </cell>
          <cell r="W359">
            <v>14</v>
          </cell>
          <cell r="X359">
            <v>0</v>
          </cell>
        </row>
        <row r="360">
          <cell r="A360">
            <v>37975</v>
          </cell>
          <cell r="B360" t="str">
            <v>Shipping</v>
          </cell>
          <cell r="E360">
            <v>705.08331298828</v>
          </cell>
          <cell r="F360">
            <v>0</v>
          </cell>
          <cell r="G360">
            <v>0</v>
          </cell>
          <cell r="H360">
            <v>0</v>
          </cell>
          <cell r="I360">
            <v>0</v>
          </cell>
          <cell r="L360">
            <v>0</v>
          </cell>
          <cell r="M360">
            <v>0</v>
          </cell>
          <cell r="N360">
            <v>0</v>
          </cell>
          <cell r="S360">
            <v>0</v>
          </cell>
          <cell r="T360">
            <v>0</v>
          </cell>
          <cell r="U360">
            <v>0</v>
          </cell>
          <cell r="W360">
            <v>-74.166700000000006</v>
          </cell>
          <cell r="X360">
            <v>25716</v>
          </cell>
        </row>
        <row r="361">
          <cell r="A361">
            <v>37975</v>
          </cell>
          <cell r="B361" t="str">
            <v>Autobox</v>
          </cell>
          <cell r="E361">
            <v>324</v>
          </cell>
          <cell r="F361">
            <v>152</v>
          </cell>
          <cell r="G361">
            <v>35250</v>
          </cell>
          <cell r="H361">
            <v>0</v>
          </cell>
          <cell r="I361">
            <v>0</v>
          </cell>
          <cell r="L361">
            <v>0</v>
          </cell>
          <cell r="M361">
            <v>0</v>
          </cell>
          <cell r="N361">
            <v>0</v>
          </cell>
          <cell r="S361">
            <v>0</v>
          </cell>
          <cell r="T361">
            <v>0</v>
          </cell>
          <cell r="U361">
            <v>0</v>
          </cell>
          <cell r="W361">
            <v>0</v>
          </cell>
          <cell r="X361">
            <v>0</v>
          </cell>
        </row>
        <row r="362">
          <cell r="A362">
            <v>37975</v>
          </cell>
          <cell r="B362" t="str">
            <v>Levimatic</v>
          </cell>
          <cell r="E362">
            <v>41.5</v>
          </cell>
          <cell r="F362">
            <v>29.5</v>
          </cell>
          <cell r="G362">
            <v>7750</v>
          </cell>
          <cell r="H362">
            <v>0</v>
          </cell>
          <cell r="I362">
            <v>0</v>
          </cell>
          <cell r="L362">
            <v>0</v>
          </cell>
          <cell r="M362">
            <v>0</v>
          </cell>
          <cell r="N362">
            <v>0</v>
          </cell>
          <cell r="S362">
            <v>0</v>
          </cell>
          <cell r="T362">
            <v>0</v>
          </cell>
          <cell r="U362">
            <v>0</v>
          </cell>
          <cell r="W362">
            <v>0</v>
          </cell>
          <cell r="X362">
            <v>0</v>
          </cell>
        </row>
        <row r="363">
          <cell r="A363">
            <v>37975</v>
          </cell>
          <cell r="B363" t="str">
            <v>Giftwrap</v>
          </cell>
          <cell r="E363">
            <v>220</v>
          </cell>
          <cell r="F363">
            <v>0</v>
          </cell>
          <cell r="G363">
            <v>5353</v>
          </cell>
          <cell r="H363">
            <v>0</v>
          </cell>
          <cell r="I363">
            <v>0</v>
          </cell>
          <cell r="L363">
            <v>0</v>
          </cell>
          <cell r="M363">
            <v>0</v>
          </cell>
          <cell r="N363">
            <v>0</v>
          </cell>
          <cell r="S363">
            <v>0</v>
          </cell>
          <cell r="T363">
            <v>0</v>
          </cell>
          <cell r="U363">
            <v>0</v>
          </cell>
          <cell r="W363">
            <v>0</v>
          </cell>
          <cell r="X363">
            <v>0</v>
          </cell>
        </row>
        <row r="364">
          <cell r="A364">
            <v>37975</v>
          </cell>
          <cell r="B364" t="str">
            <v>ShipSupport</v>
          </cell>
          <cell r="E364">
            <v>119.58329772949</v>
          </cell>
          <cell r="F364">
            <v>53.5</v>
          </cell>
          <cell r="G364">
            <v>0</v>
          </cell>
          <cell r="H364">
            <v>0</v>
          </cell>
          <cell r="I364">
            <v>0</v>
          </cell>
          <cell r="L364">
            <v>0</v>
          </cell>
          <cell r="M364">
            <v>0</v>
          </cell>
          <cell r="N364">
            <v>0</v>
          </cell>
          <cell r="S364">
            <v>0</v>
          </cell>
          <cell r="T364">
            <v>0</v>
          </cell>
          <cell r="U364">
            <v>0</v>
          </cell>
          <cell r="W364">
            <v>-74.166700000000006</v>
          </cell>
          <cell r="X364">
            <v>0</v>
          </cell>
        </row>
        <row r="365">
          <cell r="A365">
            <v>37975</v>
          </cell>
          <cell r="B365" t="str">
            <v>Picking</v>
          </cell>
          <cell r="E365">
            <v>1015.8000488281</v>
          </cell>
          <cell r="F365">
            <v>0</v>
          </cell>
          <cell r="G365">
            <v>89710</v>
          </cell>
          <cell r="H365">
            <v>0</v>
          </cell>
          <cell r="I365">
            <v>0</v>
          </cell>
          <cell r="L365">
            <v>0</v>
          </cell>
          <cell r="M365">
            <v>0</v>
          </cell>
          <cell r="N365">
            <v>0</v>
          </cell>
          <cell r="S365">
            <v>0</v>
          </cell>
          <cell r="T365">
            <v>0</v>
          </cell>
          <cell r="U365">
            <v>0</v>
          </cell>
          <cell r="W365">
            <v>87.8</v>
          </cell>
          <cell r="X365">
            <v>0</v>
          </cell>
        </row>
        <row r="366">
          <cell r="A366">
            <v>37975</v>
          </cell>
          <cell r="B366" t="str">
            <v>Office</v>
          </cell>
          <cell r="E366">
            <v>67.633331298827997</v>
          </cell>
          <cell r="F366">
            <v>0</v>
          </cell>
          <cell r="G366">
            <v>0</v>
          </cell>
          <cell r="H366">
            <v>0</v>
          </cell>
          <cell r="I366">
            <v>0</v>
          </cell>
          <cell r="L366">
            <v>0</v>
          </cell>
          <cell r="M366">
            <v>0</v>
          </cell>
          <cell r="N366">
            <v>0</v>
          </cell>
          <cell r="S366">
            <v>0</v>
          </cell>
          <cell r="T366">
            <v>0</v>
          </cell>
          <cell r="U366">
            <v>0</v>
          </cell>
          <cell r="W366">
            <v>67.633300000000006</v>
          </cell>
          <cell r="X366">
            <v>0</v>
          </cell>
        </row>
        <row r="367">
          <cell r="A367">
            <v>37975</v>
          </cell>
          <cell r="B367" t="str">
            <v>Office</v>
          </cell>
          <cell r="E367">
            <v>0</v>
          </cell>
          <cell r="F367">
            <v>0</v>
          </cell>
          <cell r="G367">
            <v>0</v>
          </cell>
          <cell r="H367">
            <v>0</v>
          </cell>
          <cell r="I367">
            <v>0</v>
          </cell>
          <cell r="L367">
            <v>0</v>
          </cell>
          <cell r="M367">
            <v>0</v>
          </cell>
          <cell r="N367">
            <v>0</v>
          </cell>
          <cell r="S367">
            <v>0</v>
          </cell>
          <cell r="T367">
            <v>0</v>
          </cell>
          <cell r="U367">
            <v>0</v>
          </cell>
          <cell r="W367">
            <v>0</v>
          </cell>
          <cell r="X367">
            <v>0</v>
          </cell>
        </row>
        <row r="368">
          <cell r="A368">
            <v>37975</v>
          </cell>
          <cell r="B368" t="str">
            <v>Picking</v>
          </cell>
          <cell r="E368">
            <v>0</v>
          </cell>
          <cell r="F368">
            <v>0</v>
          </cell>
          <cell r="G368">
            <v>0</v>
          </cell>
          <cell r="H368">
            <v>0</v>
          </cell>
          <cell r="I368">
            <v>0</v>
          </cell>
          <cell r="L368">
            <v>0</v>
          </cell>
          <cell r="M368">
            <v>0</v>
          </cell>
          <cell r="N368">
            <v>0</v>
          </cell>
          <cell r="S368">
            <v>0</v>
          </cell>
          <cell r="T368">
            <v>0</v>
          </cell>
          <cell r="U368">
            <v>0</v>
          </cell>
          <cell r="W368">
            <v>0</v>
          </cell>
          <cell r="X368">
            <v>0</v>
          </cell>
        </row>
        <row r="369">
          <cell r="A369">
            <v>37975</v>
          </cell>
          <cell r="B369" t="str">
            <v>QA</v>
          </cell>
          <cell r="E369">
            <v>0</v>
          </cell>
          <cell r="F369">
            <v>0</v>
          </cell>
          <cell r="G369">
            <v>0</v>
          </cell>
          <cell r="H369">
            <v>0</v>
          </cell>
          <cell r="I369">
            <v>0</v>
          </cell>
          <cell r="L369">
            <v>0</v>
          </cell>
          <cell r="M369">
            <v>0</v>
          </cell>
          <cell r="N369">
            <v>0</v>
          </cell>
          <cell r="S369">
            <v>0</v>
          </cell>
          <cell r="T369">
            <v>0</v>
          </cell>
          <cell r="U369">
            <v>0</v>
          </cell>
          <cell r="W369">
            <v>0</v>
          </cell>
          <cell r="X369">
            <v>0</v>
          </cell>
        </row>
        <row r="370">
          <cell r="A370">
            <v>37975</v>
          </cell>
          <cell r="B370" t="str">
            <v>Vreturns</v>
          </cell>
          <cell r="E370">
            <v>0</v>
          </cell>
          <cell r="F370">
            <v>0</v>
          </cell>
          <cell r="G370">
            <v>0</v>
          </cell>
          <cell r="H370">
            <v>0</v>
          </cell>
          <cell r="I370">
            <v>0</v>
          </cell>
          <cell r="L370">
            <v>0</v>
          </cell>
          <cell r="M370">
            <v>0</v>
          </cell>
          <cell r="N370">
            <v>0</v>
          </cell>
          <cell r="S370">
            <v>0</v>
          </cell>
          <cell r="T370">
            <v>0</v>
          </cell>
          <cell r="U370">
            <v>0</v>
          </cell>
          <cell r="W370">
            <v>0</v>
          </cell>
          <cell r="X370">
            <v>0</v>
          </cell>
        </row>
        <row r="371">
          <cell r="A371">
            <v>37975</v>
          </cell>
          <cell r="B371" t="str">
            <v>Facilities</v>
          </cell>
          <cell r="E371">
            <v>50.783332824707003</v>
          </cell>
          <cell r="F371">
            <v>0</v>
          </cell>
          <cell r="G371">
            <v>0</v>
          </cell>
          <cell r="H371">
            <v>0</v>
          </cell>
          <cell r="I371">
            <v>0</v>
          </cell>
          <cell r="L371">
            <v>0</v>
          </cell>
          <cell r="M371">
            <v>0</v>
          </cell>
          <cell r="N371">
            <v>0</v>
          </cell>
          <cell r="S371">
            <v>0</v>
          </cell>
          <cell r="T371">
            <v>0</v>
          </cell>
          <cell r="U371">
            <v>0</v>
          </cell>
          <cell r="W371">
            <v>50.783299999999997</v>
          </cell>
          <cell r="X371">
            <v>0</v>
          </cell>
        </row>
        <row r="372">
          <cell r="A372">
            <v>37975</v>
          </cell>
          <cell r="B372" t="str">
            <v>Facilities</v>
          </cell>
          <cell r="E372">
            <v>0</v>
          </cell>
          <cell r="F372">
            <v>0</v>
          </cell>
          <cell r="G372">
            <v>0</v>
          </cell>
          <cell r="H372">
            <v>0</v>
          </cell>
          <cell r="I372">
            <v>0</v>
          </cell>
          <cell r="L372">
            <v>0</v>
          </cell>
          <cell r="M372">
            <v>0</v>
          </cell>
          <cell r="N372">
            <v>0</v>
          </cell>
          <cell r="S372">
            <v>0</v>
          </cell>
          <cell r="T372">
            <v>0</v>
          </cell>
          <cell r="U372">
            <v>0</v>
          </cell>
          <cell r="W372">
            <v>0</v>
          </cell>
          <cell r="X372">
            <v>0</v>
          </cell>
        </row>
        <row r="373">
          <cell r="A373">
            <v>37975</v>
          </cell>
          <cell r="B373" t="str">
            <v>SNOC</v>
          </cell>
          <cell r="E373">
            <v>0</v>
          </cell>
          <cell r="F373">
            <v>0</v>
          </cell>
          <cell r="G373">
            <v>0</v>
          </cell>
          <cell r="H373">
            <v>0</v>
          </cell>
          <cell r="I373">
            <v>0</v>
          </cell>
          <cell r="L373">
            <v>0</v>
          </cell>
          <cell r="M373">
            <v>0</v>
          </cell>
          <cell r="N373">
            <v>0</v>
          </cell>
          <cell r="S373">
            <v>0</v>
          </cell>
          <cell r="T373">
            <v>0</v>
          </cell>
          <cell r="U373">
            <v>0</v>
          </cell>
          <cell r="W373">
            <v>0</v>
          </cell>
          <cell r="X373">
            <v>0</v>
          </cell>
        </row>
        <row r="374">
          <cell r="A374">
            <v>37975</v>
          </cell>
          <cell r="B374" t="str">
            <v>Sortation</v>
          </cell>
          <cell r="E374">
            <v>0</v>
          </cell>
          <cell r="F374">
            <v>0</v>
          </cell>
          <cell r="G374">
            <v>0</v>
          </cell>
          <cell r="H374">
            <v>0</v>
          </cell>
          <cell r="I374">
            <v>0</v>
          </cell>
          <cell r="L374">
            <v>0</v>
          </cell>
          <cell r="M374">
            <v>0</v>
          </cell>
          <cell r="N374">
            <v>0</v>
          </cell>
          <cell r="S374">
            <v>0</v>
          </cell>
          <cell r="T374">
            <v>0</v>
          </cell>
          <cell r="U374">
            <v>0</v>
          </cell>
          <cell r="W374">
            <v>0</v>
          </cell>
          <cell r="X374">
            <v>0</v>
          </cell>
        </row>
        <row r="375">
          <cell r="A375">
            <v>37975</v>
          </cell>
          <cell r="B375" t="str">
            <v>CustomerService</v>
          </cell>
          <cell r="E375">
            <v>13.39999961853</v>
          </cell>
          <cell r="F375">
            <v>0</v>
          </cell>
          <cell r="G375">
            <v>0</v>
          </cell>
          <cell r="H375">
            <v>0</v>
          </cell>
          <cell r="I375">
            <v>0</v>
          </cell>
          <cell r="L375">
            <v>0</v>
          </cell>
          <cell r="M375">
            <v>0</v>
          </cell>
          <cell r="N375">
            <v>0</v>
          </cell>
          <cell r="S375">
            <v>0</v>
          </cell>
          <cell r="T375">
            <v>0</v>
          </cell>
          <cell r="U375">
            <v>0</v>
          </cell>
          <cell r="W375">
            <v>13.4</v>
          </cell>
          <cell r="X375">
            <v>0</v>
          </cell>
        </row>
        <row r="376">
          <cell r="A376">
            <v>37975</v>
          </cell>
          <cell r="B376" t="str">
            <v>CustomerService</v>
          </cell>
          <cell r="E376">
            <v>0</v>
          </cell>
          <cell r="F376">
            <v>0</v>
          </cell>
          <cell r="G376">
            <v>0</v>
          </cell>
          <cell r="H376">
            <v>0</v>
          </cell>
          <cell r="I376">
            <v>0</v>
          </cell>
          <cell r="L376">
            <v>0</v>
          </cell>
          <cell r="M376">
            <v>0</v>
          </cell>
          <cell r="N376">
            <v>0</v>
          </cell>
          <cell r="S376">
            <v>0</v>
          </cell>
          <cell r="T376">
            <v>0</v>
          </cell>
          <cell r="U376">
            <v>0</v>
          </cell>
          <cell r="W376">
            <v>0</v>
          </cell>
          <cell r="X376">
            <v>0</v>
          </cell>
        </row>
        <row r="377">
          <cell r="A377">
            <v>37975</v>
          </cell>
          <cell r="B377" t="str">
            <v>Bundler</v>
          </cell>
          <cell r="E377">
            <v>0</v>
          </cell>
          <cell r="F377">
            <v>0</v>
          </cell>
          <cell r="G377">
            <v>0</v>
          </cell>
          <cell r="H377">
            <v>0</v>
          </cell>
          <cell r="I377">
            <v>0</v>
          </cell>
          <cell r="L377">
            <v>0</v>
          </cell>
          <cell r="M377">
            <v>0</v>
          </cell>
          <cell r="N377">
            <v>0</v>
          </cell>
          <cell r="S377">
            <v>0</v>
          </cell>
          <cell r="T377">
            <v>0</v>
          </cell>
          <cell r="U377">
            <v>0</v>
          </cell>
          <cell r="W377">
            <v>0</v>
          </cell>
          <cell r="X377">
            <v>0</v>
          </cell>
        </row>
        <row r="378">
          <cell r="A378">
            <v>37974</v>
          </cell>
          <cell r="B378" t="str">
            <v>Shipping</v>
          </cell>
          <cell r="E378">
            <v>1148.9166870117001</v>
          </cell>
          <cell r="F378">
            <v>0</v>
          </cell>
          <cell r="G378">
            <v>0</v>
          </cell>
          <cell r="H378">
            <v>0</v>
          </cell>
          <cell r="I378">
            <v>0</v>
          </cell>
          <cell r="L378">
            <v>0</v>
          </cell>
          <cell r="M378">
            <v>0</v>
          </cell>
          <cell r="N378">
            <v>0</v>
          </cell>
          <cell r="S378">
            <v>0</v>
          </cell>
          <cell r="T378">
            <v>0</v>
          </cell>
          <cell r="U378">
            <v>0</v>
          </cell>
          <cell r="W378">
            <v>-35.833300000000001</v>
          </cell>
          <cell r="X378">
            <v>22346</v>
          </cell>
        </row>
        <row r="379">
          <cell r="A379">
            <v>37974</v>
          </cell>
          <cell r="B379" t="str">
            <v>Autobox</v>
          </cell>
          <cell r="E379">
            <v>337</v>
          </cell>
          <cell r="F379">
            <v>12</v>
          </cell>
          <cell r="G379">
            <v>34354</v>
          </cell>
          <cell r="H379">
            <v>0</v>
          </cell>
          <cell r="I379">
            <v>0</v>
          </cell>
          <cell r="L379">
            <v>0</v>
          </cell>
          <cell r="M379">
            <v>0</v>
          </cell>
          <cell r="N379">
            <v>0</v>
          </cell>
          <cell r="S379">
            <v>0</v>
          </cell>
          <cell r="T379">
            <v>0</v>
          </cell>
          <cell r="U379">
            <v>0</v>
          </cell>
          <cell r="W379">
            <v>0</v>
          </cell>
          <cell r="X379">
            <v>0</v>
          </cell>
        </row>
        <row r="380">
          <cell r="A380">
            <v>37974</v>
          </cell>
          <cell r="B380" t="str">
            <v>Levimatic</v>
          </cell>
          <cell r="E380">
            <v>48</v>
          </cell>
          <cell r="F380">
            <v>0</v>
          </cell>
          <cell r="G380">
            <v>7117</v>
          </cell>
          <cell r="H380">
            <v>0</v>
          </cell>
          <cell r="I380">
            <v>0</v>
          </cell>
          <cell r="L380">
            <v>0</v>
          </cell>
          <cell r="M380">
            <v>0</v>
          </cell>
          <cell r="N380">
            <v>0</v>
          </cell>
          <cell r="S380">
            <v>0</v>
          </cell>
          <cell r="T380">
            <v>0</v>
          </cell>
          <cell r="U380">
            <v>0</v>
          </cell>
          <cell r="W380">
            <v>0</v>
          </cell>
          <cell r="X380">
            <v>0</v>
          </cell>
        </row>
        <row r="381">
          <cell r="A381">
            <v>37974</v>
          </cell>
          <cell r="B381" t="str">
            <v>Giftwrap</v>
          </cell>
          <cell r="E381">
            <v>369.5</v>
          </cell>
          <cell r="F381">
            <v>0</v>
          </cell>
          <cell r="G381">
            <v>7719</v>
          </cell>
          <cell r="H381">
            <v>0</v>
          </cell>
          <cell r="I381">
            <v>0</v>
          </cell>
          <cell r="L381">
            <v>0</v>
          </cell>
          <cell r="M381">
            <v>0</v>
          </cell>
          <cell r="N381">
            <v>0</v>
          </cell>
          <cell r="S381">
            <v>0</v>
          </cell>
          <cell r="T381">
            <v>0</v>
          </cell>
          <cell r="U381">
            <v>0</v>
          </cell>
          <cell r="W381">
            <v>0</v>
          </cell>
          <cell r="X381">
            <v>7719</v>
          </cell>
        </row>
        <row r="382">
          <cell r="A382">
            <v>37974</v>
          </cell>
          <cell r="B382" t="str">
            <v>ShipSupport</v>
          </cell>
          <cell r="E382">
            <v>394.41669845580998</v>
          </cell>
          <cell r="F382">
            <v>81</v>
          </cell>
          <cell r="G382">
            <v>0</v>
          </cell>
          <cell r="H382">
            <v>0</v>
          </cell>
          <cell r="I382">
            <v>0</v>
          </cell>
          <cell r="L382">
            <v>0</v>
          </cell>
          <cell r="M382">
            <v>0</v>
          </cell>
          <cell r="N382">
            <v>0</v>
          </cell>
          <cell r="S382">
            <v>0</v>
          </cell>
          <cell r="T382">
            <v>0</v>
          </cell>
          <cell r="U382">
            <v>0</v>
          </cell>
          <cell r="W382">
            <v>-35.833300000000001</v>
          </cell>
          <cell r="X382">
            <v>0</v>
          </cell>
        </row>
        <row r="383">
          <cell r="A383">
            <v>37974</v>
          </cell>
          <cell r="B383" t="str">
            <v>CReturns</v>
          </cell>
          <cell r="E383">
            <v>19</v>
          </cell>
          <cell r="F383">
            <v>0</v>
          </cell>
          <cell r="G383">
            <v>342</v>
          </cell>
          <cell r="H383">
            <v>0</v>
          </cell>
          <cell r="I383">
            <v>0</v>
          </cell>
          <cell r="L383">
            <v>0</v>
          </cell>
          <cell r="M383">
            <v>0</v>
          </cell>
          <cell r="N383">
            <v>0</v>
          </cell>
          <cell r="S383">
            <v>0</v>
          </cell>
          <cell r="T383">
            <v>0</v>
          </cell>
          <cell r="U383">
            <v>0</v>
          </cell>
          <cell r="W383">
            <v>2</v>
          </cell>
          <cell r="X383">
            <v>0</v>
          </cell>
        </row>
        <row r="384">
          <cell r="A384">
            <v>37974</v>
          </cell>
          <cell r="B384" t="str">
            <v>Vreturns</v>
          </cell>
          <cell r="E384">
            <v>40</v>
          </cell>
          <cell r="F384">
            <v>0</v>
          </cell>
          <cell r="G384">
            <v>10044</v>
          </cell>
          <cell r="H384">
            <v>0</v>
          </cell>
          <cell r="I384">
            <v>0</v>
          </cell>
          <cell r="L384">
            <v>0</v>
          </cell>
          <cell r="M384">
            <v>0</v>
          </cell>
          <cell r="N384">
            <v>0</v>
          </cell>
          <cell r="S384">
            <v>0</v>
          </cell>
          <cell r="T384">
            <v>0</v>
          </cell>
          <cell r="U384">
            <v>0</v>
          </cell>
          <cell r="W384">
            <v>-17.5</v>
          </cell>
          <cell r="X384">
            <v>0</v>
          </cell>
        </row>
        <row r="385">
          <cell r="A385">
            <v>37974</v>
          </cell>
          <cell r="B385" t="str">
            <v>Sortation</v>
          </cell>
          <cell r="E385">
            <v>503.31333923339997</v>
          </cell>
          <cell r="F385">
            <v>0</v>
          </cell>
          <cell r="G385">
            <v>0</v>
          </cell>
          <cell r="H385">
            <v>0</v>
          </cell>
          <cell r="I385">
            <v>0</v>
          </cell>
          <cell r="L385">
            <v>0</v>
          </cell>
          <cell r="M385">
            <v>0</v>
          </cell>
          <cell r="N385">
            <v>0</v>
          </cell>
          <cell r="S385">
            <v>0</v>
          </cell>
          <cell r="T385">
            <v>0</v>
          </cell>
          <cell r="U385">
            <v>0</v>
          </cell>
          <cell r="W385">
            <v>-103.017</v>
          </cell>
          <cell r="X385">
            <v>0</v>
          </cell>
        </row>
        <row r="386">
          <cell r="A386">
            <v>37974</v>
          </cell>
          <cell r="B386" t="str">
            <v>Rebin</v>
          </cell>
          <cell r="E386">
            <v>201.75</v>
          </cell>
          <cell r="F386">
            <v>50.5</v>
          </cell>
          <cell r="G386">
            <v>34787</v>
          </cell>
          <cell r="H386">
            <v>0</v>
          </cell>
          <cell r="I386">
            <v>0</v>
          </cell>
          <cell r="L386">
            <v>0</v>
          </cell>
          <cell r="M386">
            <v>0</v>
          </cell>
          <cell r="N386">
            <v>0</v>
          </cell>
          <cell r="S386">
            <v>0</v>
          </cell>
          <cell r="T386">
            <v>0</v>
          </cell>
          <cell r="U386">
            <v>0</v>
          </cell>
          <cell r="W386">
            <v>0</v>
          </cell>
          <cell r="X386">
            <v>0</v>
          </cell>
        </row>
        <row r="387">
          <cell r="A387">
            <v>37974</v>
          </cell>
          <cell r="B387" t="str">
            <v>Stack</v>
          </cell>
          <cell r="E387">
            <v>212.5</v>
          </cell>
          <cell r="F387">
            <v>0</v>
          </cell>
          <cell r="G387">
            <v>40165</v>
          </cell>
          <cell r="H387">
            <v>0</v>
          </cell>
          <cell r="I387">
            <v>0</v>
          </cell>
          <cell r="L387">
            <v>0</v>
          </cell>
          <cell r="M387">
            <v>0</v>
          </cell>
          <cell r="N387">
            <v>0</v>
          </cell>
          <cell r="S387">
            <v>7807</v>
          </cell>
          <cell r="T387">
            <v>0</v>
          </cell>
          <cell r="U387">
            <v>0</v>
          </cell>
          <cell r="W387">
            <v>0</v>
          </cell>
          <cell r="X387">
            <v>0</v>
          </cell>
        </row>
        <row r="388">
          <cell r="A388">
            <v>37974</v>
          </cell>
          <cell r="B388" t="str">
            <v>Bundler</v>
          </cell>
          <cell r="E388">
            <v>89.063003540039006</v>
          </cell>
          <cell r="F388">
            <v>0</v>
          </cell>
          <cell r="G388">
            <v>40165</v>
          </cell>
          <cell r="H388">
            <v>0</v>
          </cell>
          <cell r="I388">
            <v>0</v>
          </cell>
          <cell r="L388">
            <v>0</v>
          </cell>
          <cell r="M388">
            <v>0</v>
          </cell>
          <cell r="N388">
            <v>0</v>
          </cell>
          <cell r="S388">
            <v>0</v>
          </cell>
          <cell r="T388">
            <v>0</v>
          </cell>
          <cell r="U388">
            <v>0</v>
          </cell>
          <cell r="W388">
            <v>-103.017</v>
          </cell>
          <cell r="X388">
            <v>16533</v>
          </cell>
        </row>
        <row r="389">
          <cell r="A389">
            <v>37974</v>
          </cell>
          <cell r="B389" t="str">
            <v>QA</v>
          </cell>
          <cell r="E389">
            <v>85.566665649414006</v>
          </cell>
          <cell r="F389">
            <v>0</v>
          </cell>
          <cell r="G389">
            <v>0</v>
          </cell>
          <cell r="H389">
            <v>0</v>
          </cell>
          <cell r="I389">
            <v>0</v>
          </cell>
          <cell r="L389">
            <v>0</v>
          </cell>
          <cell r="M389">
            <v>0</v>
          </cell>
          <cell r="N389">
            <v>0</v>
          </cell>
          <cell r="S389">
            <v>0</v>
          </cell>
          <cell r="T389">
            <v>0</v>
          </cell>
          <cell r="U389">
            <v>0</v>
          </cell>
          <cell r="W389">
            <v>-6.4333299999999998</v>
          </cell>
          <cell r="X389">
            <v>0</v>
          </cell>
        </row>
        <row r="390">
          <cell r="A390">
            <v>37974</v>
          </cell>
          <cell r="B390" t="str">
            <v>InventoryControl</v>
          </cell>
          <cell r="E390">
            <v>149.5</v>
          </cell>
          <cell r="F390">
            <v>0</v>
          </cell>
          <cell r="G390">
            <v>0</v>
          </cell>
          <cell r="H390">
            <v>0</v>
          </cell>
          <cell r="I390">
            <v>0</v>
          </cell>
          <cell r="L390">
            <v>0</v>
          </cell>
          <cell r="M390">
            <v>0</v>
          </cell>
          <cell r="N390">
            <v>0</v>
          </cell>
          <cell r="S390">
            <v>0</v>
          </cell>
          <cell r="T390">
            <v>0</v>
          </cell>
          <cell r="U390">
            <v>0</v>
          </cell>
          <cell r="W390">
            <v>0</v>
          </cell>
          <cell r="X390">
            <v>0</v>
          </cell>
        </row>
        <row r="391">
          <cell r="A391">
            <v>37974</v>
          </cell>
          <cell r="B391" t="str">
            <v>Offsite1Receive</v>
          </cell>
          <cell r="E391">
            <v>84.783325195312003</v>
          </cell>
          <cell r="F391">
            <v>18</v>
          </cell>
          <cell r="G391">
            <v>2842</v>
          </cell>
          <cell r="H391">
            <v>0</v>
          </cell>
          <cell r="I391">
            <v>0</v>
          </cell>
          <cell r="L391">
            <v>0</v>
          </cell>
          <cell r="M391">
            <v>0</v>
          </cell>
          <cell r="N391">
            <v>0</v>
          </cell>
          <cell r="S391">
            <v>0</v>
          </cell>
          <cell r="T391">
            <v>0</v>
          </cell>
          <cell r="U391">
            <v>0</v>
          </cell>
          <cell r="W391">
            <v>-0.21667500000000001</v>
          </cell>
          <cell r="X391">
            <v>0</v>
          </cell>
        </row>
        <row r="392">
          <cell r="A392">
            <v>37974</v>
          </cell>
          <cell r="B392" t="str">
            <v>Offsite1Ship</v>
          </cell>
          <cell r="E392">
            <v>636.5</v>
          </cell>
          <cell r="F392">
            <v>68</v>
          </cell>
          <cell r="G392">
            <v>6691</v>
          </cell>
          <cell r="H392">
            <v>0</v>
          </cell>
          <cell r="I392">
            <v>0</v>
          </cell>
          <cell r="L392">
            <v>0</v>
          </cell>
          <cell r="M392">
            <v>0</v>
          </cell>
          <cell r="N392">
            <v>0</v>
          </cell>
          <cell r="S392">
            <v>0</v>
          </cell>
          <cell r="T392">
            <v>0</v>
          </cell>
          <cell r="U392">
            <v>0</v>
          </cell>
          <cell r="W392">
            <v>0</v>
          </cell>
          <cell r="X392">
            <v>0</v>
          </cell>
        </row>
        <row r="393">
          <cell r="A393">
            <v>37974</v>
          </cell>
          <cell r="B393" t="str">
            <v>BMV Receive</v>
          </cell>
          <cell r="E393">
            <v>430.54998779297</v>
          </cell>
          <cell r="F393">
            <v>111.73</v>
          </cell>
          <cell r="G393">
            <v>90659</v>
          </cell>
          <cell r="H393">
            <v>70465</v>
          </cell>
          <cell r="I393">
            <v>0</v>
          </cell>
          <cell r="L393">
            <v>268</v>
          </cell>
          <cell r="M393">
            <v>0</v>
          </cell>
          <cell r="N393">
            <v>47</v>
          </cell>
          <cell r="S393">
            <v>0</v>
          </cell>
          <cell r="T393">
            <v>85</v>
          </cell>
          <cell r="U393">
            <v>0</v>
          </cell>
          <cell r="W393">
            <v>3.8199800000000002</v>
          </cell>
          <cell r="X393">
            <v>0</v>
          </cell>
        </row>
        <row r="394">
          <cell r="A394">
            <v>37974</v>
          </cell>
          <cell r="B394" t="str">
            <v>BMV Stow</v>
          </cell>
          <cell r="E394">
            <v>363.5</v>
          </cell>
          <cell r="F394">
            <v>0</v>
          </cell>
          <cell r="G394">
            <v>100518</v>
          </cell>
          <cell r="H394">
            <v>88949</v>
          </cell>
          <cell r="I394">
            <v>11569</v>
          </cell>
          <cell r="L394">
            <v>347.5</v>
          </cell>
          <cell r="M394">
            <v>16</v>
          </cell>
          <cell r="N394">
            <v>0</v>
          </cell>
          <cell r="S394">
            <v>0</v>
          </cell>
          <cell r="T394">
            <v>0</v>
          </cell>
          <cell r="U394">
            <v>0</v>
          </cell>
          <cell r="W394">
            <v>0</v>
          </cell>
          <cell r="X394">
            <v>0</v>
          </cell>
        </row>
        <row r="395">
          <cell r="A395">
            <v>37974</v>
          </cell>
          <cell r="B395" t="str">
            <v>Picking</v>
          </cell>
          <cell r="E395">
            <v>842.19995117188</v>
          </cell>
          <cell r="F395">
            <v>0</v>
          </cell>
          <cell r="G395">
            <v>75848</v>
          </cell>
          <cell r="H395">
            <v>0</v>
          </cell>
          <cell r="I395">
            <v>0</v>
          </cell>
          <cell r="L395">
            <v>0</v>
          </cell>
          <cell r="M395">
            <v>0</v>
          </cell>
          <cell r="N395">
            <v>0</v>
          </cell>
          <cell r="S395">
            <v>0</v>
          </cell>
          <cell r="T395">
            <v>0</v>
          </cell>
          <cell r="U395">
            <v>0</v>
          </cell>
          <cell r="W395">
            <v>-16.05</v>
          </cell>
          <cell r="X395">
            <v>0</v>
          </cell>
        </row>
        <row r="396">
          <cell r="A396">
            <v>37974</v>
          </cell>
          <cell r="B396" t="str">
            <v>Sortation</v>
          </cell>
          <cell r="E396">
            <v>931.84997558594</v>
          </cell>
          <cell r="F396">
            <v>0</v>
          </cell>
          <cell r="G396">
            <v>0</v>
          </cell>
          <cell r="H396">
            <v>0</v>
          </cell>
          <cell r="I396">
            <v>0</v>
          </cell>
          <cell r="L396">
            <v>0</v>
          </cell>
          <cell r="M396">
            <v>0</v>
          </cell>
          <cell r="N396">
            <v>0</v>
          </cell>
          <cell r="S396">
            <v>0</v>
          </cell>
          <cell r="T396">
            <v>0</v>
          </cell>
          <cell r="U396">
            <v>0</v>
          </cell>
          <cell r="W396">
            <v>55.8</v>
          </cell>
          <cell r="X396">
            <v>0</v>
          </cell>
        </row>
        <row r="397">
          <cell r="A397">
            <v>37974</v>
          </cell>
          <cell r="B397" t="str">
            <v>Rebin</v>
          </cell>
          <cell r="E397">
            <v>298</v>
          </cell>
          <cell r="F397">
            <v>48</v>
          </cell>
          <cell r="G397">
            <v>56594</v>
          </cell>
          <cell r="H397">
            <v>0</v>
          </cell>
          <cell r="I397">
            <v>0</v>
          </cell>
          <cell r="L397">
            <v>0</v>
          </cell>
          <cell r="M397">
            <v>0</v>
          </cell>
          <cell r="N397">
            <v>0</v>
          </cell>
          <cell r="S397">
            <v>0</v>
          </cell>
          <cell r="T397">
            <v>0</v>
          </cell>
          <cell r="U397">
            <v>0</v>
          </cell>
          <cell r="W397">
            <v>0</v>
          </cell>
          <cell r="X397">
            <v>0</v>
          </cell>
        </row>
        <row r="398">
          <cell r="A398">
            <v>37974</v>
          </cell>
          <cell r="B398" t="str">
            <v>Stack</v>
          </cell>
          <cell r="E398">
            <v>315</v>
          </cell>
          <cell r="F398">
            <v>0</v>
          </cell>
          <cell r="G398">
            <v>49336</v>
          </cell>
          <cell r="H398">
            <v>0</v>
          </cell>
          <cell r="I398">
            <v>0</v>
          </cell>
          <cell r="L398">
            <v>0</v>
          </cell>
          <cell r="M398">
            <v>0</v>
          </cell>
          <cell r="N398">
            <v>0</v>
          </cell>
          <cell r="S398">
            <v>3071</v>
          </cell>
          <cell r="T398">
            <v>0</v>
          </cell>
          <cell r="U398">
            <v>0</v>
          </cell>
          <cell r="W398">
            <v>0</v>
          </cell>
          <cell r="X398">
            <v>0</v>
          </cell>
        </row>
        <row r="399">
          <cell r="A399">
            <v>37974</v>
          </cell>
          <cell r="B399" t="str">
            <v>Bundler</v>
          </cell>
          <cell r="E399">
            <v>318.84998703002998</v>
          </cell>
          <cell r="F399">
            <v>0</v>
          </cell>
          <cell r="G399">
            <v>49336</v>
          </cell>
          <cell r="H399">
            <v>0</v>
          </cell>
          <cell r="I399">
            <v>0</v>
          </cell>
          <cell r="L399">
            <v>0</v>
          </cell>
          <cell r="M399">
            <v>0</v>
          </cell>
          <cell r="N399">
            <v>0</v>
          </cell>
          <cell r="S399">
            <v>0</v>
          </cell>
          <cell r="T399">
            <v>0</v>
          </cell>
          <cell r="U399">
            <v>0</v>
          </cell>
          <cell r="W399">
            <v>55.8</v>
          </cell>
          <cell r="X399">
            <v>19244</v>
          </cell>
        </row>
        <row r="400">
          <cell r="A400">
            <v>37974</v>
          </cell>
          <cell r="B400" t="str">
            <v>ManualVDF</v>
          </cell>
          <cell r="E400">
            <v>94</v>
          </cell>
          <cell r="F400">
            <v>0</v>
          </cell>
          <cell r="G400">
            <v>2902</v>
          </cell>
          <cell r="H400">
            <v>0</v>
          </cell>
          <cell r="I400">
            <v>0</v>
          </cell>
          <cell r="L400">
            <v>0</v>
          </cell>
          <cell r="M400">
            <v>0</v>
          </cell>
          <cell r="N400">
            <v>0</v>
          </cell>
          <cell r="S400">
            <v>0</v>
          </cell>
          <cell r="T400">
            <v>0</v>
          </cell>
          <cell r="U400">
            <v>0</v>
          </cell>
          <cell r="W400">
            <v>0</v>
          </cell>
          <cell r="X400">
            <v>2902</v>
          </cell>
        </row>
        <row r="401">
          <cell r="A401">
            <v>37974</v>
          </cell>
          <cell r="B401" t="str">
            <v>BMV Receive</v>
          </cell>
          <cell r="E401">
            <v>117.88333129883</v>
          </cell>
          <cell r="F401">
            <v>1.42</v>
          </cell>
          <cell r="G401">
            <v>25334</v>
          </cell>
          <cell r="H401">
            <v>25334</v>
          </cell>
          <cell r="I401">
            <v>0</v>
          </cell>
          <cell r="L401">
            <v>116</v>
          </cell>
          <cell r="M401">
            <v>0</v>
          </cell>
          <cell r="N401">
            <v>0</v>
          </cell>
          <cell r="S401">
            <v>0</v>
          </cell>
          <cell r="T401">
            <v>28.25</v>
          </cell>
          <cell r="U401">
            <v>0</v>
          </cell>
          <cell r="W401">
            <v>0.46333299999999999</v>
          </cell>
          <cell r="X401">
            <v>0</v>
          </cell>
        </row>
        <row r="402">
          <cell r="A402">
            <v>37974</v>
          </cell>
          <cell r="B402" t="str">
            <v>Replenishment</v>
          </cell>
          <cell r="E402">
            <v>184</v>
          </cell>
          <cell r="F402">
            <v>0</v>
          </cell>
          <cell r="G402">
            <v>29170</v>
          </cell>
          <cell r="H402">
            <v>0</v>
          </cell>
          <cell r="I402">
            <v>0</v>
          </cell>
          <cell r="L402">
            <v>0</v>
          </cell>
          <cell r="M402">
            <v>0</v>
          </cell>
          <cell r="N402">
            <v>0</v>
          </cell>
          <cell r="S402">
            <v>0</v>
          </cell>
          <cell r="T402">
            <v>0</v>
          </cell>
          <cell r="U402">
            <v>0</v>
          </cell>
          <cell r="W402">
            <v>0</v>
          </cell>
          <cell r="X402">
            <v>0</v>
          </cell>
        </row>
        <row r="403">
          <cell r="A403">
            <v>37974</v>
          </cell>
          <cell r="B403" t="str">
            <v>Shipping</v>
          </cell>
          <cell r="E403">
            <v>632</v>
          </cell>
          <cell r="F403">
            <v>0</v>
          </cell>
          <cell r="G403">
            <v>0</v>
          </cell>
          <cell r="H403">
            <v>0</v>
          </cell>
          <cell r="I403">
            <v>0</v>
          </cell>
          <cell r="L403">
            <v>0</v>
          </cell>
          <cell r="M403">
            <v>0</v>
          </cell>
          <cell r="N403">
            <v>0</v>
          </cell>
          <cell r="S403">
            <v>0</v>
          </cell>
          <cell r="T403">
            <v>0</v>
          </cell>
          <cell r="U403">
            <v>0</v>
          </cell>
          <cell r="W403">
            <v>24.3</v>
          </cell>
          <cell r="X403">
            <v>15831</v>
          </cell>
        </row>
        <row r="404">
          <cell r="A404">
            <v>37974</v>
          </cell>
          <cell r="B404" t="str">
            <v>Autobox</v>
          </cell>
          <cell r="E404">
            <v>181</v>
          </cell>
          <cell r="F404">
            <v>50</v>
          </cell>
          <cell r="G404">
            <v>23484</v>
          </cell>
          <cell r="H404">
            <v>0</v>
          </cell>
          <cell r="I404">
            <v>0</v>
          </cell>
          <cell r="L404">
            <v>0</v>
          </cell>
          <cell r="M404">
            <v>0</v>
          </cell>
          <cell r="N404">
            <v>0</v>
          </cell>
          <cell r="S404">
            <v>0</v>
          </cell>
          <cell r="T404">
            <v>0</v>
          </cell>
          <cell r="U404">
            <v>0</v>
          </cell>
          <cell r="W404">
            <v>0</v>
          </cell>
          <cell r="X404">
            <v>0</v>
          </cell>
        </row>
        <row r="405">
          <cell r="A405">
            <v>37974</v>
          </cell>
          <cell r="B405" t="str">
            <v>Levimatic</v>
          </cell>
          <cell r="E405">
            <v>30</v>
          </cell>
          <cell r="F405">
            <v>0</v>
          </cell>
          <cell r="G405">
            <v>6130</v>
          </cell>
          <cell r="H405">
            <v>0</v>
          </cell>
          <cell r="I405">
            <v>0</v>
          </cell>
          <cell r="L405">
            <v>0</v>
          </cell>
          <cell r="M405">
            <v>0</v>
          </cell>
          <cell r="N405">
            <v>0</v>
          </cell>
          <cell r="S405">
            <v>0</v>
          </cell>
          <cell r="T405">
            <v>0</v>
          </cell>
          <cell r="U405">
            <v>0</v>
          </cell>
          <cell r="W405">
            <v>0</v>
          </cell>
          <cell r="X405">
            <v>6655</v>
          </cell>
        </row>
        <row r="406">
          <cell r="A406">
            <v>37974</v>
          </cell>
          <cell r="B406" t="str">
            <v>Giftwrap</v>
          </cell>
          <cell r="E406">
            <v>172.5</v>
          </cell>
          <cell r="F406">
            <v>0</v>
          </cell>
          <cell r="G406">
            <v>3730</v>
          </cell>
          <cell r="H406">
            <v>0</v>
          </cell>
          <cell r="I406">
            <v>0</v>
          </cell>
          <cell r="L406">
            <v>0</v>
          </cell>
          <cell r="M406">
            <v>0</v>
          </cell>
          <cell r="N406">
            <v>0</v>
          </cell>
          <cell r="S406">
            <v>0</v>
          </cell>
          <cell r="T406">
            <v>0</v>
          </cell>
          <cell r="U406">
            <v>0</v>
          </cell>
          <cell r="W406">
            <v>0</v>
          </cell>
          <cell r="X406">
            <v>0</v>
          </cell>
        </row>
        <row r="407">
          <cell r="A407">
            <v>37974</v>
          </cell>
          <cell r="B407" t="str">
            <v>ShipSupport</v>
          </cell>
          <cell r="E407">
            <v>248.49999618530001</v>
          </cell>
          <cell r="F407">
            <v>42.5</v>
          </cell>
          <cell r="G407">
            <v>0</v>
          </cell>
          <cell r="H407">
            <v>0</v>
          </cell>
          <cell r="I407">
            <v>0</v>
          </cell>
          <cell r="L407">
            <v>0</v>
          </cell>
          <cell r="M407">
            <v>0</v>
          </cell>
          <cell r="N407">
            <v>0</v>
          </cell>
          <cell r="S407">
            <v>0</v>
          </cell>
          <cell r="T407">
            <v>0</v>
          </cell>
          <cell r="U407">
            <v>0</v>
          </cell>
          <cell r="W407">
            <v>24.3</v>
          </cell>
          <cell r="X407">
            <v>0</v>
          </cell>
        </row>
        <row r="408">
          <cell r="A408">
            <v>37974</v>
          </cell>
          <cell r="B408" t="str">
            <v>Picking</v>
          </cell>
          <cell r="E408">
            <v>635.10003662109</v>
          </cell>
          <cell r="F408">
            <v>0</v>
          </cell>
          <cell r="G408">
            <v>72631</v>
          </cell>
          <cell r="H408">
            <v>0</v>
          </cell>
          <cell r="I408">
            <v>0</v>
          </cell>
          <cell r="L408">
            <v>0</v>
          </cell>
          <cell r="M408">
            <v>0</v>
          </cell>
          <cell r="N408">
            <v>0</v>
          </cell>
          <cell r="S408">
            <v>0</v>
          </cell>
          <cell r="T408">
            <v>0</v>
          </cell>
          <cell r="U408">
            <v>0</v>
          </cell>
          <cell r="W408">
            <v>-44.15</v>
          </cell>
          <cell r="X408">
            <v>0</v>
          </cell>
        </row>
        <row r="409">
          <cell r="A409">
            <v>37974</v>
          </cell>
          <cell r="B409" t="str">
            <v>Replenishment</v>
          </cell>
          <cell r="E409">
            <v>122.5</v>
          </cell>
          <cell r="F409">
            <v>0</v>
          </cell>
          <cell r="G409">
            <v>19063</v>
          </cell>
          <cell r="H409">
            <v>0</v>
          </cell>
          <cell r="I409">
            <v>0</v>
          </cell>
          <cell r="L409">
            <v>0</v>
          </cell>
          <cell r="M409">
            <v>0</v>
          </cell>
          <cell r="N409">
            <v>0</v>
          </cell>
          <cell r="S409">
            <v>0</v>
          </cell>
          <cell r="T409">
            <v>0</v>
          </cell>
          <cell r="U409">
            <v>0</v>
          </cell>
          <cell r="W409">
            <v>0</v>
          </cell>
          <cell r="X409">
            <v>0</v>
          </cell>
        </row>
        <row r="410">
          <cell r="A410">
            <v>37974</v>
          </cell>
          <cell r="B410" t="str">
            <v>BMV Stow</v>
          </cell>
          <cell r="E410">
            <v>119.91999816895</v>
          </cell>
          <cell r="F410">
            <v>0</v>
          </cell>
          <cell r="G410">
            <v>32458</v>
          </cell>
          <cell r="H410">
            <v>32458</v>
          </cell>
          <cell r="I410">
            <v>0</v>
          </cell>
          <cell r="L410">
            <v>119.92</v>
          </cell>
          <cell r="M410">
            <v>0</v>
          </cell>
          <cell r="N410">
            <v>0</v>
          </cell>
          <cell r="S410">
            <v>0</v>
          </cell>
          <cell r="T410">
            <v>0</v>
          </cell>
          <cell r="U410">
            <v>0</v>
          </cell>
          <cell r="W410">
            <v>0</v>
          </cell>
          <cell r="X410">
            <v>0</v>
          </cell>
        </row>
        <row r="411">
          <cell r="A411">
            <v>37974</v>
          </cell>
          <cell r="B411" t="str">
            <v>ManualVDF</v>
          </cell>
          <cell r="E411">
            <v>0</v>
          </cell>
          <cell r="F411">
            <v>0</v>
          </cell>
          <cell r="G411">
            <v>0</v>
          </cell>
          <cell r="H411">
            <v>0</v>
          </cell>
          <cell r="I411">
            <v>0</v>
          </cell>
          <cell r="L411">
            <v>0</v>
          </cell>
          <cell r="M411">
            <v>0</v>
          </cell>
          <cell r="N411">
            <v>0</v>
          </cell>
          <cell r="S411">
            <v>0</v>
          </cell>
          <cell r="T411">
            <v>0</v>
          </cell>
          <cell r="U411">
            <v>0</v>
          </cell>
          <cell r="W411">
            <v>0</v>
          </cell>
          <cell r="X411">
            <v>0</v>
          </cell>
        </row>
        <row r="412">
          <cell r="A412">
            <v>37974</v>
          </cell>
          <cell r="B412" t="str">
            <v>Office</v>
          </cell>
          <cell r="E412">
            <v>115.40000152588</v>
          </cell>
          <cell r="F412">
            <v>0</v>
          </cell>
          <cell r="G412">
            <v>0</v>
          </cell>
          <cell r="H412">
            <v>0</v>
          </cell>
          <cell r="I412">
            <v>0</v>
          </cell>
          <cell r="L412">
            <v>0</v>
          </cell>
          <cell r="M412">
            <v>0</v>
          </cell>
          <cell r="N412">
            <v>0</v>
          </cell>
          <cell r="S412">
            <v>0</v>
          </cell>
          <cell r="T412">
            <v>0</v>
          </cell>
          <cell r="U412">
            <v>0</v>
          </cell>
          <cell r="W412">
            <v>115.4</v>
          </cell>
          <cell r="X412">
            <v>0</v>
          </cell>
        </row>
        <row r="413">
          <cell r="A413">
            <v>37974</v>
          </cell>
          <cell r="B413" t="str">
            <v>Office</v>
          </cell>
          <cell r="E413">
            <v>28.200000762938998</v>
          </cell>
          <cell r="F413">
            <v>0</v>
          </cell>
          <cell r="G413">
            <v>0</v>
          </cell>
          <cell r="H413">
            <v>0</v>
          </cell>
          <cell r="I413">
            <v>0</v>
          </cell>
          <cell r="L413">
            <v>0</v>
          </cell>
          <cell r="M413">
            <v>0</v>
          </cell>
          <cell r="N413">
            <v>0</v>
          </cell>
          <cell r="S413">
            <v>0</v>
          </cell>
          <cell r="T413">
            <v>0</v>
          </cell>
          <cell r="U413">
            <v>0</v>
          </cell>
          <cell r="W413">
            <v>28.2</v>
          </cell>
          <cell r="X413">
            <v>0</v>
          </cell>
        </row>
        <row r="414">
          <cell r="A414">
            <v>37974</v>
          </cell>
          <cell r="B414" t="str">
            <v>Offsite1Receive</v>
          </cell>
          <cell r="E414">
            <v>7.5</v>
          </cell>
          <cell r="F414">
            <v>0</v>
          </cell>
          <cell r="G414">
            <v>0</v>
          </cell>
          <cell r="H414">
            <v>0</v>
          </cell>
          <cell r="I414">
            <v>0</v>
          </cell>
          <cell r="L414">
            <v>0</v>
          </cell>
          <cell r="M414">
            <v>0</v>
          </cell>
          <cell r="N414">
            <v>0</v>
          </cell>
          <cell r="S414">
            <v>0</v>
          </cell>
          <cell r="T414">
            <v>0</v>
          </cell>
          <cell r="U414">
            <v>0</v>
          </cell>
          <cell r="W414">
            <v>7.5</v>
          </cell>
          <cell r="X414">
            <v>0</v>
          </cell>
        </row>
        <row r="415">
          <cell r="A415">
            <v>37974</v>
          </cell>
          <cell r="B415" t="str">
            <v>QA</v>
          </cell>
          <cell r="E415">
            <v>30.033332824706999</v>
          </cell>
          <cell r="F415">
            <v>0</v>
          </cell>
          <cell r="G415">
            <v>0</v>
          </cell>
          <cell r="H415">
            <v>0</v>
          </cell>
          <cell r="I415">
            <v>0</v>
          </cell>
          <cell r="L415">
            <v>0</v>
          </cell>
          <cell r="M415">
            <v>0</v>
          </cell>
          <cell r="N415">
            <v>0</v>
          </cell>
          <cell r="S415">
            <v>0</v>
          </cell>
          <cell r="T415">
            <v>0</v>
          </cell>
          <cell r="U415">
            <v>0</v>
          </cell>
          <cell r="W415">
            <v>30.033300000000001</v>
          </cell>
          <cell r="X415">
            <v>0</v>
          </cell>
        </row>
        <row r="416">
          <cell r="A416">
            <v>37974</v>
          </cell>
          <cell r="B416" t="str">
            <v>Vreturns</v>
          </cell>
          <cell r="E416">
            <v>0</v>
          </cell>
          <cell r="F416">
            <v>0</v>
          </cell>
          <cell r="G416">
            <v>0</v>
          </cell>
          <cell r="H416">
            <v>0</v>
          </cell>
          <cell r="I416">
            <v>0</v>
          </cell>
          <cell r="L416">
            <v>0</v>
          </cell>
          <cell r="M416">
            <v>0</v>
          </cell>
          <cell r="N416">
            <v>0</v>
          </cell>
          <cell r="S416">
            <v>0</v>
          </cell>
          <cell r="T416">
            <v>0</v>
          </cell>
          <cell r="U416">
            <v>0</v>
          </cell>
          <cell r="W416">
            <v>0</v>
          </cell>
          <cell r="X416">
            <v>0</v>
          </cell>
        </row>
        <row r="417">
          <cell r="A417">
            <v>37974</v>
          </cell>
          <cell r="B417" t="str">
            <v>Facilities</v>
          </cell>
          <cell r="E417">
            <v>66.416664123535</v>
          </cell>
          <cell r="F417">
            <v>0</v>
          </cell>
          <cell r="G417">
            <v>0</v>
          </cell>
          <cell r="H417">
            <v>0</v>
          </cell>
          <cell r="I417">
            <v>0</v>
          </cell>
          <cell r="L417">
            <v>0</v>
          </cell>
          <cell r="M417">
            <v>0</v>
          </cell>
          <cell r="N417">
            <v>0</v>
          </cell>
          <cell r="S417">
            <v>0</v>
          </cell>
          <cell r="T417">
            <v>0</v>
          </cell>
          <cell r="U417">
            <v>0</v>
          </cell>
          <cell r="W417">
            <v>66.416700000000006</v>
          </cell>
          <cell r="X417">
            <v>0</v>
          </cell>
        </row>
        <row r="418">
          <cell r="A418">
            <v>37974</v>
          </cell>
          <cell r="B418" t="str">
            <v>Facilities</v>
          </cell>
          <cell r="E418">
            <v>20</v>
          </cell>
          <cell r="F418">
            <v>0</v>
          </cell>
          <cell r="G418">
            <v>0</v>
          </cell>
          <cell r="H418">
            <v>0</v>
          </cell>
          <cell r="I418">
            <v>0</v>
          </cell>
          <cell r="L418">
            <v>0</v>
          </cell>
          <cell r="M418">
            <v>0</v>
          </cell>
          <cell r="N418">
            <v>0</v>
          </cell>
          <cell r="S418">
            <v>0</v>
          </cell>
          <cell r="T418">
            <v>0</v>
          </cell>
          <cell r="U418">
            <v>0</v>
          </cell>
          <cell r="W418">
            <v>20</v>
          </cell>
          <cell r="X418">
            <v>0</v>
          </cell>
        </row>
        <row r="419">
          <cell r="A419">
            <v>37974</v>
          </cell>
          <cell r="B419" t="str">
            <v>SNOC</v>
          </cell>
          <cell r="E419">
            <v>19.933332443236999</v>
          </cell>
          <cell r="F419">
            <v>0</v>
          </cell>
          <cell r="G419">
            <v>0</v>
          </cell>
          <cell r="H419">
            <v>0</v>
          </cell>
          <cell r="I419">
            <v>0</v>
          </cell>
          <cell r="L419">
            <v>0</v>
          </cell>
          <cell r="M419">
            <v>0</v>
          </cell>
          <cell r="N419">
            <v>0</v>
          </cell>
          <cell r="S419">
            <v>0</v>
          </cell>
          <cell r="T419">
            <v>0</v>
          </cell>
          <cell r="U419">
            <v>0</v>
          </cell>
          <cell r="W419">
            <v>19.933299999999999</v>
          </cell>
          <cell r="X419">
            <v>0</v>
          </cell>
        </row>
        <row r="420">
          <cell r="A420">
            <v>37974</v>
          </cell>
          <cell r="B420" t="str">
            <v>Swat</v>
          </cell>
          <cell r="E420">
            <v>8</v>
          </cell>
          <cell r="F420">
            <v>0</v>
          </cell>
          <cell r="G420">
            <v>0</v>
          </cell>
          <cell r="H420">
            <v>0</v>
          </cell>
          <cell r="I420">
            <v>0</v>
          </cell>
          <cell r="L420">
            <v>0</v>
          </cell>
          <cell r="M420">
            <v>0</v>
          </cell>
          <cell r="N420">
            <v>0</v>
          </cell>
          <cell r="S420">
            <v>0</v>
          </cell>
          <cell r="T420">
            <v>0</v>
          </cell>
          <cell r="U420">
            <v>0</v>
          </cell>
          <cell r="W420">
            <v>8</v>
          </cell>
          <cell r="X420">
            <v>0</v>
          </cell>
        </row>
        <row r="421">
          <cell r="A421">
            <v>37974</v>
          </cell>
          <cell r="B421" t="str">
            <v>CustomerService</v>
          </cell>
          <cell r="E421">
            <v>10</v>
          </cell>
          <cell r="F421">
            <v>0</v>
          </cell>
          <cell r="G421">
            <v>0</v>
          </cell>
          <cell r="H421">
            <v>0</v>
          </cell>
          <cell r="I421">
            <v>0</v>
          </cell>
          <cell r="L421">
            <v>0</v>
          </cell>
          <cell r="M421">
            <v>0</v>
          </cell>
          <cell r="N421">
            <v>0</v>
          </cell>
          <cell r="S421">
            <v>0</v>
          </cell>
          <cell r="T421">
            <v>0</v>
          </cell>
          <cell r="U421">
            <v>0</v>
          </cell>
          <cell r="W421">
            <v>10</v>
          </cell>
          <cell r="X421">
            <v>0</v>
          </cell>
        </row>
        <row r="422">
          <cell r="A422">
            <v>37974</v>
          </cell>
          <cell r="B422" t="str">
            <v>CustomerService</v>
          </cell>
          <cell r="E422">
            <v>9.8999996185303001</v>
          </cell>
          <cell r="F422">
            <v>0</v>
          </cell>
          <cell r="G422">
            <v>0</v>
          </cell>
          <cell r="H422">
            <v>0</v>
          </cell>
          <cell r="I422">
            <v>0</v>
          </cell>
          <cell r="L422">
            <v>0</v>
          </cell>
          <cell r="M422">
            <v>0</v>
          </cell>
          <cell r="N422">
            <v>0</v>
          </cell>
          <cell r="S422">
            <v>0</v>
          </cell>
          <cell r="T422">
            <v>0</v>
          </cell>
          <cell r="U422">
            <v>0</v>
          </cell>
          <cell r="W422">
            <v>9.9</v>
          </cell>
          <cell r="X422">
            <v>0</v>
          </cell>
        </row>
        <row r="423">
          <cell r="A423">
            <v>37973</v>
          </cell>
          <cell r="B423" t="str">
            <v>Shipping</v>
          </cell>
          <cell r="E423">
            <v>1090.6333618164001</v>
          </cell>
          <cell r="F423">
            <v>0</v>
          </cell>
          <cell r="G423">
            <v>0</v>
          </cell>
          <cell r="H423">
            <v>0</v>
          </cell>
          <cell r="I423">
            <v>0</v>
          </cell>
          <cell r="L423">
            <v>0</v>
          </cell>
          <cell r="M423">
            <v>0</v>
          </cell>
          <cell r="N423">
            <v>0</v>
          </cell>
          <cell r="S423">
            <v>0</v>
          </cell>
          <cell r="T423">
            <v>0</v>
          </cell>
          <cell r="U423">
            <v>0</v>
          </cell>
          <cell r="W423">
            <v>-71.866600000000005</v>
          </cell>
          <cell r="X423">
            <v>20966</v>
          </cell>
        </row>
        <row r="424">
          <cell r="A424">
            <v>37973</v>
          </cell>
          <cell r="B424" t="str">
            <v>Autobox</v>
          </cell>
          <cell r="E424">
            <v>338</v>
          </cell>
          <cell r="F424">
            <v>12</v>
          </cell>
          <cell r="G424">
            <v>33895</v>
          </cell>
          <cell r="H424">
            <v>0</v>
          </cell>
          <cell r="I424">
            <v>0</v>
          </cell>
          <cell r="L424">
            <v>0</v>
          </cell>
          <cell r="M424">
            <v>0</v>
          </cell>
          <cell r="N424">
            <v>0</v>
          </cell>
          <cell r="S424">
            <v>0</v>
          </cell>
          <cell r="T424">
            <v>0</v>
          </cell>
          <cell r="U424">
            <v>0</v>
          </cell>
          <cell r="W424">
            <v>0</v>
          </cell>
          <cell r="X424">
            <v>0</v>
          </cell>
        </row>
        <row r="425">
          <cell r="A425">
            <v>37973</v>
          </cell>
          <cell r="B425" t="str">
            <v>Levimatic</v>
          </cell>
          <cell r="E425">
            <v>54.5</v>
          </cell>
          <cell r="F425">
            <v>0</v>
          </cell>
          <cell r="G425">
            <v>8352</v>
          </cell>
          <cell r="H425">
            <v>0</v>
          </cell>
          <cell r="I425">
            <v>0</v>
          </cell>
          <cell r="L425">
            <v>0</v>
          </cell>
          <cell r="M425">
            <v>0</v>
          </cell>
          <cell r="N425">
            <v>0</v>
          </cell>
          <cell r="S425">
            <v>0</v>
          </cell>
          <cell r="T425">
            <v>0</v>
          </cell>
          <cell r="U425">
            <v>0</v>
          </cell>
          <cell r="W425">
            <v>0</v>
          </cell>
          <cell r="X425">
            <v>0</v>
          </cell>
        </row>
        <row r="426">
          <cell r="A426">
            <v>37973</v>
          </cell>
          <cell r="B426" t="str">
            <v>Giftwrap</v>
          </cell>
          <cell r="E426">
            <v>356.5</v>
          </cell>
          <cell r="F426">
            <v>0</v>
          </cell>
          <cell r="G426">
            <v>7604</v>
          </cell>
          <cell r="H426">
            <v>0</v>
          </cell>
          <cell r="I426">
            <v>0</v>
          </cell>
          <cell r="L426">
            <v>0</v>
          </cell>
          <cell r="M426">
            <v>0</v>
          </cell>
          <cell r="N426">
            <v>0</v>
          </cell>
          <cell r="S426">
            <v>0</v>
          </cell>
          <cell r="T426">
            <v>0</v>
          </cell>
          <cell r="U426">
            <v>0</v>
          </cell>
          <cell r="W426">
            <v>0</v>
          </cell>
          <cell r="X426">
            <v>7604</v>
          </cell>
        </row>
        <row r="427">
          <cell r="A427">
            <v>37973</v>
          </cell>
          <cell r="B427" t="str">
            <v>ShipSupport</v>
          </cell>
          <cell r="E427">
            <v>341.63339996337999</v>
          </cell>
          <cell r="F427">
            <v>71</v>
          </cell>
          <cell r="G427">
            <v>0</v>
          </cell>
          <cell r="H427">
            <v>0</v>
          </cell>
          <cell r="I427">
            <v>0</v>
          </cell>
          <cell r="L427">
            <v>0</v>
          </cell>
          <cell r="M427">
            <v>0</v>
          </cell>
          <cell r="N427">
            <v>0</v>
          </cell>
          <cell r="S427">
            <v>0</v>
          </cell>
          <cell r="T427">
            <v>0</v>
          </cell>
          <cell r="U427">
            <v>0</v>
          </cell>
          <cell r="W427">
            <v>-71.866600000000005</v>
          </cell>
          <cell r="X427">
            <v>0</v>
          </cell>
        </row>
        <row r="428">
          <cell r="A428">
            <v>37973</v>
          </cell>
          <cell r="B428" t="str">
            <v>Picking</v>
          </cell>
          <cell r="E428">
            <v>1000.6166992188</v>
          </cell>
          <cell r="F428">
            <v>0</v>
          </cell>
          <cell r="G428">
            <v>87521</v>
          </cell>
          <cell r="H428">
            <v>0</v>
          </cell>
          <cell r="I428">
            <v>0</v>
          </cell>
          <cell r="L428">
            <v>0</v>
          </cell>
          <cell r="M428">
            <v>0</v>
          </cell>
          <cell r="N428">
            <v>0</v>
          </cell>
          <cell r="S428">
            <v>0</v>
          </cell>
          <cell r="T428">
            <v>0</v>
          </cell>
          <cell r="U428">
            <v>0</v>
          </cell>
          <cell r="W428">
            <v>22.866700000000002</v>
          </cell>
          <cell r="X428">
            <v>0</v>
          </cell>
        </row>
        <row r="429">
          <cell r="A429">
            <v>37973</v>
          </cell>
          <cell r="B429" t="str">
            <v>Sortation</v>
          </cell>
          <cell r="E429">
            <v>730.08337402344</v>
          </cell>
          <cell r="F429">
            <v>0</v>
          </cell>
          <cell r="G429">
            <v>0</v>
          </cell>
          <cell r="H429">
            <v>0</v>
          </cell>
          <cell r="I429">
            <v>0</v>
          </cell>
          <cell r="L429">
            <v>0</v>
          </cell>
          <cell r="M429">
            <v>0</v>
          </cell>
          <cell r="N429">
            <v>0</v>
          </cell>
          <cell r="S429">
            <v>0</v>
          </cell>
          <cell r="T429">
            <v>0</v>
          </cell>
          <cell r="U429">
            <v>0</v>
          </cell>
          <cell r="W429">
            <v>-52.416600000000003</v>
          </cell>
          <cell r="X429">
            <v>0</v>
          </cell>
        </row>
        <row r="430">
          <cell r="A430">
            <v>37973</v>
          </cell>
          <cell r="B430" t="str">
            <v>Rebin</v>
          </cell>
          <cell r="E430">
            <v>308</v>
          </cell>
          <cell r="F430">
            <v>78</v>
          </cell>
          <cell r="G430">
            <v>48221</v>
          </cell>
          <cell r="H430">
            <v>0</v>
          </cell>
          <cell r="I430">
            <v>0</v>
          </cell>
          <cell r="L430">
            <v>0</v>
          </cell>
          <cell r="M430">
            <v>0</v>
          </cell>
          <cell r="N430">
            <v>0</v>
          </cell>
          <cell r="S430">
            <v>0</v>
          </cell>
          <cell r="T430">
            <v>0</v>
          </cell>
          <cell r="U430">
            <v>0</v>
          </cell>
          <cell r="W430">
            <v>0</v>
          </cell>
          <cell r="X430">
            <v>0</v>
          </cell>
        </row>
        <row r="431">
          <cell r="A431">
            <v>37973</v>
          </cell>
          <cell r="B431" t="str">
            <v>Stack</v>
          </cell>
          <cell r="E431">
            <v>261.5</v>
          </cell>
          <cell r="F431">
            <v>0</v>
          </cell>
          <cell r="G431">
            <v>40023</v>
          </cell>
          <cell r="H431">
            <v>0</v>
          </cell>
          <cell r="I431">
            <v>0</v>
          </cell>
          <cell r="L431">
            <v>0</v>
          </cell>
          <cell r="M431">
            <v>0</v>
          </cell>
          <cell r="N431">
            <v>0</v>
          </cell>
          <cell r="S431">
            <v>7675</v>
          </cell>
          <cell r="T431">
            <v>0</v>
          </cell>
          <cell r="U431">
            <v>0</v>
          </cell>
          <cell r="W431">
            <v>0</v>
          </cell>
          <cell r="X431">
            <v>0</v>
          </cell>
        </row>
        <row r="432">
          <cell r="A432">
            <v>37973</v>
          </cell>
          <cell r="B432" t="str">
            <v>Bundler</v>
          </cell>
          <cell r="E432">
            <v>160.58340072632001</v>
          </cell>
          <cell r="F432">
            <v>0</v>
          </cell>
          <cell r="G432">
            <v>40023</v>
          </cell>
          <cell r="H432">
            <v>0</v>
          </cell>
          <cell r="I432">
            <v>0</v>
          </cell>
          <cell r="L432">
            <v>0</v>
          </cell>
          <cell r="M432">
            <v>0</v>
          </cell>
          <cell r="N432">
            <v>0</v>
          </cell>
          <cell r="S432">
            <v>0</v>
          </cell>
          <cell r="T432">
            <v>0</v>
          </cell>
          <cell r="U432">
            <v>0</v>
          </cell>
          <cell r="W432">
            <v>-52.416600000000003</v>
          </cell>
          <cell r="X432">
            <v>17324</v>
          </cell>
        </row>
        <row r="433">
          <cell r="A433">
            <v>37973</v>
          </cell>
          <cell r="B433" t="str">
            <v>BMV Receive</v>
          </cell>
          <cell r="E433">
            <v>406.43334960938</v>
          </cell>
          <cell r="F433">
            <v>102.75</v>
          </cell>
          <cell r="G433">
            <v>97299</v>
          </cell>
          <cell r="H433">
            <v>68346</v>
          </cell>
          <cell r="I433">
            <v>0</v>
          </cell>
          <cell r="L433">
            <v>261.36</v>
          </cell>
          <cell r="M433">
            <v>0</v>
          </cell>
          <cell r="N433">
            <v>38</v>
          </cell>
          <cell r="S433">
            <v>0</v>
          </cell>
          <cell r="T433">
            <v>64.5</v>
          </cell>
          <cell r="U433">
            <v>0</v>
          </cell>
          <cell r="W433">
            <v>4.3233600000000001</v>
          </cell>
          <cell r="X433">
            <v>0</v>
          </cell>
        </row>
        <row r="434">
          <cell r="A434">
            <v>37973</v>
          </cell>
          <cell r="B434" t="str">
            <v>CReturns</v>
          </cell>
          <cell r="E434">
            <v>17</v>
          </cell>
          <cell r="F434">
            <v>0</v>
          </cell>
          <cell r="G434">
            <v>167</v>
          </cell>
          <cell r="H434">
            <v>0</v>
          </cell>
          <cell r="I434">
            <v>0</v>
          </cell>
          <cell r="L434">
            <v>0</v>
          </cell>
          <cell r="M434">
            <v>0</v>
          </cell>
          <cell r="N434">
            <v>0</v>
          </cell>
          <cell r="S434">
            <v>0</v>
          </cell>
          <cell r="T434">
            <v>0</v>
          </cell>
          <cell r="U434">
            <v>0</v>
          </cell>
          <cell r="W434">
            <v>7</v>
          </cell>
          <cell r="X434">
            <v>0</v>
          </cell>
        </row>
        <row r="435">
          <cell r="A435">
            <v>37973</v>
          </cell>
          <cell r="B435" t="str">
            <v>Vreturns</v>
          </cell>
          <cell r="E435">
            <v>85.5</v>
          </cell>
          <cell r="F435">
            <v>0</v>
          </cell>
          <cell r="G435">
            <v>10424</v>
          </cell>
          <cell r="H435">
            <v>0</v>
          </cell>
          <cell r="I435">
            <v>0</v>
          </cell>
          <cell r="L435">
            <v>0</v>
          </cell>
          <cell r="M435">
            <v>0</v>
          </cell>
          <cell r="N435">
            <v>0</v>
          </cell>
          <cell r="S435">
            <v>0</v>
          </cell>
          <cell r="T435">
            <v>0</v>
          </cell>
          <cell r="U435">
            <v>0</v>
          </cell>
          <cell r="W435">
            <v>8</v>
          </cell>
          <cell r="X435">
            <v>0</v>
          </cell>
        </row>
        <row r="436">
          <cell r="A436">
            <v>37973</v>
          </cell>
          <cell r="B436" t="str">
            <v>QA</v>
          </cell>
          <cell r="E436">
            <v>89.033332824707003</v>
          </cell>
          <cell r="F436">
            <v>0</v>
          </cell>
          <cell r="G436">
            <v>0</v>
          </cell>
          <cell r="H436">
            <v>0</v>
          </cell>
          <cell r="I436">
            <v>0</v>
          </cell>
          <cell r="L436">
            <v>0</v>
          </cell>
          <cell r="M436">
            <v>0</v>
          </cell>
          <cell r="N436">
            <v>0</v>
          </cell>
          <cell r="S436">
            <v>0</v>
          </cell>
          <cell r="T436">
            <v>0</v>
          </cell>
          <cell r="U436">
            <v>0</v>
          </cell>
          <cell r="W436">
            <v>2.0333299999999999</v>
          </cell>
          <cell r="X436">
            <v>0</v>
          </cell>
        </row>
        <row r="437">
          <cell r="A437">
            <v>37973</v>
          </cell>
          <cell r="B437" t="str">
            <v>InventoryControl</v>
          </cell>
          <cell r="E437">
            <v>158.39999389648</v>
          </cell>
          <cell r="F437">
            <v>0</v>
          </cell>
          <cell r="G437">
            <v>0</v>
          </cell>
          <cell r="H437">
            <v>0</v>
          </cell>
          <cell r="I437">
            <v>0</v>
          </cell>
          <cell r="L437">
            <v>0</v>
          </cell>
          <cell r="M437">
            <v>0</v>
          </cell>
          <cell r="N437">
            <v>0</v>
          </cell>
          <cell r="S437">
            <v>0</v>
          </cell>
          <cell r="T437">
            <v>0</v>
          </cell>
          <cell r="U437">
            <v>0</v>
          </cell>
          <cell r="W437">
            <v>-0.100006</v>
          </cell>
          <cell r="X437">
            <v>0</v>
          </cell>
        </row>
        <row r="438">
          <cell r="A438">
            <v>37973</v>
          </cell>
          <cell r="B438" t="str">
            <v>Sortation</v>
          </cell>
          <cell r="E438">
            <v>1105.5333251953</v>
          </cell>
          <cell r="F438">
            <v>0</v>
          </cell>
          <cell r="G438">
            <v>0</v>
          </cell>
          <cell r="H438">
            <v>0</v>
          </cell>
          <cell r="I438">
            <v>0</v>
          </cell>
          <cell r="L438">
            <v>0</v>
          </cell>
          <cell r="M438">
            <v>0</v>
          </cell>
          <cell r="N438">
            <v>0</v>
          </cell>
          <cell r="S438">
            <v>0</v>
          </cell>
          <cell r="T438">
            <v>0</v>
          </cell>
          <cell r="U438">
            <v>0</v>
          </cell>
          <cell r="W438">
            <v>50.033299999999997</v>
          </cell>
          <cell r="X438">
            <v>0</v>
          </cell>
        </row>
        <row r="439">
          <cell r="A439">
            <v>37973</v>
          </cell>
          <cell r="B439" t="str">
            <v>Rebin</v>
          </cell>
          <cell r="E439">
            <v>377</v>
          </cell>
          <cell r="F439">
            <v>60</v>
          </cell>
          <cell r="G439">
            <v>68319</v>
          </cell>
          <cell r="H439">
            <v>0</v>
          </cell>
          <cell r="I439">
            <v>0</v>
          </cell>
          <cell r="L439">
            <v>0</v>
          </cell>
          <cell r="M439">
            <v>0</v>
          </cell>
          <cell r="N439">
            <v>0</v>
          </cell>
          <cell r="S439">
            <v>0</v>
          </cell>
          <cell r="T439">
            <v>0</v>
          </cell>
          <cell r="U439">
            <v>0</v>
          </cell>
          <cell r="W439">
            <v>0</v>
          </cell>
          <cell r="X439">
            <v>0</v>
          </cell>
        </row>
        <row r="440">
          <cell r="A440">
            <v>37973</v>
          </cell>
          <cell r="B440" t="str">
            <v>Stack</v>
          </cell>
          <cell r="E440">
            <v>386</v>
          </cell>
          <cell r="F440">
            <v>0</v>
          </cell>
          <cell r="G440">
            <v>54470</v>
          </cell>
          <cell r="H440">
            <v>0</v>
          </cell>
          <cell r="I440">
            <v>0</v>
          </cell>
          <cell r="L440">
            <v>0</v>
          </cell>
          <cell r="M440">
            <v>0</v>
          </cell>
          <cell r="N440">
            <v>0</v>
          </cell>
          <cell r="S440">
            <v>2452</v>
          </cell>
          <cell r="T440">
            <v>0</v>
          </cell>
          <cell r="U440">
            <v>0</v>
          </cell>
          <cell r="W440">
            <v>0</v>
          </cell>
          <cell r="X440">
            <v>0</v>
          </cell>
        </row>
        <row r="441">
          <cell r="A441">
            <v>37973</v>
          </cell>
          <cell r="B441" t="str">
            <v>Bundler</v>
          </cell>
          <cell r="E441">
            <v>342.53329849242999</v>
          </cell>
          <cell r="F441">
            <v>0</v>
          </cell>
          <cell r="G441">
            <v>54470</v>
          </cell>
          <cell r="H441">
            <v>0</v>
          </cell>
          <cell r="I441">
            <v>0</v>
          </cell>
          <cell r="L441">
            <v>0</v>
          </cell>
          <cell r="M441">
            <v>0</v>
          </cell>
          <cell r="N441">
            <v>0</v>
          </cell>
          <cell r="S441">
            <v>0</v>
          </cell>
          <cell r="T441">
            <v>0</v>
          </cell>
          <cell r="U441">
            <v>0</v>
          </cell>
          <cell r="W441">
            <v>50.033299999999997</v>
          </cell>
          <cell r="X441">
            <v>20988</v>
          </cell>
        </row>
        <row r="442">
          <cell r="A442">
            <v>37973</v>
          </cell>
          <cell r="B442" t="str">
            <v>Picking</v>
          </cell>
          <cell r="E442">
            <v>1027.3499755859</v>
          </cell>
          <cell r="F442">
            <v>0</v>
          </cell>
          <cell r="G442">
            <v>101761</v>
          </cell>
          <cell r="H442">
            <v>0</v>
          </cell>
          <cell r="I442">
            <v>0</v>
          </cell>
          <cell r="L442">
            <v>0</v>
          </cell>
          <cell r="M442">
            <v>0</v>
          </cell>
          <cell r="N442">
            <v>0</v>
          </cell>
          <cell r="S442">
            <v>0</v>
          </cell>
          <cell r="T442">
            <v>0</v>
          </cell>
          <cell r="U442">
            <v>0</v>
          </cell>
          <cell r="W442">
            <v>12.6</v>
          </cell>
          <cell r="X442">
            <v>0</v>
          </cell>
        </row>
        <row r="443">
          <cell r="A443">
            <v>37973</v>
          </cell>
          <cell r="B443" t="str">
            <v>Offsite1Receive</v>
          </cell>
          <cell r="E443">
            <v>104.86669921875</v>
          </cell>
          <cell r="F443">
            <v>20</v>
          </cell>
          <cell r="G443">
            <v>3380</v>
          </cell>
          <cell r="H443">
            <v>0</v>
          </cell>
          <cell r="I443">
            <v>0</v>
          </cell>
          <cell r="L443">
            <v>0</v>
          </cell>
          <cell r="M443">
            <v>0</v>
          </cell>
          <cell r="N443">
            <v>0</v>
          </cell>
          <cell r="S443">
            <v>0</v>
          </cell>
          <cell r="T443">
            <v>0</v>
          </cell>
          <cell r="U443">
            <v>0</v>
          </cell>
          <cell r="W443">
            <v>-3.1333000000000002</v>
          </cell>
          <cell r="X443">
            <v>0</v>
          </cell>
        </row>
        <row r="444">
          <cell r="A444">
            <v>37973</v>
          </cell>
          <cell r="B444" t="str">
            <v>ManualVDF</v>
          </cell>
          <cell r="E444">
            <v>39</v>
          </cell>
          <cell r="F444">
            <v>0</v>
          </cell>
          <cell r="G444">
            <v>1525</v>
          </cell>
          <cell r="H444">
            <v>0</v>
          </cell>
          <cell r="I444">
            <v>0</v>
          </cell>
          <cell r="L444">
            <v>0</v>
          </cell>
          <cell r="M444">
            <v>0</v>
          </cell>
          <cell r="N444">
            <v>0</v>
          </cell>
          <cell r="S444">
            <v>0</v>
          </cell>
          <cell r="T444">
            <v>0</v>
          </cell>
          <cell r="U444">
            <v>0</v>
          </cell>
          <cell r="W444">
            <v>0</v>
          </cell>
          <cell r="X444">
            <v>1525</v>
          </cell>
        </row>
        <row r="445">
          <cell r="A445">
            <v>37973</v>
          </cell>
          <cell r="B445" t="str">
            <v>Offsite1Ship</v>
          </cell>
          <cell r="E445">
            <v>962</v>
          </cell>
          <cell r="F445">
            <v>0</v>
          </cell>
          <cell r="G445">
            <v>10628</v>
          </cell>
          <cell r="H445">
            <v>0</v>
          </cell>
          <cell r="I445">
            <v>0</v>
          </cell>
          <cell r="L445">
            <v>0</v>
          </cell>
          <cell r="M445">
            <v>0</v>
          </cell>
          <cell r="N445">
            <v>0</v>
          </cell>
          <cell r="S445">
            <v>0</v>
          </cell>
          <cell r="T445">
            <v>0</v>
          </cell>
          <cell r="U445">
            <v>0</v>
          </cell>
          <cell r="W445">
            <v>0</v>
          </cell>
          <cell r="X445">
            <v>0</v>
          </cell>
        </row>
        <row r="446">
          <cell r="A446">
            <v>37973</v>
          </cell>
          <cell r="B446" t="str">
            <v>BMV Stow</v>
          </cell>
          <cell r="E446">
            <v>404</v>
          </cell>
          <cell r="F446">
            <v>15</v>
          </cell>
          <cell r="G446">
            <v>90067</v>
          </cell>
          <cell r="H446">
            <v>82269</v>
          </cell>
          <cell r="I446">
            <v>7798</v>
          </cell>
          <cell r="L446">
            <v>369</v>
          </cell>
          <cell r="M446">
            <v>20</v>
          </cell>
          <cell r="N446">
            <v>0</v>
          </cell>
          <cell r="S446">
            <v>0</v>
          </cell>
          <cell r="T446">
            <v>0</v>
          </cell>
          <cell r="U446">
            <v>0</v>
          </cell>
          <cell r="W446">
            <v>0</v>
          </cell>
          <cell r="X446">
            <v>0</v>
          </cell>
        </row>
        <row r="447">
          <cell r="A447">
            <v>37973</v>
          </cell>
          <cell r="B447" t="str">
            <v>Replenishment</v>
          </cell>
          <cell r="E447">
            <v>143</v>
          </cell>
          <cell r="F447">
            <v>0</v>
          </cell>
          <cell r="G447">
            <v>39390</v>
          </cell>
          <cell r="H447">
            <v>0</v>
          </cell>
          <cell r="I447">
            <v>0</v>
          </cell>
          <cell r="L447">
            <v>0</v>
          </cell>
          <cell r="M447">
            <v>0</v>
          </cell>
          <cell r="N447">
            <v>0</v>
          </cell>
          <cell r="S447">
            <v>0</v>
          </cell>
          <cell r="T447">
            <v>0</v>
          </cell>
          <cell r="U447">
            <v>0</v>
          </cell>
          <cell r="W447">
            <v>0</v>
          </cell>
          <cell r="X447">
            <v>0</v>
          </cell>
        </row>
        <row r="448">
          <cell r="A448">
            <v>37973</v>
          </cell>
          <cell r="B448" t="str">
            <v>Shipping</v>
          </cell>
          <cell r="E448">
            <v>847.20001220703</v>
          </cell>
          <cell r="F448">
            <v>0</v>
          </cell>
          <cell r="G448">
            <v>0</v>
          </cell>
          <cell r="H448">
            <v>0</v>
          </cell>
          <cell r="I448">
            <v>0</v>
          </cell>
          <cell r="L448">
            <v>0</v>
          </cell>
          <cell r="M448">
            <v>0</v>
          </cell>
          <cell r="N448">
            <v>0</v>
          </cell>
          <cell r="S448">
            <v>0</v>
          </cell>
          <cell r="T448">
            <v>0</v>
          </cell>
          <cell r="U448">
            <v>0</v>
          </cell>
          <cell r="W448">
            <v>-75.3</v>
          </cell>
          <cell r="X448">
            <v>21127</v>
          </cell>
        </row>
        <row r="449">
          <cell r="A449">
            <v>37973</v>
          </cell>
          <cell r="B449" t="str">
            <v>Autobox</v>
          </cell>
          <cell r="E449">
            <v>210</v>
          </cell>
          <cell r="F449">
            <v>70</v>
          </cell>
          <cell r="G449">
            <v>27919</v>
          </cell>
          <cell r="H449">
            <v>0</v>
          </cell>
          <cell r="I449">
            <v>0</v>
          </cell>
          <cell r="L449">
            <v>0</v>
          </cell>
          <cell r="M449">
            <v>0</v>
          </cell>
          <cell r="N449">
            <v>0</v>
          </cell>
          <cell r="S449">
            <v>0</v>
          </cell>
          <cell r="T449">
            <v>0</v>
          </cell>
          <cell r="U449">
            <v>0</v>
          </cell>
          <cell r="W449">
            <v>0</v>
          </cell>
          <cell r="X449">
            <v>0</v>
          </cell>
        </row>
        <row r="450">
          <cell r="A450">
            <v>37973</v>
          </cell>
          <cell r="B450" t="str">
            <v>Levimatic</v>
          </cell>
          <cell r="E450">
            <v>30</v>
          </cell>
          <cell r="F450">
            <v>10</v>
          </cell>
          <cell r="G450">
            <v>6426</v>
          </cell>
          <cell r="H450">
            <v>0</v>
          </cell>
          <cell r="I450">
            <v>0</v>
          </cell>
          <cell r="L450">
            <v>0</v>
          </cell>
          <cell r="M450">
            <v>0</v>
          </cell>
          <cell r="N450">
            <v>0</v>
          </cell>
          <cell r="S450">
            <v>0</v>
          </cell>
          <cell r="T450">
            <v>0</v>
          </cell>
          <cell r="U450">
            <v>0</v>
          </cell>
          <cell r="W450">
            <v>0</v>
          </cell>
          <cell r="X450">
            <v>0</v>
          </cell>
        </row>
        <row r="451">
          <cell r="A451">
            <v>37973</v>
          </cell>
          <cell r="B451" t="str">
            <v>Giftwrap</v>
          </cell>
          <cell r="E451">
            <v>341</v>
          </cell>
          <cell r="F451">
            <v>0</v>
          </cell>
          <cell r="G451">
            <v>5413</v>
          </cell>
          <cell r="H451">
            <v>0</v>
          </cell>
          <cell r="I451">
            <v>0</v>
          </cell>
          <cell r="L451">
            <v>0</v>
          </cell>
          <cell r="M451">
            <v>0</v>
          </cell>
          <cell r="N451">
            <v>0</v>
          </cell>
          <cell r="S451">
            <v>0</v>
          </cell>
          <cell r="T451">
            <v>0</v>
          </cell>
          <cell r="U451">
            <v>0</v>
          </cell>
          <cell r="W451">
            <v>0</v>
          </cell>
          <cell r="X451">
            <v>0</v>
          </cell>
        </row>
        <row r="452">
          <cell r="A452">
            <v>37973</v>
          </cell>
          <cell r="B452" t="str">
            <v>ShipSupport</v>
          </cell>
          <cell r="E452">
            <v>266.19999694824003</v>
          </cell>
          <cell r="F452">
            <v>102.5</v>
          </cell>
          <cell r="G452">
            <v>0</v>
          </cell>
          <cell r="H452">
            <v>0</v>
          </cell>
          <cell r="I452">
            <v>0</v>
          </cell>
          <cell r="L452">
            <v>0</v>
          </cell>
          <cell r="M452">
            <v>0</v>
          </cell>
          <cell r="N452">
            <v>0</v>
          </cell>
          <cell r="S452">
            <v>0</v>
          </cell>
          <cell r="T452">
            <v>0</v>
          </cell>
          <cell r="U452">
            <v>0</v>
          </cell>
          <cell r="W452">
            <v>-75.3</v>
          </cell>
          <cell r="X452">
            <v>0</v>
          </cell>
        </row>
        <row r="453">
          <cell r="A453">
            <v>37973</v>
          </cell>
          <cell r="B453" t="str">
            <v>Replenishment</v>
          </cell>
          <cell r="E453">
            <v>140</v>
          </cell>
          <cell r="F453">
            <v>0</v>
          </cell>
          <cell r="G453">
            <v>25632</v>
          </cell>
          <cell r="H453">
            <v>0</v>
          </cell>
          <cell r="I453">
            <v>0</v>
          </cell>
          <cell r="L453">
            <v>0</v>
          </cell>
          <cell r="M453">
            <v>0</v>
          </cell>
          <cell r="N453">
            <v>0</v>
          </cell>
          <cell r="S453">
            <v>0</v>
          </cell>
          <cell r="T453">
            <v>0</v>
          </cell>
          <cell r="U453">
            <v>0</v>
          </cell>
          <cell r="W453">
            <v>0</v>
          </cell>
          <cell r="X453">
            <v>0</v>
          </cell>
        </row>
        <row r="454">
          <cell r="A454">
            <v>37973</v>
          </cell>
          <cell r="B454" t="str">
            <v>BMV Receive</v>
          </cell>
          <cell r="E454">
            <v>173.5</v>
          </cell>
          <cell r="F454">
            <v>50</v>
          </cell>
          <cell r="G454">
            <v>32936</v>
          </cell>
          <cell r="H454">
            <v>23026</v>
          </cell>
          <cell r="I454">
            <v>0</v>
          </cell>
          <cell r="L454">
            <v>105.5</v>
          </cell>
          <cell r="M454">
            <v>0</v>
          </cell>
          <cell r="N454">
            <v>10</v>
          </cell>
          <cell r="S454">
            <v>0</v>
          </cell>
          <cell r="T454">
            <v>40</v>
          </cell>
          <cell r="U454">
            <v>0</v>
          </cell>
          <cell r="W454">
            <v>8</v>
          </cell>
          <cell r="X454">
            <v>0</v>
          </cell>
        </row>
        <row r="455">
          <cell r="A455">
            <v>37973</v>
          </cell>
          <cell r="B455" t="str">
            <v>BMV Stow</v>
          </cell>
          <cell r="E455">
            <v>110</v>
          </cell>
          <cell r="F455">
            <v>-50</v>
          </cell>
          <cell r="G455">
            <v>68548</v>
          </cell>
          <cell r="H455">
            <v>33151</v>
          </cell>
          <cell r="I455">
            <v>35397</v>
          </cell>
          <cell r="L455">
            <v>60</v>
          </cell>
          <cell r="M455">
            <v>50</v>
          </cell>
          <cell r="N455">
            <v>0</v>
          </cell>
          <cell r="S455">
            <v>0</v>
          </cell>
          <cell r="T455">
            <v>0</v>
          </cell>
          <cell r="U455">
            <v>0</v>
          </cell>
          <cell r="W455">
            <v>110</v>
          </cell>
          <cell r="X455">
            <v>0</v>
          </cell>
        </row>
        <row r="456">
          <cell r="A456">
            <v>37973</v>
          </cell>
          <cell r="B456" t="str">
            <v>Training</v>
          </cell>
          <cell r="E456">
            <v>0</v>
          </cell>
          <cell r="F456">
            <v>0</v>
          </cell>
          <cell r="G456">
            <v>0</v>
          </cell>
          <cell r="H456">
            <v>0</v>
          </cell>
          <cell r="I456">
            <v>0</v>
          </cell>
          <cell r="L456">
            <v>0</v>
          </cell>
          <cell r="M456">
            <v>0</v>
          </cell>
          <cell r="N456">
            <v>0</v>
          </cell>
          <cell r="S456">
            <v>0</v>
          </cell>
          <cell r="T456">
            <v>0</v>
          </cell>
          <cell r="U456">
            <v>0</v>
          </cell>
          <cell r="W456">
            <v>0</v>
          </cell>
          <cell r="X456">
            <v>0</v>
          </cell>
        </row>
        <row r="457">
          <cell r="A457">
            <v>37973</v>
          </cell>
          <cell r="B457" t="str">
            <v>Training</v>
          </cell>
          <cell r="E457">
            <v>0</v>
          </cell>
          <cell r="F457">
            <v>0</v>
          </cell>
          <cell r="G457">
            <v>0</v>
          </cell>
          <cell r="H457">
            <v>0</v>
          </cell>
          <cell r="I457">
            <v>0</v>
          </cell>
          <cell r="L457">
            <v>0</v>
          </cell>
          <cell r="M457">
            <v>0</v>
          </cell>
          <cell r="N457">
            <v>0</v>
          </cell>
          <cell r="S457">
            <v>0</v>
          </cell>
          <cell r="T457">
            <v>0</v>
          </cell>
          <cell r="U457">
            <v>0</v>
          </cell>
          <cell r="W457">
            <v>0</v>
          </cell>
          <cell r="X457">
            <v>0</v>
          </cell>
        </row>
        <row r="458">
          <cell r="A458">
            <v>37973</v>
          </cell>
          <cell r="B458" t="str">
            <v>Office</v>
          </cell>
          <cell r="E458">
            <v>123.86666870117</v>
          </cell>
          <cell r="F458">
            <v>0</v>
          </cell>
          <cell r="G458">
            <v>0</v>
          </cell>
          <cell r="H458">
            <v>0</v>
          </cell>
          <cell r="I458">
            <v>0</v>
          </cell>
          <cell r="L458">
            <v>0</v>
          </cell>
          <cell r="M458">
            <v>0</v>
          </cell>
          <cell r="N458">
            <v>0</v>
          </cell>
          <cell r="S458">
            <v>0</v>
          </cell>
          <cell r="T458">
            <v>0</v>
          </cell>
          <cell r="U458">
            <v>0</v>
          </cell>
          <cell r="W458">
            <v>123.867</v>
          </cell>
          <cell r="X458">
            <v>0</v>
          </cell>
        </row>
        <row r="459">
          <cell r="A459">
            <v>37973</v>
          </cell>
          <cell r="B459" t="str">
            <v>Office</v>
          </cell>
          <cell r="E459">
            <v>33.183334350586001</v>
          </cell>
          <cell r="F459">
            <v>0</v>
          </cell>
          <cell r="G459">
            <v>0</v>
          </cell>
          <cell r="H459">
            <v>0</v>
          </cell>
          <cell r="I459">
            <v>0</v>
          </cell>
          <cell r="L459">
            <v>0</v>
          </cell>
          <cell r="M459">
            <v>0</v>
          </cell>
          <cell r="N459">
            <v>0</v>
          </cell>
          <cell r="S459">
            <v>0</v>
          </cell>
          <cell r="T459">
            <v>0</v>
          </cell>
          <cell r="U459">
            <v>0</v>
          </cell>
          <cell r="W459">
            <v>33.183300000000003</v>
          </cell>
          <cell r="X459">
            <v>0</v>
          </cell>
        </row>
        <row r="460">
          <cell r="A460">
            <v>37973</v>
          </cell>
          <cell r="B460" t="str">
            <v>Offsite1Receive</v>
          </cell>
          <cell r="E460">
            <v>34</v>
          </cell>
          <cell r="F460">
            <v>0</v>
          </cell>
          <cell r="G460">
            <v>0</v>
          </cell>
          <cell r="H460">
            <v>0</v>
          </cell>
          <cell r="I460">
            <v>0</v>
          </cell>
          <cell r="L460">
            <v>0</v>
          </cell>
          <cell r="M460">
            <v>0</v>
          </cell>
          <cell r="N460">
            <v>0</v>
          </cell>
          <cell r="S460">
            <v>0</v>
          </cell>
          <cell r="T460">
            <v>0</v>
          </cell>
          <cell r="U460">
            <v>0</v>
          </cell>
          <cell r="W460">
            <v>34</v>
          </cell>
          <cell r="X460">
            <v>0</v>
          </cell>
        </row>
        <row r="461">
          <cell r="A461">
            <v>37973</v>
          </cell>
          <cell r="B461" t="str">
            <v>QA</v>
          </cell>
          <cell r="E461">
            <v>40.866664886475</v>
          </cell>
          <cell r="F461">
            <v>0</v>
          </cell>
          <cell r="G461">
            <v>0</v>
          </cell>
          <cell r="H461">
            <v>0</v>
          </cell>
          <cell r="I461">
            <v>0</v>
          </cell>
          <cell r="L461">
            <v>0</v>
          </cell>
          <cell r="M461">
            <v>0</v>
          </cell>
          <cell r="N461">
            <v>0</v>
          </cell>
          <cell r="S461">
            <v>0</v>
          </cell>
          <cell r="T461">
            <v>0</v>
          </cell>
          <cell r="U461">
            <v>0</v>
          </cell>
          <cell r="W461">
            <v>40.866700000000002</v>
          </cell>
          <cell r="X461">
            <v>0</v>
          </cell>
        </row>
        <row r="462">
          <cell r="A462">
            <v>37973</v>
          </cell>
          <cell r="B462" t="str">
            <v>Vreturns</v>
          </cell>
          <cell r="E462">
            <v>9.8000001907349006</v>
          </cell>
          <cell r="F462">
            <v>0</v>
          </cell>
          <cell r="G462">
            <v>0</v>
          </cell>
          <cell r="H462">
            <v>0</v>
          </cell>
          <cell r="I462">
            <v>0</v>
          </cell>
          <cell r="L462">
            <v>0</v>
          </cell>
          <cell r="M462">
            <v>0</v>
          </cell>
          <cell r="N462">
            <v>0</v>
          </cell>
          <cell r="S462">
            <v>0</v>
          </cell>
          <cell r="T462">
            <v>0</v>
          </cell>
          <cell r="U462">
            <v>0</v>
          </cell>
          <cell r="W462">
            <v>9.8000000000000007</v>
          </cell>
          <cell r="X462">
            <v>0</v>
          </cell>
        </row>
        <row r="463">
          <cell r="A463">
            <v>37973</v>
          </cell>
          <cell r="B463" t="str">
            <v>Facilities</v>
          </cell>
          <cell r="E463">
            <v>120.15000152588</v>
          </cell>
          <cell r="F463">
            <v>0</v>
          </cell>
          <cell r="G463">
            <v>0</v>
          </cell>
          <cell r="H463">
            <v>0</v>
          </cell>
          <cell r="I463">
            <v>0</v>
          </cell>
          <cell r="L463">
            <v>0</v>
          </cell>
          <cell r="M463">
            <v>0</v>
          </cell>
          <cell r="N463">
            <v>0</v>
          </cell>
          <cell r="S463">
            <v>0</v>
          </cell>
          <cell r="T463">
            <v>0</v>
          </cell>
          <cell r="U463">
            <v>0</v>
          </cell>
          <cell r="W463">
            <v>120.15</v>
          </cell>
          <cell r="X463">
            <v>0</v>
          </cell>
        </row>
        <row r="464">
          <cell r="A464">
            <v>37973</v>
          </cell>
          <cell r="B464" t="str">
            <v>Facilities</v>
          </cell>
          <cell r="E464">
            <v>20</v>
          </cell>
          <cell r="F464">
            <v>0</v>
          </cell>
          <cell r="G464">
            <v>0</v>
          </cell>
          <cell r="H464">
            <v>0</v>
          </cell>
          <cell r="I464">
            <v>0</v>
          </cell>
          <cell r="L464">
            <v>0</v>
          </cell>
          <cell r="M464">
            <v>0</v>
          </cell>
          <cell r="N464">
            <v>0</v>
          </cell>
          <cell r="S464">
            <v>0</v>
          </cell>
          <cell r="T464">
            <v>0</v>
          </cell>
          <cell r="U464">
            <v>0</v>
          </cell>
          <cell r="W464">
            <v>20</v>
          </cell>
          <cell r="X464">
            <v>0</v>
          </cell>
        </row>
        <row r="465">
          <cell r="A465">
            <v>37973</v>
          </cell>
          <cell r="B465" t="str">
            <v>SNOC</v>
          </cell>
          <cell r="E465">
            <v>21.299999237061002</v>
          </cell>
          <cell r="F465">
            <v>0</v>
          </cell>
          <cell r="G465">
            <v>0</v>
          </cell>
          <cell r="H465">
            <v>0</v>
          </cell>
          <cell r="I465">
            <v>0</v>
          </cell>
          <cell r="L465">
            <v>0</v>
          </cell>
          <cell r="M465">
            <v>0</v>
          </cell>
          <cell r="N465">
            <v>0</v>
          </cell>
          <cell r="S465">
            <v>0</v>
          </cell>
          <cell r="T465">
            <v>0</v>
          </cell>
          <cell r="U465">
            <v>0</v>
          </cell>
          <cell r="W465">
            <v>21.3</v>
          </cell>
          <cell r="X465">
            <v>0</v>
          </cell>
        </row>
        <row r="466">
          <cell r="A466">
            <v>37973</v>
          </cell>
          <cell r="B466" t="str">
            <v>Swat</v>
          </cell>
          <cell r="E466">
            <v>8</v>
          </cell>
          <cell r="F466">
            <v>0</v>
          </cell>
          <cell r="G466">
            <v>0</v>
          </cell>
          <cell r="H466">
            <v>0</v>
          </cell>
          <cell r="I466">
            <v>0</v>
          </cell>
          <cell r="L466">
            <v>0</v>
          </cell>
          <cell r="M466">
            <v>0</v>
          </cell>
          <cell r="N466">
            <v>0</v>
          </cell>
          <cell r="S466">
            <v>0</v>
          </cell>
          <cell r="T466">
            <v>0</v>
          </cell>
          <cell r="U466">
            <v>0</v>
          </cell>
          <cell r="W466">
            <v>8</v>
          </cell>
          <cell r="X466">
            <v>0</v>
          </cell>
        </row>
        <row r="467">
          <cell r="A467">
            <v>37973</v>
          </cell>
          <cell r="B467" t="str">
            <v>CustomerService</v>
          </cell>
          <cell r="E467">
            <v>14.5</v>
          </cell>
          <cell r="F467">
            <v>0</v>
          </cell>
          <cell r="G467">
            <v>0</v>
          </cell>
          <cell r="H467">
            <v>0</v>
          </cell>
          <cell r="I467">
            <v>0</v>
          </cell>
          <cell r="L467">
            <v>0</v>
          </cell>
          <cell r="M467">
            <v>0</v>
          </cell>
          <cell r="N467">
            <v>0</v>
          </cell>
          <cell r="S467">
            <v>0</v>
          </cell>
          <cell r="T467">
            <v>0</v>
          </cell>
          <cell r="U467">
            <v>0</v>
          </cell>
          <cell r="W467">
            <v>14.5</v>
          </cell>
          <cell r="X467">
            <v>0</v>
          </cell>
        </row>
        <row r="468">
          <cell r="A468">
            <v>37973</v>
          </cell>
          <cell r="B468" t="str">
            <v>CustomerService</v>
          </cell>
          <cell r="E468">
            <v>10</v>
          </cell>
          <cell r="F468">
            <v>0</v>
          </cell>
          <cell r="G468">
            <v>0</v>
          </cell>
          <cell r="H468">
            <v>0</v>
          </cell>
          <cell r="I468">
            <v>0</v>
          </cell>
          <cell r="L468">
            <v>0</v>
          </cell>
          <cell r="M468">
            <v>0</v>
          </cell>
          <cell r="N468">
            <v>0</v>
          </cell>
          <cell r="S468">
            <v>0</v>
          </cell>
          <cell r="T468">
            <v>0</v>
          </cell>
          <cell r="U468">
            <v>0</v>
          </cell>
          <cell r="W468">
            <v>10</v>
          </cell>
          <cell r="X468">
            <v>0</v>
          </cell>
        </row>
        <row r="469">
          <cell r="A469">
            <v>37972</v>
          </cell>
          <cell r="B469" t="str">
            <v>Vreturns</v>
          </cell>
          <cell r="E469">
            <v>47.416667938232003</v>
          </cell>
          <cell r="F469">
            <v>0</v>
          </cell>
          <cell r="G469">
            <v>12150</v>
          </cell>
          <cell r="H469">
            <v>0</v>
          </cell>
          <cell r="I469">
            <v>0</v>
          </cell>
          <cell r="L469">
            <v>0</v>
          </cell>
          <cell r="M469">
            <v>0</v>
          </cell>
          <cell r="N469">
            <v>0</v>
          </cell>
          <cell r="S469">
            <v>0</v>
          </cell>
          <cell r="T469">
            <v>0</v>
          </cell>
          <cell r="U469">
            <v>0</v>
          </cell>
          <cell r="W469">
            <v>0.41666799999999998</v>
          </cell>
          <cell r="X469">
            <v>0</v>
          </cell>
        </row>
        <row r="470">
          <cell r="A470">
            <v>37972</v>
          </cell>
          <cell r="B470" t="str">
            <v>Shipping</v>
          </cell>
          <cell r="E470">
            <v>1272.75</v>
          </cell>
          <cell r="F470">
            <v>0</v>
          </cell>
          <cell r="G470">
            <v>0</v>
          </cell>
          <cell r="H470">
            <v>0</v>
          </cell>
          <cell r="I470">
            <v>0</v>
          </cell>
          <cell r="L470">
            <v>0</v>
          </cell>
          <cell r="M470">
            <v>0</v>
          </cell>
          <cell r="N470">
            <v>0</v>
          </cell>
          <cell r="S470">
            <v>0</v>
          </cell>
          <cell r="T470">
            <v>0</v>
          </cell>
          <cell r="U470">
            <v>0</v>
          </cell>
          <cell r="W470">
            <v>-32.049999999999997</v>
          </cell>
          <cell r="X470">
            <v>30005</v>
          </cell>
        </row>
        <row r="471">
          <cell r="A471">
            <v>37972</v>
          </cell>
          <cell r="B471" t="str">
            <v>Autobox</v>
          </cell>
          <cell r="E471">
            <v>361.5</v>
          </cell>
          <cell r="F471">
            <v>12.5</v>
          </cell>
          <cell r="G471">
            <v>40627</v>
          </cell>
          <cell r="H471">
            <v>0</v>
          </cell>
          <cell r="I471">
            <v>0</v>
          </cell>
          <cell r="L471">
            <v>0</v>
          </cell>
          <cell r="M471">
            <v>0</v>
          </cell>
          <cell r="N471">
            <v>0</v>
          </cell>
          <cell r="S471">
            <v>0</v>
          </cell>
          <cell r="T471">
            <v>0</v>
          </cell>
          <cell r="U471">
            <v>0</v>
          </cell>
          <cell r="W471">
            <v>0</v>
          </cell>
          <cell r="X471">
            <v>0</v>
          </cell>
        </row>
        <row r="472">
          <cell r="A472">
            <v>37972</v>
          </cell>
          <cell r="B472" t="str">
            <v>Levimatic</v>
          </cell>
          <cell r="E472">
            <v>56</v>
          </cell>
          <cell r="F472">
            <v>0</v>
          </cell>
          <cell r="G472">
            <v>8712</v>
          </cell>
          <cell r="H472">
            <v>0</v>
          </cell>
          <cell r="I472">
            <v>0</v>
          </cell>
          <cell r="L472">
            <v>0</v>
          </cell>
          <cell r="M472">
            <v>0</v>
          </cell>
          <cell r="N472">
            <v>0</v>
          </cell>
          <cell r="S472">
            <v>0</v>
          </cell>
          <cell r="T472">
            <v>0</v>
          </cell>
          <cell r="U472">
            <v>0</v>
          </cell>
          <cell r="W472">
            <v>0</v>
          </cell>
          <cell r="X472">
            <v>0</v>
          </cell>
        </row>
        <row r="473">
          <cell r="A473">
            <v>37972</v>
          </cell>
          <cell r="B473" t="str">
            <v>Giftwrap</v>
          </cell>
          <cell r="E473">
            <v>463.79998779297</v>
          </cell>
          <cell r="F473">
            <v>0</v>
          </cell>
          <cell r="G473">
            <v>8708</v>
          </cell>
          <cell r="H473">
            <v>0</v>
          </cell>
          <cell r="I473">
            <v>0</v>
          </cell>
          <cell r="L473">
            <v>0</v>
          </cell>
          <cell r="M473">
            <v>0</v>
          </cell>
          <cell r="N473">
            <v>0</v>
          </cell>
          <cell r="S473">
            <v>0</v>
          </cell>
          <cell r="T473">
            <v>0</v>
          </cell>
          <cell r="U473">
            <v>0</v>
          </cell>
          <cell r="W473">
            <v>0</v>
          </cell>
          <cell r="X473">
            <v>8708</v>
          </cell>
        </row>
        <row r="474">
          <cell r="A474">
            <v>37972</v>
          </cell>
          <cell r="B474" t="str">
            <v>ShipSupport</v>
          </cell>
          <cell r="E474">
            <v>391.45000076294002</v>
          </cell>
          <cell r="F474">
            <v>81</v>
          </cell>
          <cell r="G474">
            <v>0</v>
          </cell>
          <cell r="H474">
            <v>0</v>
          </cell>
          <cell r="I474">
            <v>0</v>
          </cell>
          <cell r="L474">
            <v>0</v>
          </cell>
          <cell r="M474">
            <v>0</v>
          </cell>
          <cell r="N474">
            <v>0</v>
          </cell>
          <cell r="S474">
            <v>0</v>
          </cell>
          <cell r="T474">
            <v>0</v>
          </cell>
          <cell r="U474">
            <v>0</v>
          </cell>
          <cell r="W474">
            <v>-32.049999999999997</v>
          </cell>
          <cell r="X474">
            <v>0</v>
          </cell>
        </row>
        <row r="475">
          <cell r="A475">
            <v>37972</v>
          </cell>
          <cell r="B475" t="str">
            <v>Sortation</v>
          </cell>
          <cell r="E475">
            <v>916.28669738769997</v>
          </cell>
          <cell r="F475">
            <v>0</v>
          </cell>
          <cell r="G475">
            <v>0</v>
          </cell>
          <cell r="H475">
            <v>0</v>
          </cell>
          <cell r="I475">
            <v>0</v>
          </cell>
          <cell r="L475">
            <v>0</v>
          </cell>
          <cell r="M475">
            <v>0</v>
          </cell>
          <cell r="N475">
            <v>0</v>
          </cell>
          <cell r="S475">
            <v>0</v>
          </cell>
          <cell r="T475">
            <v>0</v>
          </cell>
          <cell r="U475">
            <v>0</v>
          </cell>
          <cell r="W475">
            <v>-83.883300000000006</v>
          </cell>
          <cell r="X475">
            <v>0</v>
          </cell>
        </row>
        <row r="476">
          <cell r="A476">
            <v>37972</v>
          </cell>
          <cell r="B476" t="str">
            <v>Rebin</v>
          </cell>
          <cell r="E476">
            <v>416</v>
          </cell>
          <cell r="F476">
            <v>60</v>
          </cell>
          <cell r="G476">
            <v>74624</v>
          </cell>
          <cell r="H476">
            <v>0</v>
          </cell>
          <cell r="I476">
            <v>0</v>
          </cell>
          <cell r="L476">
            <v>0</v>
          </cell>
          <cell r="M476">
            <v>0</v>
          </cell>
          <cell r="N476">
            <v>0</v>
          </cell>
          <cell r="S476">
            <v>0</v>
          </cell>
          <cell r="T476">
            <v>0</v>
          </cell>
          <cell r="U476">
            <v>0</v>
          </cell>
          <cell r="W476">
            <v>0</v>
          </cell>
          <cell r="X476">
            <v>0</v>
          </cell>
        </row>
        <row r="477">
          <cell r="A477">
            <v>37972</v>
          </cell>
          <cell r="B477" t="str">
            <v>Stack</v>
          </cell>
          <cell r="E477">
            <v>322</v>
          </cell>
          <cell r="F477">
            <v>0</v>
          </cell>
          <cell r="G477">
            <v>46357</v>
          </cell>
          <cell r="H477">
            <v>0</v>
          </cell>
          <cell r="I477">
            <v>0</v>
          </cell>
          <cell r="L477">
            <v>0</v>
          </cell>
          <cell r="M477">
            <v>0</v>
          </cell>
          <cell r="N477">
            <v>0</v>
          </cell>
          <cell r="S477">
            <v>4246</v>
          </cell>
          <cell r="T477">
            <v>0</v>
          </cell>
          <cell r="U477">
            <v>0</v>
          </cell>
          <cell r="W477">
            <v>0</v>
          </cell>
          <cell r="X477">
            <v>0</v>
          </cell>
        </row>
        <row r="478">
          <cell r="A478">
            <v>37972</v>
          </cell>
          <cell r="B478" t="str">
            <v>Bundler</v>
          </cell>
          <cell r="E478">
            <v>178.28671264648</v>
          </cell>
          <cell r="F478">
            <v>0</v>
          </cell>
          <cell r="G478">
            <v>46357</v>
          </cell>
          <cell r="H478">
            <v>0</v>
          </cell>
          <cell r="I478">
            <v>0</v>
          </cell>
          <cell r="L478">
            <v>0</v>
          </cell>
          <cell r="M478">
            <v>0</v>
          </cell>
          <cell r="N478">
            <v>0</v>
          </cell>
          <cell r="S478">
            <v>0</v>
          </cell>
          <cell r="T478">
            <v>0</v>
          </cell>
          <cell r="U478">
            <v>0</v>
          </cell>
          <cell r="W478">
            <v>-83.883300000000006</v>
          </cell>
          <cell r="X478">
            <v>18139</v>
          </cell>
        </row>
        <row r="479">
          <cell r="A479">
            <v>37972</v>
          </cell>
          <cell r="B479" t="str">
            <v>Sortation</v>
          </cell>
          <cell r="E479">
            <v>1086.8833618164001</v>
          </cell>
          <cell r="F479">
            <v>0</v>
          </cell>
          <cell r="G479">
            <v>0</v>
          </cell>
          <cell r="H479">
            <v>0</v>
          </cell>
          <cell r="I479">
            <v>0</v>
          </cell>
          <cell r="L479">
            <v>0</v>
          </cell>
          <cell r="M479">
            <v>0</v>
          </cell>
          <cell r="N479">
            <v>0</v>
          </cell>
          <cell r="S479">
            <v>0</v>
          </cell>
          <cell r="T479">
            <v>0</v>
          </cell>
          <cell r="U479">
            <v>0</v>
          </cell>
          <cell r="W479">
            <v>66.043300000000002</v>
          </cell>
          <cell r="X479">
            <v>0</v>
          </cell>
        </row>
        <row r="480">
          <cell r="A480">
            <v>37972</v>
          </cell>
          <cell r="B480" t="str">
            <v>Rebin</v>
          </cell>
          <cell r="E480">
            <v>369</v>
          </cell>
          <cell r="F480">
            <v>82</v>
          </cell>
          <cell r="G480">
            <v>72569</v>
          </cell>
          <cell r="H480">
            <v>0</v>
          </cell>
          <cell r="I480">
            <v>0</v>
          </cell>
          <cell r="L480">
            <v>0</v>
          </cell>
          <cell r="M480">
            <v>0</v>
          </cell>
          <cell r="N480">
            <v>0</v>
          </cell>
          <cell r="S480">
            <v>0</v>
          </cell>
          <cell r="T480">
            <v>0</v>
          </cell>
          <cell r="U480">
            <v>0</v>
          </cell>
          <cell r="W480">
            <v>0</v>
          </cell>
          <cell r="X480">
            <v>0</v>
          </cell>
        </row>
        <row r="481">
          <cell r="A481">
            <v>37972</v>
          </cell>
          <cell r="B481" t="str">
            <v>Stack</v>
          </cell>
          <cell r="E481">
            <v>369.5</v>
          </cell>
          <cell r="F481">
            <v>0</v>
          </cell>
          <cell r="G481">
            <v>56948</v>
          </cell>
          <cell r="H481">
            <v>0</v>
          </cell>
          <cell r="I481">
            <v>0</v>
          </cell>
          <cell r="L481">
            <v>0</v>
          </cell>
          <cell r="M481">
            <v>0</v>
          </cell>
          <cell r="N481">
            <v>0</v>
          </cell>
          <cell r="S481">
            <v>4400</v>
          </cell>
          <cell r="T481">
            <v>0</v>
          </cell>
          <cell r="U481">
            <v>0</v>
          </cell>
          <cell r="W481">
            <v>0</v>
          </cell>
          <cell r="X481">
            <v>0</v>
          </cell>
        </row>
        <row r="482">
          <cell r="A482">
            <v>37972</v>
          </cell>
          <cell r="B482" t="str">
            <v>Bundler</v>
          </cell>
          <cell r="E482">
            <v>348.38329315186002</v>
          </cell>
          <cell r="F482">
            <v>0</v>
          </cell>
          <cell r="G482">
            <v>56948</v>
          </cell>
          <cell r="H482">
            <v>0</v>
          </cell>
          <cell r="I482">
            <v>0</v>
          </cell>
          <cell r="L482">
            <v>0</v>
          </cell>
          <cell r="M482">
            <v>0</v>
          </cell>
          <cell r="N482">
            <v>0</v>
          </cell>
          <cell r="S482">
            <v>0</v>
          </cell>
          <cell r="T482">
            <v>0</v>
          </cell>
          <cell r="U482">
            <v>0</v>
          </cell>
          <cell r="W482">
            <v>66.043300000000002</v>
          </cell>
          <cell r="X482">
            <v>22054</v>
          </cell>
        </row>
        <row r="483">
          <cell r="A483">
            <v>37972</v>
          </cell>
          <cell r="B483" t="str">
            <v>InventoryControl</v>
          </cell>
          <cell r="E483">
            <v>215.69999694824</v>
          </cell>
          <cell r="F483">
            <v>0</v>
          </cell>
          <cell r="G483">
            <v>0</v>
          </cell>
          <cell r="H483">
            <v>0</v>
          </cell>
          <cell r="I483">
            <v>0</v>
          </cell>
          <cell r="L483">
            <v>0</v>
          </cell>
          <cell r="M483">
            <v>0</v>
          </cell>
          <cell r="N483">
            <v>0</v>
          </cell>
          <cell r="S483">
            <v>0</v>
          </cell>
          <cell r="T483">
            <v>0</v>
          </cell>
          <cell r="U483">
            <v>0</v>
          </cell>
          <cell r="W483">
            <v>0.279999</v>
          </cell>
          <cell r="X483">
            <v>0</v>
          </cell>
        </row>
        <row r="484">
          <cell r="A484">
            <v>37972</v>
          </cell>
          <cell r="B484" t="str">
            <v>QA</v>
          </cell>
          <cell r="E484">
            <v>80.449996948242003</v>
          </cell>
          <cell r="F484">
            <v>0</v>
          </cell>
          <cell r="G484">
            <v>0</v>
          </cell>
          <cell r="H484">
            <v>0</v>
          </cell>
          <cell r="I484">
            <v>0</v>
          </cell>
          <cell r="L484">
            <v>0</v>
          </cell>
          <cell r="M484">
            <v>0</v>
          </cell>
          <cell r="N484">
            <v>0</v>
          </cell>
          <cell r="S484">
            <v>0</v>
          </cell>
          <cell r="T484">
            <v>0</v>
          </cell>
          <cell r="U484">
            <v>0</v>
          </cell>
          <cell r="W484">
            <v>12.95</v>
          </cell>
          <cell r="X484">
            <v>0</v>
          </cell>
        </row>
        <row r="485">
          <cell r="A485">
            <v>37972</v>
          </cell>
          <cell r="B485" t="str">
            <v>CReturns</v>
          </cell>
          <cell r="E485">
            <v>10.299999237061</v>
          </cell>
          <cell r="F485">
            <v>0</v>
          </cell>
          <cell r="G485">
            <v>102</v>
          </cell>
          <cell r="H485">
            <v>0</v>
          </cell>
          <cell r="I485">
            <v>0</v>
          </cell>
          <cell r="L485">
            <v>0</v>
          </cell>
          <cell r="M485">
            <v>0</v>
          </cell>
          <cell r="N485">
            <v>0</v>
          </cell>
          <cell r="S485">
            <v>0</v>
          </cell>
          <cell r="T485">
            <v>0</v>
          </cell>
          <cell r="U485">
            <v>0</v>
          </cell>
          <cell r="W485">
            <v>8.3000000000000007</v>
          </cell>
          <cell r="X485">
            <v>0</v>
          </cell>
        </row>
        <row r="486">
          <cell r="A486">
            <v>37972</v>
          </cell>
          <cell r="B486" t="str">
            <v>Picking</v>
          </cell>
          <cell r="E486">
            <v>1223.6499023438</v>
          </cell>
          <cell r="F486">
            <v>0</v>
          </cell>
          <cell r="G486">
            <v>119544</v>
          </cell>
          <cell r="H486">
            <v>0</v>
          </cell>
          <cell r="I486">
            <v>0</v>
          </cell>
          <cell r="L486">
            <v>0</v>
          </cell>
          <cell r="M486">
            <v>0</v>
          </cell>
          <cell r="N486">
            <v>0</v>
          </cell>
          <cell r="S486">
            <v>0</v>
          </cell>
          <cell r="T486">
            <v>0</v>
          </cell>
          <cell r="U486">
            <v>0</v>
          </cell>
          <cell r="W486">
            <v>60.399900000000002</v>
          </cell>
          <cell r="X486">
            <v>0</v>
          </cell>
        </row>
        <row r="487">
          <cell r="A487">
            <v>37972</v>
          </cell>
          <cell r="B487" t="str">
            <v>Offsite1Receive</v>
          </cell>
          <cell r="E487">
            <v>152.13330078125</v>
          </cell>
          <cell r="F487">
            <v>22</v>
          </cell>
          <cell r="G487">
            <v>3908</v>
          </cell>
          <cell r="H487">
            <v>0</v>
          </cell>
          <cell r="I487">
            <v>0</v>
          </cell>
          <cell r="L487">
            <v>0</v>
          </cell>
          <cell r="M487">
            <v>0</v>
          </cell>
          <cell r="N487">
            <v>0</v>
          </cell>
          <cell r="S487">
            <v>0</v>
          </cell>
          <cell r="T487">
            <v>0</v>
          </cell>
          <cell r="U487">
            <v>0</v>
          </cell>
          <cell r="W487">
            <v>14.1333</v>
          </cell>
          <cell r="X487">
            <v>0</v>
          </cell>
        </row>
        <row r="488">
          <cell r="A488">
            <v>37972</v>
          </cell>
          <cell r="B488" t="str">
            <v>ManualVDF</v>
          </cell>
          <cell r="E488">
            <v>70</v>
          </cell>
          <cell r="F488">
            <v>0</v>
          </cell>
          <cell r="G488">
            <v>3331</v>
          </cell>
          <cell r="H488">
            <v>0</v>
          </cell>
          <cell r="I488">
            <v>0</v>
          </cell>
          <cell r="L488">
            <v>0</v>
          </cell>
          <cell r="M488">
            <v>0</v>
          </cell>
          <cell r="N488">
            <v>0</v>
          </cell>
          <cell r="S488">
            <v>0</v>
          </cell>
          <cell r="T488">
            <v>0</v>
          </cell>
          <cell r="U488">
            <v>0</v>
          </cell>
          <cell r="W488">
            <v>0</v>
          </cell>
          <cell r="X488">
            <v>3331</v>
          </cell>
        </row>
        <row r="489">
          <cell r="A489">
            <v>37972</v>
          </cell>
          <cell r="B489" t="str">
            <v>Offsite1Ship</v>
          </cell>
          <cell r="E489">
            <v>944</v>
          </cell>
          <cell r="F489">
            <v>128</v>
          </cell>
          <cell r="G489">
            <v>11503</v>
          </cell>
          <cell r="H489">
            <v>0</v>
          </cell>
          <cell r="I489">
            <v>0</v>
          </cell>
          <cell r="L489">
            <v>0</v>
          </cell>
          <cell r="M489">
            <v>0</v>
          </cell>
          <cell r="N489">
            <v>0</v>
          </cell>
          <cell r="S489">
            <v>0</v>
          </cell>
          <cell r="T489">
            <v>0</v>
          </cell>
          <cell r="U489">
            <v>0</v>
          </cell>
          <cell r="W489">
            <v>0</v>
          </cell>
          <cell r="X489">
            <v>0</v>
          </cell>
        </row>
        <row r="490">
          <cell r="A490">
            <v>37972</v>
          </cell>
          <cell r="B490" t="str">
            <v>Picking</v>
          </cell>
          <cell r="E490">
            <v>998.06665039062</v>
          </cell>
          <cell r="F490">
            <v>0</v>
          </cell>
          <cell r="G490">
            <v>81805</v>
          </cell>
          <cell r="H490">
            <v>0</v>
          </cell>
          <cell r="I490">
            <v>0</v>
          </cell>
          <cell r="L490">
            <v>0</v>
          </cell>
          <cell r="M490">
            <v>0</v>
          </cell>
          <cell r="N490">
            <v>0</v>
          </cell>
          <cell r="S490">
            <v>0</v>
          </cell>
          <cell r="T490">
            <v>0</v>
          </cell>
          <cell r="U490">
            <v>0</v>
          </cell>
          <cell r="W490">
            <v>-25.033300000000001</v>
          </cell>
          <cell r="X490">
            <v>0</v>
          </cell>
        </row>
        <row r="491">
          <cell r="A491">
            <v>37972</v>
          </cell>
          <cell r="B491" t="str">
            <v>BMV Receive</v>
          </cell>
          <cell r="E491">
            <v>160.72668457031</v>
          </cell>
          <cell r="F491">
            <v>13</v>
          </cell>
          <cell r="G491">
            <v>37736</v>
          </cell>
          <cell r="H491">
            <v>24591</v>
          </cell>
          <cell r="I491">
            <v>0</v>
          </cell>
          <cell r="L491">
            <v>135.75</v>
          </cell>
          <cell r="M491">
            <v>0</v>
          </cell>
          <cell r="N491">
            <v>10</v>
          </cell>
          <cell r="S491">
            <v>0</v>
          </cell>
          <cell r="T491">
            <v>43.5</v>
          </cell>
          <cell r="U491">
            <v>0</v>
          </cell>
          <cell r="W491">
            <v>1.97668</v>
          </cell>
          <cell r="X491">
            <v>0</v>
          </cell>
        </row>
        <row r="492">
          <cell r="A492">
            <v>37972</v>
          </cell>
          <cell r="B492" t="str">
            <v>BMV Stow</v>
          </cell>
          <cell r="E492">
            <v>128.96000671387</v>
          </cell>
          <cell r="F492">
            <v>0</v>
          </cell>
          <cell r="G492">
            <v>39995</v>
          </cell>
          <cell r="H492">
            <v>27476</v>
          </cell>
          <cell r="I492">
            <v>12519</v>
          </cell>
          <cell r="L492">
            <v>107.21</v>
          </cell>
          <cell r="M492">
            <v>21.75</v>
          </cell>
          <cell r="N492">
            <v>0</v>
          </cell>
          <cell r="S492">
            <v>0</v>
          </cell>
          <cell r="T492">
            <v>0</v>
          </cell>
          <cell r="U492">
            <v>0</v>
          </cell>
          <cell r="W492">
            <v>0</v>
          </cell>
          <cell r="X492">
            <v>0</v>
          </cell>
        </row>
        <row r="493">
          <cell r="A493">
            <v>37972</v>
          </cell>
          <cell r="B493" t="str">
            <v>BMV Receive</v>
          </cell>
          <cell r="E493">
            <v>344.08331298828</v>
          </cell>
          <cell r="F493">
            <v>103.8</v>
          </cell>
          <cell r="G493">
            <v>110769</v>
          </cell>
          <cell r="H493">
            <v>83222</v>
          </cell>
          <cell r="I493">
            <v>0</v>
          </cell>
          <cell r="L493">
            <v>281.7</v>
          </cell>
          <cell r="M493">
            <v>0</v>
          </cell>
          <cell r="N493">
            <v>27</v>
          </cell>
          <cell r="S493">
            <v>0</v>
          </cell>
          <cell r="T493">
            <v>98.8</v>
          </cell>
          <cell r="U493">
            <v>0</v>
          </cell>
          <cell r="W493">
            <v>-68.416700000000006</v>
          </cell>
          <cell r="X493">
            <v>0</v>
          </cell>
        </row>
        <row r="494">
          <cell r="A494">
            <v>37972</v>
          </cell>
          <cell r="B494" t="str">
            <v>Shipping</v>
          </cell>
          <cell r="E494">
            <v>797.51666259766</v>
          </cell>
          <cell r="F494">
            <v>0</v>
          </cell>
          <cell r="G494">
            <v>0</v>
          </cell>
          <cell r="H494">
            <v>0</v>
          </cell>
          <cell r="I494">
            <v>0</v>
          </cell>
          <cell r="L494">
            <v>0</v>
          </cell>
          <cell r="M494">
            <v>0</v>
          </cell>
          <cell r="N494">
            <v>0</v>
          </cell>
          <cell r="S494">
            <v>0</v>
          </cell>
          <cell r="T494">
            <v>0</v>
          </cell>
          <cell r="U494">
            <v>0</v>
          </cell>
          <cell r="W494">
            <v>14.0167</v>
          </cell>
          <cell r="X494">
            <v>18377</v>
          </cell>
        </row>
        <row r="495">
          <cell r="A495">
            <v>37972</v>
          </cell>
          <cell r="B495" t="str">
            <v>Autobox</v>
          </cell>
          <cell r="E495">
            <v>208</v>
          </cell>
          <cell r="F495">
            <v>68</v>
          </cell>
          <cell r="G495">
            <v>38262</v>
          </cell>
          <cell r="H495">
            <v>0</v>
          </cell>
          <cell r="I495">
            <v>0</v>
          </cell>
          <cell r="L495">
            <v>0</v>
          </cell>
          <cell r="M495">
            <v>0</v>
          </cell>
          <cell r="N495">
            <v>0</v>
          </cell>
          <cell r="S495">
            <v>0</v>
          </cell>
          <cell r="T495">
            <v>0</v>
          </cell>
          <cell r="U495">
            <v>0</v>
          </cell>
          <cell r="W495">
            <v>0</v>
          </cell>
          <cell r="X495">
            <v>0</v>
          </cell>
        </row>
        <row r="496">
          <cell r="A496">
            <v>37972</v>
          </cell>
          <cell r="B496" t="str">
            <v>Levimatic</v>
          </cell>
          <cell r="E496">
            <v>30</v>
          </cell>
          <cell r="F496">
            <v>10</v>
          </cell>
          <cell r="G496">
            <v>6304</v>
          </cell>
          <cell r="H496">
            <v>0</v>
          </cell>
          <cell r="I496">
            <v>0</v>
          </cell>
          <cell r="L496">
            <v>0</v>
          </cell>
          <cell r="M496">
            <v>0</v>
          </cell>
          <cell r="N496">
            <v>0</v>
          </cell>
          <cell r="S496">
            <v>0</v>
          </cell>
          <cell r="T496">
            <v>0</v>
          </cell>
          <cell r="U496">
            <v>0</v>
          </cell>
          <cell r="W496">
            <v>0</v>
          </cell>
          <cell r="X496">
            <v>4003</v>
          </cell>
        </row>
        <row r="497">
          <cell r="A497">
            <v>37972</v>
          </cell>
          <cell r="B497" t="str">
            <v>Giftwrap</v>
          </cell>
          <cell r="E497">
            <v>230</v>
          </cell>
          <cell r="F497">
            <v>0</v>
          </cell>
          <cell r="G497">
            <v>4636</v>
          </cell>
          <cell r="H497">
            <v>0</v>
          </cell>
          <cell r="I497">
            <v>0</v>
          </cell>
          <cell r="L497">
            <v>0</v>
          </cell>
          <cell r="M497">
            <v>0</v>
          </cell>
          <cell r="N497">
            <v>0</v>
          </cell>
          <cell r="S497">
            <v>0</v>
          </cell>
          <cell r="T497">
            <v>0</v>
          </cell>
          <cell r="U497">
            <v>0</v>
          </cell>
          <cell r="W497">
            <v>0</v>
          </cell>
          <cell r="X497">
            <v>0</v>
          </cell>
        </row>
        <row r="498">
          <cell r="A498">
            <v>37972</v>
          </cell>
          <cell r="B498" t="str">
            <v>ShipSupport</v>
          </cell>
          <cell r="E498">
            <v>329.51669979094999</v>
          </cell>
          <cell r="F498">
            <v>62</v>
          </cell>
          <cell r="G498">
            <v>0</v>
          </cell>
          <cell r="H498">
            <v>0</v>
          </cell>
          <cell r="I498">
            <v>0</v>
          </cell>
          <cell r="L498">
            <v>0</v>
          </cell>
          <cell r="M498">
            <v>0</v>
          </cell>
          <cell r="N498">
            <v>0</v>
          </cell>
          <cell r="S498">
            <v>0</v>
          </cell>
          <cell r="T498">
            <v>0</v>
          </cell>
          <cell r="U498">
            <v>0</v>
          </cell>
          <cell r="W498">
            <v>14.0167</v>
          </cell>
          <cell r="X498">
            <v>0</v>
          </cell>
        </row>
        <row r="499">
          <cell r="A499">
            <v>37972</v>
          </cell>
          <cell r="B499" t="str">
            <v>Replenishment</v>
          </cell>
          <cell r="E499">
            <v>137.11000061035</v>
          </cell>
          <cell r="F499">
            <v>0</v>
          </cell>
          <cell r="G499">
            <v>32914</v>
          </cell>
          <cell r="H499">
            <v>0</v>
          </cell>
          <cell r="I499">
            <v>0</v>
          </cell>
          <cell r="L499">
            <v>0</v>
          </cell>
          <cell r="M499">
            <v>0</v>
          </cell>
          <cell r="N499">
            <v>0</v>
          </cell>
          <cell r="S499">
            <v>0</v>
          </cell>
          <cell r="T499">
            <v>0</v>
          </cell>
          <cell r="U499">
            <v>0</v>
          </cell>
          <cell r="W499">
            <v>0</v>
          </cell>
          <cell r="X499">
            <v>0</v>
          </cell>
        </row>
        <row r="500">
          <cell r="A500">
            <v>37972</v>
          </cell>
          <cell r="B500" t="str">
            <v>BMV Stow</v>
          </cell>
          <cell r="E500">
            <v>459</v>
          </cell>
          <cell r="F500">
            <v>0</v>
          </cell>
          <cell r="G500">
            <v>117145</v>
          </cell>
          <cell r="H500">
            <v>88642</v>
          </cell>
          <cell r="I500">
            <v>28503</v>
          </cell>
          <cell r="L500">
            <v>427</v>
          </cell>
          <cell r="M500">
            <v>32</v>
          </cell>
          <cell r="N500">
            <v>0</v>
          </cell>
          <cell r="S500">
            <v>0</v>
          </cell>
          <cell r="T500">
            <v>0</v>
          </cell>
          <cell r="U500">
            <v>0</v>
          </cell>
          <cell r="W500">
            <v>0</v>
          </cell>
          <cell r="X500">
            <v>0</v>
          </cell>
        </row>
        <row r="501">
          <cell r="A501">
            <v>37972</v>
          </cell>
          <cell r="B501" t="str">
            <v>Replenishment</v>
          </cell>
          <cell r="E501">
            <v>179.75</v>
          </cell>
          <cell r="F501">
            <v>0</v>
          </cell>
          <cell r="G501">
            <v>45390</v>
          </cell>
          <cell r="H501">
            <v>0</v>
          </cell>
          <cell r="I501">
            <v>0</v>
          </cell>
          <cell r="L501">
            <v>0</v>
          </cell>
          <cell r="M501">
            <v>0</v>
          </cell>
          <cell r="N501">
            <v>0</v>
          </cell>
          <cell r="S501">
            <v>0</v>
          </cell>
          <cell r="T501">
            <v>0</v>
          </cell>
          <cell r="U501">
            <v>0</v>
          </cell>
          <cell r="W501">
            <v>0</v>
          </cell>
          <cell r="X501">
            <v>0</v>
          </cell>
        </row>
        <row r="502">
          <cell r="A502">
            <v>37972</v>
          </cell>
          <cell r="B502" t="str">
            <v>Office</v>
          </cell>
          <cell r="E502">
            <v>140.56666564941</v>
          </cell>
          <cell r="F502">
            <v>0</v>
          </cell>
          <cell r="G502">
            <v>0</v>
          </cell>
          <cell r="H502">
            <v>0</v>
          </cell>
          <cell r="I502">
            <v>0</v>
          </cell>
          <cell r="L502">
            <v>0</v>
          </cell>
          <cell r="M502">
            <v>0</v>
          </cell>
          <cell r="N502">
            <v>0</v>
          </cell>
          <cell r="S502">
            <v>0</v>
          </cell>
          <cell r="T502">
            <v>0</v>
          </cell>
          <cell r="U502">
            <v>0</v>
          </cell>
          <cell r="W502">
            <v>140.56700000000001</v>
          </cell>
          <cell r="X502">
            <v>0</v>
          </cell>
        </row>
        <row r="503">
          <cell r="A503">
            <v>37972</v>
          </cell>
          <cell r="B503" t="str">
            <v>Training</v>
          </cell>
          <cell r="E503">
            <v>0</v>
          </cell>
          <cell r="F503">
            <v>0</v>
          </cell>
          <cell r="G503">
            <v>0</v>
          </cell>
          <cell r="H503">
            <v>0</v>
          </cell>
          <cell r="I503">
            <v>0</v>
          </cell>
          <cell r="L503">
            <v>0</v>
          </cell>
          <cell r="M503">
            <v>0</v>
          </cell>
          <cell r="N503">
            <v>0</v>
          </cell>
          <cell r="S503">
            <v>0</v>
          </cell>
          <cell r="T503">
            <v>0</v>
          </cell>
          <cell r="U503">
            <v>0</v>
          </cell>
          <cell r="W503">
            <v>0</v>
          </cell>
          <cell r="X503">
            <v>0</v>
          </cell>
        </row>
        <row r="504">
          <cell r="A504">
            <v>37972</v>
          </cell>
          <cell r="B504" t="str">
            <v>ManualVDF</v>
          </cell>
          <cell r="E504">
            <v>0</v>
          </cell>
          <cell r="F504">
            <v>0</v>
          </cell>
          <cell r="G504">
            <v>0</v>
          </cell>
          <cell r="H504">
            <v>0</v>
          </cell>
          <cell r="I504">
            <v>0</v>
          </cell>
          <cell r="L504">
            <v>0</v>
          </cell>
          <cell r="M504">
            <v>0</v>
          </cell>
          <cell r="N504">
            <v>0</v>
          </cell>
          <cell r="S504">
            <v>0</v>
          </cell>
          <cell r="T504">
            <v>0</v>
          </cell>
          <cell r="U504">
            <v>0</v>
          </cell>
          <cell r="W504">
            <v>0</v>
          </cell>
          <cell r="X504">
            <v>0</v>
          </cell>
        </row>
        <row r="505">
          <cell r="A505">
            <v>37972</v>
          </cell>
          <cell r="B505" t="str">
            <v>Training</v>
          </cell>
          <cell r="E505">
            <v>0</v>
          </cell>
          <cell r="F505">
            <v>0</v>
          </cell>
          <cell r="G505">
            <v>0</v>
          </cell>
          <cell r="H505">
            <v>0</v>
          </cell>
          <cell r="I505">
            <v>0</v>
          </cell>
          <cell r="L505">
            <v>0</v>
          </cell>
          <cell r="M505">
            <v>0</v>
          </cell>
          <cell r="N505">
            <v>0</v>
          </cell>
          <cell r="S505">
            <v>0</v>
          </cell>
          <cell r="T505">
            <v>0</v>
          </cell>
          <cell r="U505">
            <v>0</v>
          </cell>
          <cell r="W505">
            <v>0</v>
          </cell>
          <cell r="X505">
            <v>0</v>
          </cell>
        </row>
        <row r="506">
          <cell r="A506">
            <v>37972</v>
          </cell>
          <cell r="B506" t="str">
            <v>Office</v>
          </cell>
          <cell r="E506">
            <v>32.849998474121001</v>
          </cell>
          <cell r="F506">
            <v>0</v>
          </cell>
          <cell r="G506">
            <v>0</v>
          </cell>
          <cell r="H506">
            <v>0</v>
          </cell>
          <cell r="I506">
            <v>0</v>
          </cell>
          <cell r="L506">
            <v>0</v>
          </cell>
          <cell r="M506">
            <v>0</v>
          </cell>
          <cell r="N506">
            <v>0</v>
          </cell>
          <cell r="S506">
            <v>0</v>
          </cell>
          <cell r="T506">
            <v>0</v>
          </cell>
          <cell r="U506">
            <v>0</v>
          </cell>
          <cell r="W506">
            <v>32.85</v>
          </cell>
          <cell r="X506">
            <v>0</v>
          </cell>
        </row>
        <row r="507">
          <cell r="A507">
            <v>37972</v>
          </cell>
          <cell r="B507" t="str">
            <v>QA</v>
          </cell>
          <cell r="E507">
            <v>39.233333587646001</v>
          </cell>
          <cell r="F507">
            <v>0</v>
          </cell>
          <cell r="G507">
            <v>0</v>
          </cell>
          <cell r="H507">
            <v>0</v>
          </cell>
          <cell r="I507">
            <v>0</v>
          </cell>
          <cell r="L507">
            <v>0</v>
          </cell>
          <cell r="M507">
            <v>0</v>
          </cell>
          <cell r="N507">
            <v>0</v>
          </cell>
          <cell r="S507">
            <v>0</v>
          </cell>
          <cell r="T507">
            <v>0</v>
          </cell>
          <cell r="U507">
            <v>0</v>
          </cell>
          <cell r="W507">
            <v>39.2333</v>
          </cell>
          <cell r="X507">
            <v>0</v>
          </cell>
        </row>
        <row r="508">
          <cell r="A508">
            <v>37972</v>
          </cell>
          <cell r="B508" t="str">
            <v>Vreturns</v>
          </cell>
          <cell r="E508">
            <v>0</v>
          </cell>
          <cell r="F508">
            <v>0</v>
          </cell>
          <cell r="G508">
            <v>0</v>
          </cell>
          <cell r="H508">
            <v>0</v>
          </cell>
          <cell r="I508">
            <v>0</v>
          </cell>
          <cell r="L508">
            <v>0</v>
          </cell>
          <cell r="M508">
            <v>0</v>
          </cell>
          <cell r="N508">
            <v>0</v>
          </cell>
          <cell r="S508">
            <v>0</v>
          </cell>
          <cell r="T508">
            <v>0</v>
          </cell>
          <cell r="U508">
            <v>0</v>
          </cell>
          <cell r="W508">
            <v>0</v>
          </cell>
          <cell r="X508">
            <v>0</v>
          </cell>
        </row>
        <row r="509">
          <cell r="A509">
            <v>37972</v>
          </cell>
          <cell r="B509" t="str">
            <v>Facilities</v>
          </cell>
          <cell r="E509">
            <v>141.26666259766</v>
          </cell>
          <cell r="F509">
            <v>0</v>
          </cell>
          <cell r="G509">
            <v>0</v>
          </cell>
          <cell r="H509">
            <v>0</v>
          </cell>
          <cell r="I509">
            <v>0</v>
          </cell>
          <cell r="L509">
            <v>0</v>
          </cell>
          <cell r="M509">
            <v>0</v>
          </cell>
          <cell r="N509">
            <v>0</v>
          </cell>
          <cell r="S509">
            <v>0</v>
          </cell>
          <cell r="T509">
            <v>0</v>
          </cell>
          <cell r="U509">
            <v>0</v>
          </cell>
          <cell r="W509">
            <v>141.267</v>
          </cell>
          <cell r="X509">
            <v>0</v>
          </cell>
        </row>
        <row r="510">
          <cell r="A510">
            <v>37972</v>
          </cell>
          <cell r="B510" t="str">
            <v>Facilities</v>
          </cell>
          <cell r="E510">
            <v>19.89999961853</v>
          </cell>
          <cell r="F510">
            <v>0</v>
          </cell>
          <cell r="G510">
            <v>0</v>
          </cell>
          <cell r="H510">
            <v>0</v>
          </cell>
          <cell r="I510">
            <v>0</v>
          </cell>
          <cell r="L510">
            <v>0</v>
          </cell>
          <cell r="M510">
            <v>0</v>
          </cell>
          <cell r="N510">
            <v>0</v>
          </cell>
          <cell r="S510">
            <v>0</v>
          </cell>
          <cell r="T510">
            <v>0</v>
          </cell>
          <cell r="U510">
            <v>0</v>
          </cell>
          <cell r="W510">
            <v>19.899999999999999</v>
          </cell>
          <cell r="X510">
            <v>0</v>
          </cell>
        </row>
        <row r="511">
          <cell r="A511">
            <v>37972</v>
          </cell>
          <cell r="B511" t="str">
            <v>SNOC</v>
          </cell>
          <cell r="E511">
            <v>21.316667556763001</v>
          </cell>
          <cell r="F511">
            <v>0</v>
          </cell>
          <cell r="G511">
            <v>0</v>
          </cell>
          <cell r="H511">
            <v>0</v>
          </cell>
          <cell r="I511">
            <v>0</v>
          </cell>
          <cell r="L511">
            <v>0</v>
          </cell>
          <cell r="M511">
            <v>0</v>
          </cell>
          <cell r="N511">
            <v>0</v>
          </cell>
          <cell r="S511">
            <v>0</v>
          </cell>
          <cell r="T511">
            <v>0</v>
          </cell>
          <cell r="U511">
            <v>0</v>
          </cell>
          <cell r="W511">
            <v>21.316700000000001</v>
          </cell>
          <cell r="X511">
            <v>0</v>
          </cell>
        </row>
        <row r="512">
          <cell r="A512">
            <v>37972</v>
          </cell>
          <cell r="B512" t="str">
            <v>Swat</v>
          </cell>
          <cell r="E512">
            <v>8</v>
          </cell>
          <cell r="F512">
            <v>0</v>
          </cell>
          <cell r="G512">
            <v>0</v>
          </cell>
          <cell r="H512">
            <v>0</v>
          </cell>
          <cell r="I512">
            <v>0</v>
          </cell>
          <cell r="L512">
            <v>0</v>
          </cell>
          <cell r="M512">
            <v>0</v>
          </cell>
          <cell r="N512">
            <v>0</v>
          </cell>
          <cell r="S512">
            <v>0</v>
          </cell>
          <cell r="T512">
            <v>0</v>
          </cell>
          <cell r="U512">
            <v>0</v>
          </cell>
          <cell r="W512">
            <v>8</v>
          </cell>
          <cell r="X512">
            <v>0</v>
          </cell>
        </row>
        <row r="513">
          <cell r="A513">
            <v>37972</v>
          </cell>
          <cell r="B513" t="str">
            <v>CustomerService</v>
          </cell>
          <cell r="E513">
            <v>17.39999961853</v>
          </cell>
          <cell r="F513">
            <v>0</v>
          </cell>
          <cell r="G513">
            <v>0</v>
          </cell>
          <cell r="H513">
            <v>0</v>
          </cell>
          <cell r="I513">
            <v>0</v>
          </cell>
          <cell r="L513">
            <v>0</v>
          </cell>
          <cell r="M513">
            <v>0</v>
          </cell>
          <cell r="N513">
            <v>0</v>
          </cell>
          <cell r="S513">
            <v>0</v>
          </cell>
          <cell r="T513">
            <v>0</v>
          </cell>
          <cell r="U513">
            <v>0</v>
          </cell>
          <cell r="W513">
            <v>17.399999999999999</v>
          </cell>
          <cell r="X513">
            <v>0</v>
          </cell>
        </row>
        <row r="514">
          <cell r="A514">
            <v>37972</v>
          </cell>
          <cell r="B514" t="str">
            <v>CustomerService</v>
          </cell>
          <cell r="E514">
            <v>10</v>
          </cell>
          <cell r="F514">
            <v>0</v>
          </cell>
          <cell r="G514">
            <v>0</v>
          </cell>
          <cell r="H514">
            <v>0</v>
          </cell>
          <cell r="I514">
            <v>0</v>
          </cell>
          <cell r="L514">
            <v>0</v>
          </cell>
          <cell r="M514">
            <v>0</v>
          </cell>
          <cell r="N514">
            <v>0</v>
          </cell>
          <cell r="S514">
            <v>0</v>
          </cell>
          <cell r="T514">
            <v>0</v>
          </cell>
          <cell r="U514">
            <v>0</v>
          </cell>
          <cell r="W514">
            <v>10</v>
          </cell>
          <cell r="X514">
            <v>0</v>
          </cell>
        </row>
        <row r="515">
          <cell r="A515">
            <v>37972</v>
          </cell>
          <cell r="B515" t="str">
            <v>Offsite1Receive</v>
          </cell>
          <cell r="E515">
            <v>34</v>
          </cell>
          <cell r="F515">
            <v>0</v>
          </cell>
          <cell r="G515">
            <v>0</v>
          </cell>
          <cell r="H515">
            <v>0</v>
          </cell>
          <cell r="I515">
            <v>0</v>
          </cell>
          <cell r="L515">
            <v>0</v>
          </cell>
          <cell r="M515">
            <v>0</v>
          </cell>
          <cell r="N515">
            <v>0</v>
          </cell>
          <cell r="S515">
            <v>0</v>
          </cell>
          <cell r="T515">
            <v>0</v>
          </cell>
          <cell r="U515">
            <v>0</v>
          </cell>
          <cell r="W515">
            <v>34</v>
          </cell>
          <cell r="X515">
            <v>0</v>
          </cell>
        </row>
        <row r="516">
          <cell r="A516">
            <v>37971</v>
          </cell>
          <cell r="B516" t="str">
            <v>Vreturns</v>
          </cell>
          <cell r="E516">
            <v>92.583332061768004</v>
          </cell>
          <cell r="F516">
            <v>0</v>
          </cell>
          <cell r="G516">
            <v>8948</v>
          </cell>
          <cell r="H516">
            <v>0</v>
          </cell>
          <cell r="I516">
            <v>0</v>
          </cell>
          <cell r="L516">
            <v>0</v>
          </cell>
          <cell r="M516">
            <v>0</v>
          </cell>
          <cell r="N516">
            <v>0</v>
          </cell>
          <cell r="S516">
            <v>0</v>
          </cell>
          <cell r="T516">
            <v>0</v>
          </cell>
          <cell r="U516">
            <v>0</v>
          </cell>
          <cell r="W516">
            <v>3.5833300000000001</v>
          </cell>
          <cell r="X516">
            <v>0</v>
          </cell>
        </row>
        <row r="517">
          <cell r="A517">
            <v>37971</v>
          </cell>
          <cell r="B517" t="str">
            <v>Shipping</v>
          </cell>
          <cell r="E517">
            <v>1309.5666503906</v>
          </cell>
          <cell r="F517">
            <v>0</v>
          </cell>
          <cell r="G517">
            <v>0</v>
          </cell>
          <cell r="H517">
            <v>0</v>
          </cell>
          <cell r="I517">
            <v>0</v>
          </cell>
          <cell r="L517">
            <v>0</v>
          </cell>
          <cell r="M517">
            <v>0</v>
          </cell>
          <cell r="N517">
            <v>0</v>
          </cell>
          <cell r="S517">
            <v>0</v>
          </cell>
          <cell r="T517">
            <v>0</v>
          </cell>
          <cell r="U517">
            <v>0</v>
          </cell>
          <cell r="W517">
            <v>40.066699999999997</v>
          </cell>
          <cell r="X517">
            <v>22836</v>
          </cell>
        </row>
        <row r="518">
          <cell r="A518">
            <v>37971</v>
          </cell>
          <cell r="B518" t="str">
            <v>Autobox</v>
          </cell>
          <cell r="E518">
            <v>380.75</v>
          </cell>
          <cell r="F518">
            <v>11.5</v>
          </cell>
          <cell r="G518">
            <v>40013</v>
          </cell>
          <cell r="H518">
            <v>0</v>
          </cell>
          <cell r="I518">
            <v>0</v>
          </cell>
          <cell r="L518">
            <v>0</v>
          </cell>
          <cell r="M518">
            <v>0</v>
          </cell>
          <cell r="N518">
            <v>0</v>
          </cell>
          <cell r="S518">
            <v>0</v>
          </cell>
          <cell r="T518">
            <v>0</v>
          </cell>
          <cell r="U518">
            <v>0</v>
          </cell>
          <cell r="W518">
            <v>0</v>
          </cell>
          <cell r="X518">
            <v>0</v>
          </cell>
        </row>
        <row r="519">
          <cell r="A519">
            <v>37971</v>
          </cell>
          <cell r="B519" t="str">
            <v>Levimatic</v>
          </cell>
          <cell r="E519">
            <v>55</v>
          </cell>
          <cell r="F519">
            <v>0</v>
          </cell>
          <cell r="G519">
            <v>9471</v>
          </cell>
          <cell r="H519">
            <v>0</v>
          </cell>
          <cell r="I519">
            <v>0</v>
          </cell>
          <cell r="L519">
            <v>0</v>
          </cell>
          <cell r="M519">
            <v>0</v>
          </cell>
          <cell r="N519">
            <v>0</v>
          </cell>
          <cell r="S519">
            <v>0</v>
          </cell>
          <cell r="T519">
            <v>0</v>
          </cell>
          <cell r="U519">
            <v>0</v>
          </cell>
          <cell r="W519">
            <v>0</v>
          </cell>
          <cell r="X519">
            <v>0</v>
          </cell>
        </row>
        <row r="520">
          <cell r="A520">
            <v>37971</v>
          </cell>
          <cell r="B520" t="str">
            <v>Giftwrap</v>
          </cell>
          <cell r="E520">
            <v>455.5</v>
          </cell>
          <cell r="F520">
            <v>0</v>
          </cell>
          <cell r="G520">
            <v>8854</v>
          </cell>
          <cell r="H520">
            <v>0</v>
          </cell>
          <cell r="I520">
            <v>0</v>
          </cell>
          <cell r="L520">
            <v>0</v>
          </cell>
          <cell r="M520">
            <v>0</v>
          </cell>
          <cell r="N520">
            <v>0</v>
          </cell>
          <cell r="S520">
            <v>0</v>
          </cell>
          <cell r="T520">
            <v>0</v>
          </cell>
          <cell r="U520">
            <v>0</v>
          </cell>
          <cell r="W520">
            <v>0</v>
          </cell>
          <cell r="X520">
            <v>8854</v>
          </cell>
        </row>
        <row r="521">
          <cell r="A521">
            <v>37971</v>
          </cell>
          <cell r="B521" t="str">
            <v>ShipSupport</v>
          </cell>
          <cell r="E521">
            <v>418.31669998169002</v>
          </cell>
          <cell r="F521">
            <v>70.5</v>
          </cell>
          <cell r="G521">
            <v>0</v>
          </cell>
          <cell r="H521">
            <v>0</v>
          </cell>
          <cell r="I521">
            <v>0</v>
          </cell>
          <cell r="L521">
            <v>0</v>
          </cell>
          <cell r="M521">
            <v>0</v>
          </cell>
          <cell r="N521">
            <v>0</v>
          </cell>
          <cell r="S521">
            <v>0</v>
          </cell>
          <cell r="T521">
            <v>0</v>
          </cell>
          <cell r="U521">
            <v>0</v>
          </cell>
          <cell r="W521">
            <v>40.066699999999997</v>
          </cell>
          <cell r="X521">
            <v>0</v>
          </cell>
        </row>
        <row r="522">
          <cell r="A522">
            <v>37971</v>
          </cell>
          <cell r="B522" t="str">
            <v>Sortation</v>
          </cell>
          <cell r="E522">
            <v>941.11657714844</v>
          </cell>
          <cell r="F522">
            <v>0</v>
          </cell>
          <cell r="G522">
            <v>0</v>
          </cell>
          <cell r="H522">
            <v>0</v>
          </cell>
          <cell r="I522">
            <v>0</v>
          </cell>
          <cell r="L522">
            <v>0</v>
          </cell>
          <cell r="M522">
            <v>0</v>
          </cell>
          <cell r="N522">
            <v>0</v>
          </cell>
          <cell r="S522">
            <v>0</v>
          </cell>
          <cell r="T522">
            <v>0</v>
          </cell>
          <cell r="U522">
            <v>0</v>
          </cell>
          <cell r="W522">
            <v>92.616600000000005</v>
          </cell>
          <cell r="X522">
            <v>0</v>
          </cell>
        </row>
        <row r="523">
          <cell r="A523">
            <v>37971</v>
          </cell>
          <cell r="B523" t="str">
            <v>Rebin</v>
          </cell>
          <cell r="E523">
            <v>368.5</v>
          </cell>
          <cell r="F523">
            <v>60.5</v>
          </cell>
          <cell r="G523">
            <v>67381</v>
          </cell>
          <cell r="H523">
            <v>0</v>
          </cell>
          <cell r="I523">
            <v>0</v>
          </cell>
          <cell r="L523">
            <v>0</v>
          </cell>
          <cell r="M523">
            <v>0</v>
          </cell>
          <cell r="N523">
            <v>0</v>
          </cell>
          <cell r="S523">
            <v>0</v>
          </cell>
          <cell r="T523">
            <v>0</v>
          </cell>
          <cell r="U523">
            <v>0</v>
          </cell>
          <cell r="W523">
            <v>0</v>
          </cell>
          <cell r="X523">
            <v>0</v>
          </cell>
        </row>
        <row r="524">
          <cell r="A524">
            <v>37971</v>
          </cell>
          <cell r="B524" t="str">
            <v>Stack</v>
          </cell>
          <cell r="E524">
            <v>300</v>
          </cell>
          <cell r="F524">
            <v>0</v>
          </cell>
          <cell r="G524">
            <v>42644</v>
          </cell>
          <cell r="H524">
            <v>0</v>
          </cell>
          <cell r="I524">
            <v>0</v>
          </cell>
          <cell r="L524">
            <v>0</v>
          </cell>
          <cell r="M524">
            <v>0</v>
          </cell>
          <cell r="N524">
            <v>0</v>
          </cell>
          <cell r="S524">
            <v>4254</v>
          </cell>
          <cell r="T524">
            <v>0</v>
          </cell>
          <cell r="U524">
            <v>0</v>
          </cell>
          <cell r="W524">
            <v>0</v>
          </cell>
          <cell r="X524">
            <v>0</v>
          </cell>
        </row>
        <row r="525">
          <cell r="A525">
            <v>37971</v>
          </cell>
          <cell r="B525" t="str">
            <v>Bundler</v>
          </cell>
          <cell r="E525">
            <v>272.61660003662001</v>
          </cell>
          <cell r="F525">
            <v>0</v>
          </cell>
          <cell r="G525">
            <v>42644</v>
          </cell>
          <cell r="H525">
            <v>0</v>
          </cell>
          <cell r="I525">
            <v>0</v>
          </cell>
          <cell r="L525">
            <v>0</v>
          </cell>
          <cell r="M525">
            <v>0</v>
          </cell>
          <cell r="N525">
            <v>0</v>
          </cell>
          <cell r="S525">
            <v>0</v>
          </cell>
          <cell r="T525">
            <v>0</v>
          </cell>
          <cell r="U525">
            <v>0</v>
          </cell>
          <cell r="W525">
            <v>92.616600000000005</v>
          </cell>
          <cell r="X525">
            <v>16495</v>
          </cell>
        </row>
        <row r="526">
          <cell r="A526">
            <v>37971</v>
          </cell>
          <cell r="B526" t="str">
            <v>QA</v>
          </cell>
          <cell r="E526">
            <v>50</v>
          </cell>
          <cell r="F526">
            <v>0</v>
          </cell>
          <cell r="G526">
            <v>0</v>
          </cell>
          <cell r="H526">
            <v>0</v>
          </cell>
          <cell r="I526">
            <v>0</v>
          </cell>
          <cell r="L526">
            <v>0</v>
          </cell>
          <cell r="M526">
            <v>0</v>
          </cell>
          <cell r="N526">
            <v>0</v>
          </cell>
          <cell r="S526">
            <v>0</v>
          </cell>
          <cell r="T526">
            <v>0</v>
          </cell>
          <cell r="U526">
            <v>0</v>
          </cell>
          <cell r="W526">
            <v>50</v>
          </cell>
          <cell r="X526">
            <v>0</v>
          </cell>
        </row>
        <row r="527">
          <cell r="A527">
            <v>37971</v>
          </cell>
          <cell r="B527" t="str">
            <v>Shipping</v>
          </cell>
          <cell r="E527">
            <v>860.26666259766</v>
          </cell>
          <cell r="F527">
            <v>0</v>
          </cell>
          <cell r="G527">
            <v>0</v>
          </cell>
          <cell r="H527">
            <v>0</v>
          </cell>
          <cell r="I527">
            <v>0</v>
          </cell>
          <cell r="L527">
            <v>0</v>
          </cell>
          <cell r="M527">
            <v>0</v>
          </cell>
          <cell r="N527">
            <v>0</v>
          </cell>
          <cell r="S527">
            <v>0</v>
          </cell>
          <cell r="T527">
            <v>0</v>
          </cell>
          <cell r="U527">
            <v>0</v>
          </cell>
          <cell r="W527">
            <v>71.2667</v>
          </cell>
          <cell r="X527">
            <v>34467</v>
          </cell>
        </row>
        <row r="528">
          <cell r="A528">
            <v>37971</v>
          </cell>
          <cell r="B528" t="str">
            <v>Autobox</v>
          </cell>
          <cell r="E528">
            <v>210</v>
          </cell>
          <cell r="F528">
            <v>90</v>
          </cell>
          <cell r="G528">
            <v>33699</v>
          </cell>
          <cell r="H528">
            <v>0</v>
          </cell>
          <cell r="I528">
            <v>0</v>
          </cell>
          <cell r="L528">
            <v>0</v>
          </cell>
          <cell r="M528">
            <v>0</v>
          </cell>
          <cell r="N528">
            <v>0</v>
          </cell>
          <cell r="S528">
            <v>0</v>
          </cell>
          <cell r="T528">
            <v>0</v>
          </cell>
          <cell r="U528">
            <v>0</v>
          </cell>
          <cell r="W528">
            <v>0</v>
          </cell>
          <cell r="X528">
            <v>0</v>
          </cell>
        </row>
        <row r="529">
          <cell r="A529">
            <v>37971</v>
          </cell>
          <cell r="B529" t="str">
            <v>Levimatic</v>
          </cell>
          <cell r="E529">
            <v>25</v>
          </cell>
          <cell r="F529">
            <v>16</v>
          </cell>
          <cell r="G529">
            <v>5694</v>
          </cell>
          <cell r="H529">
            <v>0</v>
          </cell>
          <cell r="I529">
            <v>0</v>
          </cell>
          <cell r="L529">
            <v>0</v>
          </cell>
          <cell r="M529">
            <v>0</v>
          </cell>
          <cell r="N529">
            <v>0</v>
          </cell>
          <cell r="S529">
            <v>0</v>
          </cell>
          <cell r="T529">
            <v>0</v>
          </cell>
          <cell r="U529">
            <v>0</v>
          </cell>
          <cell r="W529">
            <v>0</v>
          </cell>
          <cell r="X529">
            <v>0</v>
          </cell>
        </row>
        <row r="530">
          <cell r="A530">
            <v>37971</v>
          </cell>
          <cell r="B530" t="str">
            <v>Giftwrap</v>
          </cell>
          <cell r="E530">
            <v>280</v>
          </cell>
          <cell r="F530">
            <v>0</v>
          </cell>
          <cell r="G530">
            <v>4386</v>
          </cell>
          <cell r="H530">
            <v>0</v>
          </cell>
          <cell r="I530">
            <v>0</v>
          </cell>
          <cell r="L530">
            <v>0</v>
          </cell>
          <cell r="M530">
            <v>0</v>
          </cell>
          <cell r="N530">
            <v>0</v>
          </cell>
          <cell r="S530">
            <v>0</v>
          </cell>
          <cell r="T530">
            <v>0</v>
          </cell>
          <cell r="U530">
            <v>0</v>
          </cell>
          <cell r="W530">
            <v>0</v>
          </cell>
          <cell r="X530">
            <v>0</v>
          </cell>
        </row>
        <row r="531">
          <cell r="A531">
            <v>37971</v>
          </cell>
          <cell r="B531" t="str">
            <v>ShipSupport</v>
          </cell>
          <cell r="E531">
            <v>345.26670074462999</v>
          </cell>
          <cell r="F531">
            <v>94</v>
          </cell>
          <cell r="G531">
            <v>0</v>
          </cell>
          <cell r="H531">
            <v>0</v>
          </cell>
          <cell r="I531">
            <v>0</v>
          </cell>
          <cell r="L531">
            <v>0</v>
          </cell>
          <cell r="M531">
            <v>0</v>
          </cell>
          <cell r="N531">
            <v>0</v>
          </cell>
          <cell r="S531">
            <v>0</v>
          </cell>
          <cell r="T531">
            <v>0</v>
          </cell>
          <cell r="U531">
            <v>0</v>
          </cell>
          <cell r="W531">
            <v>71.2667</v>
          </cell>
          <cell r="X531">
            <v>0</v>
          </cell>
        </row>
        <row r="532">
          <cell r="A532">
            <v>37971</v>
          </cell>
          <cell r="B532" t="str">
            <v>CReturns</v>
          </cell>
          <cell r="E532">
            <v>13</v>
          </cell>
          <cell r="F532">
            <v>0</v>
          </cell>
          <cell r="G532">
            <v>170</v>
          </cell>
          <cell r="H532">
            <v>0</v>
          </cell>
          <cell r="I532">
            <v>0</v>
          </cell>
          <cell r="L532">
            <v>0</v>
          </cell>
          <cell r="M532">
            <v>0</v>
          </cell>
          <cell r="N532">
            <v>0</v>
          </cell>
          <cell r="S532">
            <v>0</v>
          </cell>
          <cell r="T532">
            <v>0</v>
          </cell>
          <cell r="U532">
            <v>0</v>
          </cell>
          <cell r="W532">
            <v>8</v>
          </cell>
          <cell r="X532">
            <v>0</v>
          </cell>
        </row>
        <row r="533">
          <cell r="A533">
            <v>37971</v>
          </cell>
          <cell r="B533" t="str">
            <v>InventoryControl</v>
          </cell>
          <cell r="E533">
            <v>185.06666564941</v>
          </cell>
          <cell r="F533">
            <v>0</v>
          </cell>
          <cell r="G533">
            <v>0</v>
          </cell>
          <cell r="H533">
            <v>0</v>
          </cell>
          <cell r="I533">
            <v>0</v>
          </cell>
          <cell r="L533">
            <v>0</v>
          </cell>
          <cell r="M533">
            <v>0</v>
          </cell>
          <cell r="N533">
            <v>0</v>
          </cell>
          <cell r="S533">
            <v>0</v>
          </cell>
          <cell r="T533">
            <v>0</v>
          </cell>
          <cell r="U533">
            <v>0</v>
          </cell>
          <cell r="W533">
            <v>3.7666599999999999</v>
          </cell>
          <cell r="X533">
            <v>0</v>
          </cell>
        </row>
        <row r="534">
          <cell r="A534">
            <v>37971</v>
          </cell>
          <cell r="B534" t="str">
            <v>QA</v>
          </cell>
          <cell r="E534">
            <v>136.51666259766</v>
          </cell>
          <cell r="F534">
            <v>0</v>
          </cell>
          <cell r="G534">
            <v>0</v>
          </cell>
          <cell r="H534">
            <v>0</v>
          </cell>
          <cell r="I534">
            <v>0</v>
          </cell>
          <cell r="L534">
            <v>0</v>
          </cell>
          <cell r="M534">
            <v>0</v>
          </cell>
          <cell r="N534">
            <v>0</v>
          </cell>
          <cell r="S534">
            <v>0</v>
          </cell>
          <cell r="T534">
            <v>0</v>
          </cell>
          <cell r="U534">
            <v>0</v>
          </cell>
          <cell r="W534">
            <v>22.5167</v>
          </cell>
          <cell r="X534">
            <v>0</v>
          </cell>
        </row>
        <row r="535">
          <cell r="A535">
            <v>37971</v>
          </cell>
          <cell r="B535" t="str">
            <v>Offsite1Receive</v>
          </cell>
          <cell r="E535">
            <v>134.26672363281</v>
          </cell>
          <cell r="F535">
            <v>24</v>
          </cell>
          <cell r="G535">
            <v>5996</v>
          </cell>
          <cell r="H535">
            <v>237</v>
          </cell>
          <cell r="I535">
            <v>0</v>
          </cell>
          <cell r="L535">
            <v>3</v>
          </cell>
          <cell r="M535">
            <v>0</v>
          </cell>
          <cell r="N535">
            <v>0</v>
          </cell>
          <cell r="S535">
            <v>0</v>
          </cell>
          <cell r="T535">
            <v>0</v>
          </cell>
          <cell r="U535">
            <v>0</v>
          </cell>
          <cell r="W535">
            <v>13.666700000000001</v>
          </cell>
          <cell r="X535">
            <v>0</v>
          </cell>
        </row>
        <row r="536">
          <cell r="A536">
            <v>37971</v>
          </cell>
          <cell r="B536" t="str">
            <v>Sortation</v>
          </cell>
          <cell r="E536">
            <v>1098.6666259766</v>
          </cell>
          <cell r="F536">
            <v>0</v>
          </cell>
          <cell r="G536">
            <v>0</v>
          </cell>
          <cell r="H536">
            <v>0</v>
          </cell>
          <cell r="I536">
            <v>0</v>
          </cell>
          <cell r="L536">
            <v>0</v>
          </cell>
          <cell r="M536">
            <v>0</v>
          </cell>
          <cell r="N536">
            <v>0</v>
          </cell>
          <cell r="S536">
            <v>0</v>
          </cell>
          <cell r="T536">
            <v>0</v>
          </cell>
          <cell r="U536">
            <v>0</v>
          </cell>
          <cell r="W536">
            <v>3.8665799999999999</v>
          </cell>
          <cell r="X536">
            <v>0</v>
          </cell>
        </row>
        <row r="537">
          <cell r="A537">
            <v>37971</v>
          </cell>
          <cell r="B537" t="str">
            <v>Rebin</v>
          </cell>
          <cell r="E537">
            <v>359.5</v>
          </cell>
          <cell r="F537">
            <v>82.5</v>
          </cell>
          <cell r="G537">
            <v>75886</v>
          </cell>
          <cell r="H537">
            <v>0</v>
          </cell>
          <cell r="I537">
            <v>0</v>
          </cell>
          <cell r="L537">
            <v>0</v>
          </cell>
          <cell r="M537">
            <v>0</v>
          </cell>
          <cell r="N537">
            <v>0</v>
          </cell>
          <cell r="S537">
            <v>0</v>
          </cell>
          <cell r="T537">
            <v>0</v>
          </cell>
          <cell r="U537">
            <v>0</v>
          </cell>
          <cell r="W537">
            <v>0</v>
          </cell>
          <cell r="X537">
            <v>0</v>
          </cell>
        </row>
        <row r="538">
          <cell r="A538">
            <v>37971</v>
          </cell>
          <cell r="B538" t="str">
            <v>Stack</v>
          </cell>
          <cell r="E538">
            <v>387</v>
          </cell>
          <cell r="F538">
            <v>0</v>
          </cell>
          <cell r="G538">
            <v>58647</v>
          </cell>
          <cell r="H538">
            <v>0</v>
          </cell>
          <cell r="I538">
            <v>0</v>
          </cell>
          <cell r="L538">
            <v>0</v>
          </cell>
          <cell r="M538">
            <v>0</v>
          </cell>
          <cell r="N538">
            <v>0</v>
          </cell>
          <cell r="S538">
            <v>1875</v>
          </cell>
          <cell r="T538">
            <v>0</v>
          </cell>
          <cell r="U538">
            <v>0</v>
          </cell>
          <cell r="W538">
            <v>0</v>
          </cell>
          <cell r="X538">
            <v>0</v>
          </cell>
        </row>
        <row r="539">
          <cell r="A539">
            <v>37971</v>
          </cell>
          <cell r="B539" t="str">
            <v>Bundler</v>
          </cell>
          <cell r="E539">
            <v>352.16656780243</v>
          </cell>
          <cell r="F539">
            <v>0</v>
          </cell>
          <cell r="G539">
            <v>58647</v>
          </cell>
          <cell r="H539">
            <v>0</v>
          </cell>
          <cell r="I539">
            <v>0</v>
          </cell>
          <cell r="L539">
            <v>0</v>
          </cell>
          <cell r="M539">
            <v>0</v>
          </cell>
          <cell r="N539">
            <v>0</v>
          </cell>
          <cell r="S539">
            <v>0</v>
          </cell>
          <cell r="T539">
            <v>0</v>
          </cell>
          <cell r="U539">
            <v>0</v>
          </cell>
          <cell r="W539">
            <v>3.8665799999999999</v>
          </cell>
          <cell r="X539">
            <v>21493</v>
          </cell>
        </row>
        <row r="540">
          <cell r="A540">
            <v>37971</v>
          </cell>
          <cell r="B540" t="str">
            <v>BMV Receive</v>
          </cell>
          <cell r="E540">
            <v>410.73333740234</v>
          </cell>
          <cell r="F540">
            <v>117.96</v>
          </cell>
          <cell r="G540">
            <v>108208</v>
          </cell>
          <cell r="H540">
            <v>60855</v>
          </cell>
          <cell r="I540">
            <v>0</v>
          </cell>
          <cell r="L540">
            <v>311.5</v>
          </cell>
          <cell r="M540">
            <v>0</v>
          </cell>
          <cell r="N540">
            <v>42</v>
          </cell>
          <cell r="S540">
            <v>0</v>
          </cell>
          <cell r="T540">
            <v>72</v>
          </cell>
          <cell r="U540">
            <v>0</v>
          </cell>
          <cell r="W540">
            <v>-60.726700000000001</v>
          </cell>
          <cell r="X540">
            <v>0</v>
          </cell>
        </row>
        <row r="541">
          <cell r="A541">
            <v>37971</v>
          </cell>
          <cell r="B541" t="str">
            <v>BMV Stow</v>
          </cell>
          <cell r="E541">
            <v>295</v>
          </cell>
          <cell r="F541">
            <v>0</v>
          </cell>
          <cell r="G541">
            <v>78690</v>
          </cell>
          <cell r="H541">
            <v>63497</v>
          </cell>
          <cell r="I541">
            <v>15193</v>
          </cell>
          <cell r="L541">
            <v>257</v>
          </cell>
          <cell r="M541">
            <v>38</v>
          </cell>
          <cell r="N541">
            <v>0</v>
          </cell>
          <cell r="S541">
            <v>0</v>
          </cell>
          <cell r="T541">
            <v>0</v>
          </cell>
          <cell r="U541">
            <v>0</v>
          </cell>
          <cell r="W541">
            <v>0</v>
          </cell>
          <cell r="X541">
            <v>0</v>
          </cell>
        </row>
        <row r="542">
          <cell r="A542">
            <v>37971</v>
          </cell>
          <cell r="B542" t="str">
            <v>Picking</v>
          </cell>
          <cell r="E542">
            <v>1154.3666992188</v>
          </cell>
          <cell r="F542">
            <v>0</v>
          </cell>
          <cell r="G542">
            <v>113801</v>
          </cell>
          <cell r="H542">
            <v>0</v>
          </cell>
          <cell r="I542">
            <v>0</v>
          </cell>
          <cell r="L542">
            <v>0</v>
          </cell>
          <cell r="M542">
            <v>0</v>
          </cell>
          <cell r="N542">
            <v>0</v>
          </cell>
          <cell r="S542">
            <v>0</v>
          </cell>
          <cell r="T542">
            <v>0</v>
          </cell>
          <cell r="U542">
            <v>0</v>
          </cell>
          <cell r="W542">
            <v>126.867</v>
          </cell>
          <cell r="X542">
            <v>0</v>
          </cell>
        </row>
        <row r="543">
          <cell r="A543">
            <v>37971</v>
          </cell>
          <cell r="B543" t="str">
            <v>Replenishment</v>
          </cell>
          <cell r="E543">
            <v>227.5</v>
          </cell>
          <cell r="F543">
            <v>0</v>
          </cell>
          <cell r="G543">
            <v>35360</v>
          </cell>
          <cell r="H543">
            <v>0</v>
          </cell>
          <cell r="I543">
            <v>0</v>
          </cell>
          <cell r="L543">
            <v>0</v>
          </cell>
          <cell r="M543">
            <v>0</v>
          </cell>
          <cell r="N543">
            <v>0</v>
          </cell>
          <cell r="S543">
            <v>0</v>
          </cell>
          <cell r="T543">
            <v>0</v>
          </cell>
          <cell r="U543">
            <v>0</v>
          </cell>
          <cell r="W543">
            <v>0</v>
          </cell>
          <cell r="X543">
            <v>0</v>
          </cell>
        </row>
        <row r="544">
          <cell r="A544">
            <v>37971</v>
          </cell>
          <cell r="B544" t="str">
            <v>ManualVDF</v>
          </cell>
          <cell r="E544">
            <v>10</v>
          </cell>
          <cell r="F544">
            <v>0</v>
          </cell>
          <cell r="G544">
            <v>302</v>
          </cell>
          <cell r="H544">
            <v>0</v>
          </cell>
          <cell r="I544">
            <v>0</v>
          </cell>
          <cell r="L544">
            <v>0</v>
          </cell>
          <cell r="M544">
            <v>0</v>
          </cell>
          <cell r="N544">
            <v>0</v>
          </cell>
          <cell r="S544">
            <v>0</v>
          </cell>
          <cell r="T544">
            <v>0</v>
          </cell>
          <cell r="U544">
            <v>0</v>
          </cell>
          <cell r="W544">
            <v>0</v>
          </cell>
          <cell r="X544">
            <v>302</v>
          </cell>
        </row>
        <row r="545">
          <cell r="A545">
            <v>37971</v>
          </cell>
          <cell r="B545" t="str">
            <v>Offsite1Ship</v>
          </cell>
          <cell r="E545">
            <v>967</v>
          </cell>
          <cell r="F545">
            <v>100</v>
          </cell>
          <cell r="G545">
            <v>9789</v>
          </cell>
          <cell r="H545">
            <v>0</v>
          </cell>
          <cell r="I545">
            <v>0</v>
          </cell>
          <cell r="L545">
            <v>0</v>
          </cell>
          <cell r="M545">
            <v>0</v>
          </cell>
          <cell r="N545">
            <v>0</v>
          </cell>
          <cell r="S545">
            <v>0</v>
          </cell>
          <cell r="T545">
            <v>0</v>
          </cell>
          <cell r="U545">
            <v>0</v>
          </cell>
          <cell r="W545">
            <v>0</v>
          </cell>
          <cell r="X545">
            <v>0</v>
          </cell>
        </row>
        <row r="546">
          <cell r="A546">
            <v>37971</v>
          </cell>
          <cell r="B546" t="str">
            <v>BMV Receive</v>
          </cell>
          <cell r="E546">
            <v>166.28668212891</v>
          </cell>
          <cell r="F546">
            <v>3</v>
          </cell>
          <cell r="G546">
            <v>41747</v>
          </cell>
          <cell r="H546">
            <v>27046</v>
          </cell>
          <cell r="I546">
            <v>0</v>
          </cell>
          <cell r="L546">
            <v>143</v>
          </cell>
          <cell r="M546">
            <v>0</v>
          </cell>
          <cell r="N546">
            <v>10</v>
          </cell>
          <cell r="S546">
            <v>0</v>
          </cell>
          <cell r="T546">
            <v>30</v>
          </cell>
          <cell r="U546">
            <v>0</v>
          </cell>
          <cell r="W546">
            <v>10.2867</v>
          </cell>
          <cell r="X546">
            <v>0</v>
          </cell>
        </row>
        <row r="547">
          <cell r="A547">
            <v>37971</v>
          </cell>
          <cell r="B547" t="str">
            <v>Picking</v>
          </cell>
          <cell r="E547">
            <v>1077.3499755859</v>
          </cell>
          <cell r="F547">
            <v>0</v>
          </cell>
          <cell r="G547">
            <v>78098</v>
          </cell>
          <cell r="H547">
            <v>0</v>
          </cell>
          <cell r="I547">
            <v>0</v>
          </cell>
          <cell r="L547">
            <v>0</v>
          </cell>
          <cell r="M547">
            <v>0</v>
          </cell>
          <cell r="N547">
            <v>0</v>
          </cell>
          <cell r="S547">
            <v>0</v>
          </cell>
          <cell r="T547">
            <v>0</v>
          </cell>
          <cell r="U547">
            <v>0</v>
          </cell>
          <cell r="W547">
            <v>61.1</v>
          </cell>
          <cell r="X547">
            <v>0</v>
          </cell>
        </row>
        <row r="548">
          <cell r="A548">
            <v>37971</v>
          </cell>
          <cell r="B548" t="str">
            <v>BMV Stow</v>
          </cell>
          <cell r="E548">
            <v>136</v>
          </cell>
          <cell r="F548">
            <v>0</v>
          </cell>
          <cell r="G548">
            <v>46014</v>
          </cell>
          <cell r="H548">
            <v>32901</v>
          </cell>
          <cell r="I548">
            <v>13113</v>
          </cell>
          <cell r="L548">
            <v>120</v>
          </cell>
          <cell r="M548">
            <v>16</v>
          </cell>
          <cell r="N548">
            <v>0</v>
          </cell>
          <cell r="S548">
            <v>0</v>
          </cell>
          <cell r="T548">
            <v>0</v>
          </cell>
          <cell r="U548">
            <v>0</v>
          </cell>
          <cell r="W548">
            <v>0</v>
          </cell>
          <cell r="X548">
            <v>0</v>
          </cell>
        </row>
        <row r="549">
          <cell r="A549">
            <v>37971</v>
          </cell>
          <cell r="B549" t="str">
            <v>Replenishment</v>
          </cell>
          <cell r="E549">
            <v>148.42999267578</v>
          </cell>
          <cell r="F549">
            <v>0</v>
          </cell>
          <cell r="G549">
            <v>35251</v>
          </cell>
          <cell r="H549">
            <v>0</v>
          </cell>
          <cell r="I549">
            <v>0</v>
          </cell>
          <cell r="L549">
            <v>0</v>
          </cell>
          <cell r="M549">
            <v>0</v>
          </cell>
          <cell r="N549">
            <v>0</v>
          </cell>
          <cell r="S549">
            <v>0</v>
          </cell>
          <cell r="T549">
            <v>0</v>
          </cell>
          <cell r="U549">
            <v>0</v>
          </cell>
          <cell r="W549">
            <v>-0.140015</v>
          </cell>
          <cell r="X549">
            <v>0</v>
          </cell>
        </row>
        <row r="550">
          <cell r="A550">
            <v>37971</v>
          </cell>
          <cell r="B550" t="str">
            <v>Training</v>
          </cell>
          <cell r="E550">
            <v>0</v>
          </cell>
          <cell r="F550">
            <v>0</v>
          </cell>
          <cell r="G550">
            <v>0</v>
          </cell>
          <cell r="H550">
            <v>0</v>
          </cell>
          <cell r="I550">
            <v>0</v>
          </cell>
          <cell r="L550">
            <v>0</v>
          </cell>
          <cell r="M550">
            <v>0</v>
          </cell>
          <cell r="N550">
            <v>0</v>
          </cell>
          <cell r="S550">
            <v>0</v>
          </cell>
          <cell r="T550">
            <v>0</v>
          </cell>
          <cell r="U550">
            <v>0</v>
          </cell>
          <cell r="W550">
            <v>0</v>
          </cell>
          <cell r="X550">
            <v>0</v>
          </cell>
        </row>
        <row r="551">
          <cell r="A551">
            <v>37971</v>
          </cell>
          <cell r="B551" t="str">
            <v>Training</v>
          </cell>
          <cell r="E551">
            <v>0</v>
          </cell>
          <cell r="F551">
            <v>0</v>
          </cell>
          <cell r="G551">
            <v>0</v>
          </cell>
          <cell r="H551">
            <v>0</v>
          </cell>
          <cell r="I551">
            <v>0</v>
          </cell>
          <cell r="L551">
            <v>0</v>
          </cell>
          <cell r="M551">
            <v>0</v>
          </cell>
          <cell r="N551">
            <v>0</v>
          </cell>
          <cell r="S551">
            <v>0</v>
          </cell>
          <cell r="T551">
            <v>0</v>
          </cell>
          <cell r="U551">
            <v>0</v>
          </cell>
          <cell r="W551">
            <v>0</v>
          </cell>
          <cell r="X551">
            <v>0</v>
          </cell>
        </row>
        <row r="552">
          <cell r="A552">
            <v>37971</v>
          </cell>
          <cell r="B552" t="str">
            <v>Office</v>
          </cell>
          <cell r="E552">
            <v>117.38333129883</v>
          </cell>
          <cell r="F552">
            <v>0</v>
          </cell>
          <cell r="G552">
            <v>0</v>
          </cell>
          <cell r="H552">
            <v>0</v>
          </cell>
          <cell r="I552">
            <v>0</v>
          </cell>
          <cell r="L552">
            <v>0</v>
          </cell>
          <cell r="M552">
            <v>0</v>
          </cell>
          <cell r="N552">
            <v>0</v>
          </cell>
          <cell r="S552">
            <v>0</v>
          </cell>
          <cell r="T552">
            <v>0</v>
          </cell>
          <cell r="U552">
            <v>0</v>
          </cell>
          <cell r="W552">
            <v>117.383</v>
          </cell>
          <cell r="X552">
            <v>0</v>
          </cell>
        </row>
        <row r="553">
          <cell r="A553">
            <v>37971</v>
          </cell>
          <cell r="B553" t="str">
            <v>Office</v>
          </cell>
          <cell r="E553">
            <v>33.25</v>
          </cell>
          <cell r="F553">
            <v>0</v>
          </cell>
          <cell r="G553">
            <v>0</v>
          </cell>
          <cell r="H553">
            <v>0</v>
          </cell>
          <cell r="I553">
            <v>0</v>
          </cell>
          <cell r="L553">
            <v>0</v>
          </cell>
          <cell r="M553">
            <v>0</v>
          </cell>
          <cell r="N553">
            <v>0</v>
          </cell>
          <cell r="S553">
            <v>0</v>
          </cell>
          <cell r="T553">
            <v>0</v>
          </cell>
          <cell r="U553">
            <v>0</v>
          </cell>
          <cell r="W553">
            <v>33.25</v>
          </cell>
          <cell r="X553">
            <v>0</v>
          </cell>
        </row>
        <row r="554">
          <cell r="A554">
            <v>37971</v>
          </cell>
          <cell r="B554" t="str">
            <v>Offsite1Receive</v>
          </cell>
          <cell r="E554">
            <v>0</v>
          </cell>
          <cell r="F554">
            <v>0</v>
          </cell>
          <cell r="G554">
            <v>0</v>
          </cell>
          <cell r="H554">
            <v>0</v>
          </cell>
          <cell r="I554">
            <v>0</v>
          </cell>
          <cell r="L554">
            <v>0</v>
          </cell>
          <cell r="M554">
            <v>0</v>
          </cell>
          <cell r="N554">
            <v>0</v>
          </cell>
          <cell r="S554">
            <v>0</v>
          </cell>
          <cell r="T554">
            <v>0</v>
          </cell>
          <cell r="U554">
            <v>0</v>
          </cell>
          <cell r="W554">
            <v>0</v>
          </cell>
          <cell r="X554">
            <v>0</v>
          </cell>
        </row>
        <row r="555">
          <cell r="A555">
            <v>37971</v>
          </cell>
          <cell r="B555" t="str">
            <v>Vreturns</v>
          </cell>
          <cell r="E555">
            <v>10</v>
          </cell>
          <cell r="F555">
            <v>0</v>
          </cell>
          <cell r="G555">
            <v>0</v>
          </cell>
          <cell r="H555">
            <v>0</v>
          </cell>
          <cell r="I555">
            <v>0</v>
          </cell>
          <cell r="L555">
            <v>0</v>
          </cell>
          <cell r="M555">
            <v>0</v>
          </cell>
          <cell r="N555">
            <v>0</v>
          </cell>
          <cell r="S555">
            <v>0</v>
          </cell>
          <cell r="T555">
            <v>0</v>
          </cell>
          <cell r="U555">
            <v>0</v>
          </cell>
          <cell r="W555">
            <v>10</v>
          </cell>
          <cell r="X555">
            <v>0</v>
          </cell>
        </row>
        <row r="556">
          <cell r="A556">
            <v>37971</v>
          </cell>
          <cell r="B556" t="str">
            <v>Facilities</v>
          </cell>
          <cell r="E556">
            <v>106.70000457764</v>
          </cell>
          <cell r="F556">
            <v>0</v>
          </cell>
          <cell r="G556">
            <v>0</v>
          </cell>
          <cell r="H556">
            <v>0</v>
          </cell>
          <cell r="I556">
            <v>0</v>
          </cell>
          <cell r="L556">
            <v>0</v>
          </cell>
          <cell r="M556">
            <v>0</v>
          </cell>
          <cell r="N556">
            <v>0</v>
          </cell>
          <cell r="S556">
            <v>0</v>
          </cell>
          <cell r="T556">
            <v>0</v>
          </cell>
          <cell r="U556">
            <v>0</v>
          </cell>
          <cell r="W556">
            <v>106.7</v>
          </cell>
          <cell r="X556">
            <v>0</v>
          </cell>
        </row>
        <row r="557">
          <cell r="A557">
            <v>37971</v>
          </cell>
          <cell r="B557" t="str">
            <v>Facilities</v>
          </cell>
          <cell r="E557">
            <v>10</v>
          </cell>
          <cell r="F557">
            <v>0</v>
          </cell>
          <cell r="G557">
            <v>0</v>
          </cell>
          <cell r="H557">
            <v>0</v>
          </cell>
          <cell r="I557">
            <v>0</v>
          </cell>
          <cell r="L557">
            <v>0</v>
          </cell>
          <cell r="M557">
            <v>0</v>
          </cell>
          <cell r="N557">
            <v>0</v>
          </cell>
          <cell r="S557">
            <v>0</v>
          </cell>
          <cell r="T557">
            <v>0</v>
          </cell>
          <cell r="U557">
            <v>0</v>
          </cell>
          <cell r="W557">
            <v>10</v>
          </cell>
          <cell r="X557">
            <v>0</v>
          </cell>
        </row>
        <row r="558">
          <cell r="A558">
            <v>37971</v>
          </cell>
          <cell r="B558" t="str">
            <v>SNOC</v>
          </cell>
          <cell r="E558">
            <v>20.700000762938998</v>
          </cell>
          <cell r="F558">
            <v>0</v>
          </cell>
          <cell r="G558">
            <v>0</v>
          </cell>
          <cell r="H558">
            <v>0</v>
          </cell>
          <cell r="I558">
            <v>0</v>
          </cell>
          <cell r="L558">
            <v>0</v>
          </cell>
          <cell r="M558">
            <v>0</v>
          </cell>
          <cell r="N558">
            <v>0</v>
          </cell>
          <cell r="S558">
            <v>0</v>
          </cell>
          <cell r="T558">
            <v>0</v>
          </cell>
          <cell r="U558">
            <v>0</v>
          </cell>
          <cell r="W558">
            <v>20.7</v>
          </cell>
          <cell r="X558">
            <v>0</v>
          </cell>
        </row>
        <row r="559">
          <cell r="A559">
            <v>37971</v>
          </cell>
          <cell r="B559" t="str">
            <v>Swat</v>
          </cell>
          <cell r="E559">
            <v>8</v>
          </cell>
          <cell r="F559">
            <v>0</v>
          </cell>
          <cell r="G559">
            <v>0</v>
          </cell>
          <cell r="H559">
            <v>0</v>
          </cell>
          <cell r="I559">
            <v>0</v>
          </cell>
          <cell r="L559">
            <v>0</v>
          </cell>
          <cell r="M559">
            <v>0</v>
          </cell>
          <cell r="N559">
            <v>0</v>
          </cell>
          <cell r="S559">
            <v>0</v>
          </cell>
          <cell r="T559">
            <v>0</v>
          </cell>
          <cell r="U559">
            <v>0</v>
          </cell>
          <cell r="W559">
            <v>8</v>
          </cell>
          <cell r="X559">
            <v>0</v>
          </cell>
        </row>
        <row r="560">
          <cell r="A560">
            <v>37971</v>
          </cell>
          <cell r="B560" t="str">
            <v>CustomerService</v>
          </cell>
          <cell r="E560">
            <v>27.883333206176999</v>
          </cell>
          <cell r="F560">
            <v>0</v>
          </cell>
          <cell r="G560">
            <v>0</v>
          </cell>
          <cell r="H560">
            <v>0</v>
          </cell>
          <cell r="I560">
            <v>0</v>
          </cell>
          <cell r="L560">
            <v>0</v>
          </cell>
          <cell r="M560">
            <v>0</v>
          </cell>
          <cell r="N560">
            <v>0</v>
          </cell>
          <cell r="S560">
            <v>0</v>
          </cell>
          <cell r="T560">
            <v>0</v>
          </cell>
          <cell r="U560">
            <v>0</v>
          </cell>
          <cell r="W560">
            <v>27.883299999999998</v>
          </cell>
          <cell r="X560">
            <v>0</v>
          </cell>
        </row>
        <row r="561">
          <cell r="A561">
            <v>37971</v>
          </cell>
          <cell r="B561" t="str">
            <v>CustomerService</v>
          </cell>
          <cell r="E561">
            <v>10</v>
          </cell>
          <cell r="F561">
            <v>0</v>
          </cell>
          <cell r="G561">
            <v>0</v>
          </cell>
          <cell r="H561">
            <v>0</v>
          </cell>
          <cell r="I561">
            <v>0</v>
          </cell>
          <cell r="L561">
            <v>0</v>
          </cell>
          <cell r="M561">
            <v>0</v>
          </cell>
          <cell r="N561">
            <v>0</v>
          </cell>
          <cell r="S561">
            <v>0</v>
          </cell>
          <cell r="T561">
            <v>0</v>
          </cell>
          <cell r="U561">
            <v>0</v>
          </cell>
          <cell r="W561">
            <v>10</v>
          </cell>
          <cell r="X561">
            <v>0</v>
          </cell>
        </row>
        <row r="562">
          <cell r="A562">
            <v>37971</v>
          </cell>
          <cell r="B562" t="str">
            <v>Offsite1Ship</v>
          </cell>
          <cell r="E562">
            <v>0</v>
          </cell>
          <cell r="F562">
            <v>0</v>
          </cell>
          <cell r="G562">
            <v>0</v>
          </cell>
          <cell r="H562">
            <v>0</v>
          </cell>
          <cell r="I562">
            <v>0</v>
          </cell>
          <cell r="L562">
            <v>0</v>
          </cell>
          <cell r="M562">
            <v>0</v>
          </cell>
          <cell r="N562">
            <v>0</v>
          </cell>
          <cell r="S562">
            <v>0</v>
          </cell>
          <cell r="T562">
            <v>0</v>
          </cell>
          <cell r="U562">
            <v>0</v>
          </cell>
          <cell r="W562">
            <v>0</v>
          </cell>
          <cell r="X562">
            <v>0</v>
          </cell>
        </row>
        <row r="563">
          <cell r="A563">
            <v>37970</v>
          </cell>
          <cell r="B563" t="str">
            <v>Sortation</v>
          </cell>
          <cell r="E563">
            <v>728.43334960938</v>
          </cell>
          <cell r="F563">
            <v>0</v>
          </cell>
          <cell r="G563">
            <v>0</v>
          </cell>
          <cell r="H563">
            <v>0</v>
          </cell>
          <cell r="I563">
            <v>0</v>
          </cell>
          <cell r="L563">
            <v>0</v>
          </cell>
          <cell r="M563">
            <v>0</v>
          </cell>
          <cell r="N563">
            <v>0</v>
          </cell>
          <cell r="S563">
            <v>0</v>
          </cell>
          <cell r="T563">
            <v>0</v>
          </cell>
          <cell r="U563">
            <v>0</v>
          </cell>
          <cell r="W563">
            <v>-64.566699999999997</v>
          </cell>
          <cell r="X563">
            <v>0</v>
          </cell>
        </row>
        <row r="564">
          <cell r="A564">
            <v>37970</v>
          </cell>
          <cell r="B564" t="str">
            <v>Rebin</v>
          </cell>
          <cell r="E564">
            <v>380</v>
          </cell>
          <cell r="F564">
            <v>87</v>
          </cell>
          <cell r="G564">
            <v>64406</v>
          </cell>
          <cell r="H564">
            <v>0</v>
          </cell>
          <cell r="I564">
            <v>0</v>
          </cell>
          <cell r="L564">
            <v>0</v>
          </cell>
          <cell r="M564">
            <v>0</v>
          </cell>
          <cell r="N564">
            <v>0</v>
          </cell>
          <cell r="S564">
            <v>0</v>
          </cell>
          <cell r="T564">
            <v>0</v>
          </cell>
          <cell r="U564">
            <v>0</v>
          </cell>
          <cell r="W564">
            <v>0</v>
          </cell>
          <cell r="X564">
            <v>0</v>
          </cell>
        </row>
        <row r="565">
          <cell r="A565">
            <v>37970</v>
          </cell>
          <cell r="B565" t="str">
            <v>Stack</v>
          </cell>
          <cell r="E565">
            <v>238</v>
          </cell>
          <cell r="F565">
            <v>0</v>
          </cell>
          <cell r="G565">
            <v>41309</v>
          </cell>
          <cell r="H565">
            <v>0</v>
          </cell>
          <cell r="I565">
            <v>0</v>
          </cell>
          <cell r="L565">
            <v>0</v>
          </cell>
          <cell r="M565">
            <v>0</v>
          </cell>
          <cell r="N565">
            <v>0</v>
          </cell>
          <cell r="S565">
            <v>3780</v>
          </cell>
          <cell r="T565">
            <v>0</v>
          </cell>
          <cell r="U565">
            <v>0</v>
          </cell>
          <cell r="W565">
            <v>0</v>
          </cell>
          <cell r="X565">
            <v>0</v>
          </cell>
        </row>
        <row r="566">
          <cell r="A566">
            <v>37970</v>
          </cell>
          <cell r="B566" t="str">
            <v>Bundler</v>
          </cell>
          <cell r="E566">
            <v>110.43329620361</v>
          </cell>
          <cell r="F566">
            <v>0</v>
          </cell>
          <cell r="G566">
            <v>41309</v>
          </cell>
          <cell r="H566">
            <v>0</v>
          </cell>
          <cell r="I566">
            <v>0</v>
          </cell>
          <cell r="L566">
            <v>0</v>
          </cell>
          <cell r="M566">
            <v>0</v>
          </cell>
          <cell r="N566">
            <v>0</v>
          </cell>
          <cell r="S566">
            <v>0</v>
          </cell>
          <cell r="T566">
            <v>0</v>
          </cell>
          <cell r="U566">
            <v>0</v>
          </cell>
          <cell r="W566">
            <v>-64.566699999999997</v>
          </cell>
          <cell r="X566">
            <v>19889</v>
          </cell>
        </row>
        <row r="567">
          <cell r="A567">
            <v>37970</v>
          </cell>
          <cell r="B567" t="str">
            <v>InventoryControl</v>
          </cell>
          <cell r="E567">
            <v>86.100000381469997</v>
          </cell>
          <cell r="F567">
            <v>0</v>
          </cell>
          <cell r="G567">
            <v>0</v>
          </cell>
          <cell r="H567">
            <v>0</v>
          </cell>
          <cell r="I567">
            <v>0</v>
          </cell>
          <cell r="L567">
            <v>0</v>
          </cell>
          <cell r="M567">
            <v>0</v>
          </cell>
          <cell r="N567">
            <v>0</v>
          </cell>
          <cell r="S567">
            <v>0</v>
          </cell>
          <cell r="T567">
            <v>0</v>
          </cell>
          <cell r="U567">
            <v>0</v>
          </cell>
          <cell r="W567">
            <v>1.1000000000000001</v>
          </cell>
          <cell r="X567">
            <v>0</v>
          </cell>
        </row>
        <row r="568">
          <cell r="A568">
            <v>37970</v>
          </cell>
          <cell r="B568" t="str">
            <v>QA</v>
          </cell>
          <cell r="E568">
            <v>96.5</v>
          </cell>
          <cell r="F568">
            <v>0</v>
          </cell>
          <cell r="G568">
            <v>0</v>
          </cell>
          <cell r="H568">
            <v>0</v>
          </cell>
          <cell r="I568">
            <v>0</v>
          </cell>
          <cell r="L568">
            <v>0</v>
          </cell>
          <cell r="M568">
            <v>0</v>
          </cell>
          <cell r="N568">
            <v>0</v>
          </cell>
          <cell r="S568">
            <v>0</v>
          </cell>
          <cell r="T568">
            <v>0</v>
          </cell>
          <cell r="U568">
            <v>0</v>
          </cell>
          <cell r="W568">
            <v>110.5</v>
          </cell>
          <cell r="X568">
            <v>0</v>
          </cell>
        </row>
        <row r="569">
          <cell r="A569">
            <v>37970</v>
          </cell>
          <cell r="B569" t="str">
            <v>CReturns</v>
          </cell>
          <cell r="E569">
            <v>4.5</v>
          </cell>
          <cell r="F569">
            <v>0</v>
          </cell>
          <cell r="G569">
            <v>242</v>
          </cell>
          <cell r="H569">
            <v>0</v>
          </cell>
          <cell r="I569">
            <v>0</v>
          </cell>
          <cell r="L569">
            <v>0</v>
          </cell>
          <cell r="M569">
            <v>0</v>
          </cell>
          <cell r="N569">
            <v>0</v>
          </cell>
          <cell r="S569">
            <v>0</v>
          </cell>
          <cell r="T569">
            <v>0</v>
          </cell>
          <cell r="U569">
            <v>0</v>
          </cell>
          <cell r="W569">
            <v>-9.9999900000000003E-2</v>
          </cell>
          <cell r="X569">
            <v>0</v>
          </cell>
        </row>
        <row r="570">
          <cell r="A570">
            <v>37970</v>
          </cell>
          <cell r="B570" t="str">
            <v>Vreturns</v>
          </cell>
          <cell r="E570">
            <v>28.166666030883999</v>
          </cell>
          <cell r="F570">
            <v>0</v>
          </cell>
          <cell r="G570">
            <v>4805</v>
          </cell>
          <cell r="H570">
            <v>0</v>
          </cell>
          <cell r="I570">
            <v>0</v>
          </cell>
          <cell r="L570">
            <v>0</v>
          </cell>
          <cell r="M570">
            <v>0</v>
          </cell>
          <cell r="N570">
            <v>0</v>
          </cell>
          <cell r="S570">
            <v>0</v>
          </cell>
          <cell r="T570">
            <v>0</v>
          </cell>
          <cell r="U570">
            <v>0</v>
          </cell>
          <cell r="W570">
            <v>3.1666699999999999</v>
          </cell>
          <cell r="X570">
            <v>0</v>
          </cell>
        </row>
        <row r="571">
          <cell r="A571">
            <v>37970</v>
          </cell>
          <cell r="B571" t="str">
            <v>Offsite1Receive</v>
          </cell>
          <cell r="E571">
            <v>210.58666992188</v>
          </cell>
          <cell r="F571">
            <v>24</v>
          </cell>
          <cell r="G571">
            <v>3588</v>
          </cell>
          <cell r="H571">
            <v>0</v>
          </cell>
          <cell r="I571">
            <v>0</v>
          </cell>
          <cell r="L571">
            <v>0</v>
          </cell>
          <cell r="M571">
            <v>0</v>
          </cell>
          <cell r="N571">
            <v>0</v>
          </cell>
          <cell r="S571">
            <v>0</v>
          </cell>
          <cell r="T571">
            <v>0</v>
          </cell>
          <cell r="U571">
            <v>0</v>
          </cell>
          <cell r="W571">
            <v>0.58667000000000002</v>
          </cell>
          <cell r="X571">
            <v>0</v>
          </cell>
        </row>
        <row r="572">
          <cell r="A572">
            <v>37970</v>
          </cell>
          <cell r="B572" t="str">
            <v>Sortation</v>
          </cell>
          <cell r="E572">
            <v>1036.7833251953</v>
          </cell>
          <cell r="F572">
            <v>0</v>
          </cell>
          <cell r="G572">
            <v>0</v>
          </cell>
          <cell r="H572">
            <v>0</v>
          </cell>
          <cell r="I572">
            <v>0</v>
          </cell>
          <cell r="L572">
            <v>0</v>
          </cell>
          <cell r="M572">
            <v>0</v>
          </cell>
          <cell r="N572">
            <v>0</v>
          </cell>
          <cell r="S572">
            <v>0</v>
          </cell>
          <cell r="T572">
            <v>0</v>
          </cell>
          <cell r="U572">
            <v>0</v>
          </cell>
          <cell r="W572">
            <v>73.383300000000006</v>
          </cell>
          <cell r="X572">
            <v>0</v>
          </cell>
        </row>
        <row r="573">
          <cell r="A573">
            <v>37970</v>
          </cell>
          <cell r="B573" t="str">
            <v>Rebin</v>
          </cell>
          <cell r="E573">
            <v>403.5</v>
          </cell>
          <cell r="F573">
            <v>53.5</v>
          </cell>
          <cell r="G573">
            <v>72806</v>
          </cell>
          <cell r="H573">
            <v>0</v>
          </cell>
          <cell r="I573">
            <v>0</v>
          </cell>
          <cell r="L573">
            <v>0</v>
          </cell>
          <cell r="M573">
            <v>0</v>
          </cell>
          <cell r="N573">
            <v>0</v>
          </cell>
          <cell r="S573">
            <v>0</v>
          </cell>
          <cell r="T573">
            <v>0</v>
          </cell>
          <cell r="U573">
            <v>0</v>
          </cell>
          <cell r="W573">
            <v>0</v>
          </cell>
          <cell r="X573">
            <v>0</v>
          </cell>
        </row>
        <row r="574">
          <cell r="A574">
            <v>37970</v>
          </cell>
          <cell r="B574" t="str">
            <v>Stack</v>
          </cell>
          <cell r="E574">
            <v>306.5</v>
          </cell>
          <cell r="F574">
            <v>0</v>
          </cell>
          <cell r="G574">
            <v>54063</v>
          </cell>
          <cell r="H574">
            <v>0</v>
          </cell>
          <cell r="I574">
            <v>0</v>
          </cell>
          <cell r="L574">
            <v>0</v>
          </cell>
          <cell r="M574">
            <v>0</v>
          </cell>
          <cell r="N574">
            <v>0</v>
          </cell>
          <cell r="S574">
            <v>2120</v>
          </cell>
          <cell r="T574">
            <v>0</v>
          </cell>
          <cell r="U574">
            <v>0</v>
          </cell>
          <cell r="W574">
            <v>0</v>
          </cell>
          <cell r="X574">
            <v>0</v>
          </cell>
        </row>
        <row r="575">
          <cell r="A575">
            <v>37970</v>
          </cell>
          <cell r="B575" t="str">
            <v>Bundler</v>
          </cell>
          <cell r="E575">
            <v>326.78329467773</v>
          </cell>
          <cell r="F575">
            <v>12</v>
          </cell>
          <cell r="G575">
            <v>54063</v>
          </cell>
          <cell r="H575">
            <v>0</v>
          </cell>
          <cell r="I575">
            <v>0</v>
          </cell>
          <cell r="L575">
            <v>0</v>
          </cell>
          <cell r="M575">
            <v>0</v>
          </cell>
          <cell r="N575">
            <v>0</v>
          </cell>
          <cell r="S575">
            <v>0</v>
          </cell>
          <cell r="T575">
            <v>0</v>
          </cell>
          <cell r="U575">
            <v>0</v>
          </cell>
          <cell r="W575">
            <v>73.383300000000006</v>
          </cell>
          <cell r="X575">
            <v>20031</v>
          </cell>
        </row>
        <row r="576">
          <cell r="A576">
            <v>37970</v>
          </cell>
          <cell r="B576" t="str">
            <v>Offsite1Ship</v>
          </cell>
          <cell r="E576">
            <v>1047.8800048828</v>
          </cell>
          <cell r="F576">
            <v>92.5</v>
          </cell>
          <cell r="G576">
            <v>8602</v>
          </cell>
          <cell r="H576">
            <v>8602</v>
          </cell>
          <cell r="I576">
            <v>0</v>
          </cell>
          <cell r="L576">
            <v>335</v>
          </cell>
          <cell r="M576">
            <v>0</v>
          </cell>
          <cell r="N576">
            <v>0</v>
          </cell>
          <cell r="S576">
            <v>0</v>
          </cell>
          <cell r="T576">
            <v>0</v>
          </cell>
          <cell r="U576">
            <v>0</v>
          </cell>
          <cell r="W576">
            <v>0</v>
          </cell>
          <cell r="X576">
            <v>0</v>
          </cell>
        </row>
        <row r="577">
          <cell r="A577">
            <v>37970</v>
          </cell>
          <cell r="B577" t="str">
            <v>Shipping</v>
          </cell>
          <cell r="E577">
            <v>988.78332519531</v>
          </cell>
          <cell r="F577">
            <v>0</v>
          </cell>
          <cell r="G577">
            <v>0</v>
          </cell>
          <cell r="H577">
            <v>0</v>
          </cell>
          <cell r="I577">
            <v>0</v>
          </cell>
          <cell r="L577">
            <v>0</v>
          </cell>
          <cell r="M577">
            <v>0</v>
          </cell>
          <cell r="N577">
            <v>0</v>
          </cell>
          <cell r="S577">
            <v>0</v>
          </cell>
          <cell r="T577">
            <v>0</v>
          </cell>
          <cell r="U577">
            <v>0</v>
          </cell>
          <cell r="W577">
            <v>-3.2166700000000001</v>
          </cell>
          <cell r="X577">
            <v>0</v>
          </cell>
        </row>
        <row r="578">
          <cell r="A578">
            <v>37970</v>
          </cell>
          <cell r="B578" t="str">
            <v>Autobox</v>
          </cell>
          <cell r="E578">
            <v>367</v>
          </cell>
          <cell r="F578">
            <v>133.5</v>
          </cell>
          <cell r="G578">
            <v>36721</v>
          </cell>
          <cell r="H578">
            <v>0</v>
          </cell>
          <cell r="I578">
            <v>0</v>
          </cell>
          <cell r="L578">
            <v>0</v>
          </cell>
          <cell r="M578">
            <v>0</v>
          </cell>
          <cell r="N578">
            <v>0</v>
          </cell>
          <cell r="S578">
            <v>0</v>
          </cell>
          <cell r="T578">
            <v>0</v>
          </cell>
          <cell r="U578">
            <v>0</v>
          </cell>
          <cell r="W578">
            <v>0</v>
          </cell>
          <cell r="X578">
            <v>0</v>
          </cell>
        </row>
        <row r="579">
          <cell r="A579">
            <v>37970</v>
          </cell>
          <cell r="B579" t="str">
            <v>Levimatic</v>
          </cell>
          <cell r="E579">
            <v>35.5</v>
          </cell>
          <cell r="F579">
            <v>0</v>
          </cell>
          <cell r="G579">
            <v>6879</v>
          </cell>
          <cell r="H579">
            <v>0</v>
          </cell>
          <cell r="I579">
            <v>0</v>
          </cell>
          <cell r="L579">
            <v>0</v>
          </cell>
          <cell r="M579">
            <v>0</v>
          </cell>
          <cell r="N579">
            <v>0</v>
          </cell>
          <cell r="S579">
            <v>0</v>
          </cell>
          <cell r="T579">
            <v>0</v>
          </cell>
          <cell r="U579">
            <v>0</v>
          </cell>
          <cell r="W579">
            <v>0</v>
          </cell>
          <cell r="X579">
            <v>0</v>
          </cell>
        </row>
        <row r="580">
          <cell r="A580">
            <v>37970</v>
          </cell>
          <cell r="B580" t="str">
            <v>Giftwrap</v>
          </cell>
          <cell r="E580">
            <v>250.5</v>
          </cell>
          <cell r="F580">
            <v>0</v>
          </cell>
          <cell r="G580">
            <v>5716</v>
          </cell>
          <cell r="H580">
            <v>0</v>
          </cell>
          <cell r="I580">
            <v>0</v>
          </cell>
          <cell r="L580">
            <v>0</v>
          </cell>
          <cell r="M580">
            <v>0</v>
          </cell>
          <cell r="N580">
            <v>0</v>
          </cell>
          <cell r="S580">
            <v>0</v>
          </cell>
          <cell r="T580">
            <v>0</v>
          </cell>
          <cell r="U580">
            <v>0</v>
          </cell>
          <cell r="W580">
            <v>0</v>
          </cell>
          <cell r="X580">
            <v>0</v>
          </cell>
        </row>
        <row r="581">
          <cell r="A581">
            <v>37970</v>
          </cell>
          <cell r="B581" t="str">
            <v>ShipSupport</v>
          </cell>
          <cell r="E581">
            <v>335.78332996367999</v>
          </cell>
          <cell r="F581">
            <v>60</v>
          </cell>
          <cell r="G581">
            <v>0</v>
          </cell>
          <cell r="H581">
            <v>0</v>
          </cell>
          <cell r="I581">
            <v>0</v>
          </cell>
          <cell r="L581">
            <v>0</v>
          </cell>
          <cell r="M581">
            <v>0</v>
          </cell>
          <cell r="N581">
            <v>0</v>
          </cell>
          <cell r="S581">
            <v>0</v>
          </cell>
          <cell r="T581">
            <v>0</v>
          </cell>
          <cell r="U581">
            <v>0</v>
          </cell>
          <cell r="W581">
            <v>-3.2166700000000001</v>
          </cell>
          <cell r="X581">
            <v>0</v>
          </cell>
        </row>
        <row r="582">
          <cell r="A582">
            <v>37970</v>
          </cell>
          <cell r="B582" t="str">
            <v>Picking</v>
          </cell>
          <cell r="E582">
            <v>990.01666259766</v>
          </cell>
          <cell r="F582">
            <v>0</v>
          </cell>
          <cell r="G582">
            <v>94364</v>
          </cell>
          <cell r="H582">
            <v>0</v>
          </cell>
          <cell r="I582">
            <v>0</v>
          </cell>
          <cell r="L582">
            <v>0</v>
          </cell>
          <cell r="M582">
            <v>0</v>
          </cell>
          <cell r="N582">
            <v>0</v>
          </cell>
          <cell r="S582">
            <v>0</v>
          </cell>
          <cell r="T582">
            <v>0</v>
          </cell>
          <cell r="U582">
            <v>0</v>
          </cell>
          <cell r="W582">
            <v>3.0166599999999999</v>
          </cell>
          <cell r="X582">
            <v>0</v>
          </cell>
        </row>
        <row r="583">
          <cell r="A583">
            <v>37970</v>
          </cell>
          <cell r="B583" t="str">
            <v>BMV Receive</v>
          </cell>
          <cell r="E583">
            <v>183.05334472656</v>
          </cell>
          <cell r="F583">
            <v>1.5</v>
          </cell>
          <cell r="G583">
            <v>34130</v>
          </cell>
          <cell r="H583">
            <v>25328</v>
          </cell>
          <cell r="I583">
            <v>0</v>
          </cell>
          <cell r="L583">
            <v>174.59</v>
          </cell>
          <cell r="M583">
            <v>0</v>
          </cell>
          <cell r="N583">
            <v>6</v>
          </cell>
          <cell r="S583">
            <v>0</v>
          </cell>
          <cell r="T583">
            <v>70.09</v>
          </cell>
          <cell r="U583">
            <v>0</v>
          </cell>
          <cell r="W583">
            <v>0.96334799999999998</v>
          </cell>
          <cell r="X583">
            <v>0</v>
          </cell>
        </row>
        <row r="584">
          <cell r="A584">
            <v>37970</v>
          </cell>
          <cell r="B584" t="str">
            <v>BMV Stow</v>
          </cell>
          <cell r="E584">
            <v>126</v>
          </cell>
          <cell r="F584">
            <v>0</v>
          </cell>
          <cell r="G584">
            <v>48429</v>
          </cell>
          <cell r="H584">
            <v>41249</v>
          </cell>
          <cell r="I584">
            <v>7180</v>
          </cell>
          <cell r="L584">
            <v>120</v>
          </cell>
          <cell r="M584">
            <v>6</v>
          </cell>
          <cell r="N584">
            <v>0</v>
          </cell>
          <cell r="S584">
            <v>0</v>
          </cell>
          <cell r="T584">
            <v>0</v>
          </cell>
          <cell r="U584">
            <v>0</v>
          </cell>
          <cell r="W584">
            <v>0</v>
          </cell>
          <cell r="X584">
            <v>0</v>
          </cell>
        </row>
        <row r="585">
          <cell r="A585">
            <v>37970</v>
          </cell>
          <cell r="B585" t="str">
            <v>Replenishment</v>
          </cell>
          <cell r="E585">
            <v>149.08000183105</v>
          </cell>
          <cell r="F585">
            <v>0</v>
          </cell>
          <cell r="G585">
            <v>30344</v>
          </cell>
          <cell r="H585">
            <v>0</v>
          </cell>
          <cell r="I585">
            <v>0</v>
          </cell>
          <cell r="L585">
            <v>0</v>
          </cell>
          <cell r="M585">
            <v>0</v>
          </cell>
          <cell r="N585">
            <v>0</v>
          </cell>
          <cell r="S585">
            <v>0</v>
          </cell>
          <cell r="T585">
            <v>0</v>
          </cell>
          <cell r="U585">
            <v>0</v>
          </cell>
          <cell r="W585">
            <v>0</v>
          </cell>
          <cell r="X585">
            <v>0</v>
          </cell>
        </row>
        <row r="586">
          <cell r="A586">
            <v>37970</v>
          </cell>
          <cell r="B586" t="str">
            <v>Picking</v>
          </cell>
          <cell r="E586">
            <v>940.86663818359</v>
          </cell>
          <cell r="F586">
            <v>0</v>
          </cell>
          <cell r="G586">
            <v>81483</v>
          </cell>
          <cell r="H586">
            <v>0</v>
          </cell>
          <cell r="I586">
            <v>0</v>
          </cell>
          <cell r="L586">
            <v>0</v>
          </cell>
          <cell r="M586">
            <v>0</v>
          </cell>
          <cell r="N586">
            <v>0</v>
          </cell>
          <cell r="S586">
            <v>0</v>
          </cell>
          <cell r="T586">
            <v>0</v>
          </cell>
          <cell r="U586">
            <v>0</v>
          </cell>
          <cell r="W586">
            <v>-26.133400000000002</v>
          </cell>
          <cell r="X586">
            <v>0</v>
          </cell>
        </row>
        <row r="587">
          <cell r="A587">
            <v>37970</v>
          </cell>
          <cell r="B587" t="str">
            <v>Shipping</v>
          </cell>
          <cell r="E587">
            <v>883.33331298828</v>
          </cell>
          <cell r="F587">
            <v>0</v>
          </cell>
          <cell r="G587">
            <v>0</v>
          </cell>
          <cell r="H587">
            <v>0</v>
          </cell>
          <cell r="I587">
            <v>0</v>
          </cell>
          <cell r="L587">
            <v>0</v>
          </cell>
          <cell r="M587">
            <v>0</v>
          </cell>
          <cell r="N587">
            <v>0</v>
          </cell>
          <cell r="S587">
            <v>0</v>
          </cell>
          <cell r="T587">
            <v>0</v>
          </cell>
          <cell r="U587">
            <v>0</v>
          </cell>
          <cell r="W587">
            <v>16.833300000000001</v>
          </cell>
          <cell r="X587">
            <v>0</v>
          </cell>
        </row>
        <row r="588">
          <cell r="A588">
            <v>37970</v>
          </cell>
          <cell r="B588" t="str">
            <v>Autobox</v>
          </cell>
          <cell r="E588">
            <v>223</v>
          </cell>
          <cell r="F588">
            <v>70</v>
          </cell>
          <cell r="G588">
            <v>35085</v>
          </cell>
          <cell r="H588">
            <v>0</v>
          </cell>
          <cell r="I588">
            <v>0</v>
          </cell>
          <cell r="L588">
            <v>0</v>
          </cell>
          <cell r="M588">
            <v>0</v>
          </cell>
          <cell r="N588">
            <v>0</v>
          </cell>
          <cell r="S588">
            <v>0</v>
          </cell>
          <cell r="T588">
            <v>0</v>
          </cell>
          <cell r="U588">
            <v>0</v>
          </cell>
          <cell r="W588">
            <v>0</v>
          </cell>
          <cell r="X588">
            <v>0</v>
          </cell>
        </row>
        <row r="589">
          <cell r="A589">
            <v>37970</v>
          </cell>
          <cell r="B589" t="str">
            <v>Levimatic</v>
          </cell>
          <cell r="E589">
            <v>28</v>
          </cell>
          <cell r="F589">
            <v>13</v>
          </cell>
          <cell r="G589">
            <v>4710</v>
          </cell>
          <cell r="H589">
            <v>0</v>
          </cell>
          <cell r="I589">
            <v>0</v>
          </cell>
          <cell r="L589">
            <v>0</v>
          </cell>
          <cell r="M589">
            <v>0</v>
          </cell>
          <cell r="N589">
            <v>0</v>
          </cell>
          <cell r="S589">
            <v>0</v>
          </cell>
          <cell r="T589">
            <v>0</v>
          </cell>
          <cell r="U589">
            <v>0</v>
          </cell>
          <cell r="W589">
            <v>0</v>
          </cell>
          <cell r="X589">
            <v>3977</v>
          </cell>
        </row>
        <row r="590">
          <cell r="A590">
            <v>37970</v>
          </cell>
          <cell r="B590" t="str">
            <v>Giftwrap</v>
          </cell>
          <cell r="E590">
            <v>339.5</v>
          </cell>
          <cell r="F590">
            <v>0</v>
          </cell>
          <cell r="G590">
            <v>5150</v>
          </cell>
          <cell r="H590">
            <v>0</v>
          </cell>
          <cell r="I590">
            <v>0</v>
          </cell>
          <cell r="L590">
            <v>0</v>
          </cell>
          <cell r="M590">
            <v>0</v>
          </cell>
          <cell r="N590">
            <v>0</v>
          </cell>
          <cell r="S590">
            <v>0</v>
          </cell>
          <cell r="T590">
            <v>0</v>
          </cell>
          <cell r="U590">
            <v>0</v>
          </cell>
          <cell r="W590">
            <v>0</v>
          </cell>
          <cell r="X590">
            <v>0</v>
          </cell>
        </row>
        <row r="591">
          <cell r="A591">
            <v>37970</v>
          </cell>
          <cell r="B591" t="str">
            <v>ShipSupport</v>
          </cell>
          <cell r="E591">
            <v>292.83329963684002</v>
          </cell>
          <cell r="F591">
            <v>0</v>
          </cell>
          <cell r="G591">
            <v>0</v>
          </cell>
          <cell r="H591">
            <v>0</v>
          </cell>
          <cell r="I591">
            <v>0</v>
          </cell>
          <cell r="L591">
            <v>0</v>
          </cell>
          <cell r="M591">
            <v>0</v>
          </cell>
          <cell r="N591">
            <v>0</v>
          </cell>
          <cell r="S591">
            <v>0</v>
          </cell>
          <cell r="T591">
            <v>0</v>
          </cell>
          <cell r="U591">
            <v>0</v>
          </cell>
          <cell r="W591">
            <v>16.833300000000001</v>
          </cell>
          <cell r="X591">
            <v>0</v>
          </cell>
        </row>
        <row r="592">
          <cell r="A592">
            <v>37970</v>
          </cell>
          <cell r="B592" t="str">
            <v>Training</v>
          </cell>
          <cell r="E592">
            <v>0</v>
          </cell>
          <cell r="F592">
            <v>0</v>
          </cell>
          <cell r="G592">
            <v>0</v>
          </cell>
          <cell r="H592">
            <v>0</v>
          </cell>
          <cell r="I592">
            <v>0</v>
          </cell>
          <cell r="L592">
            <v>0</v>
          </cell>
          <cell r="M592">
            <v>0</v>
          </cell>
          <cell r="N592">
            <v>0</v>
          </cell>
          <cell r="S592">
            <v>0</v>
          </cell>
          <cell r="T592">
            <v>0</v>
          </cell>
          <cell r="U592">
            <v>0</v>
          </cell>
          <cell r="W592">
            <v>0</v>
          </cell>
          <cell r="X592">
            <v>0</v>
          </cell>
        </row>
        <row r="593">
          <cell r="A593">
            <v>37970</v>
          </cell>
          <cell r="B593" t="str">
            <v>Training</v>
          </cell>
          <cell r="E593">
            <v>0</v>
          </cell>
          <cell r="F593">
            <v>0</v>
          </cell>
          <cell r="G593">
            <v>0</v>
          </cell>
          <cell r="H593">
            <v>0</v>
          </cell>
          <cell r="I593">
            <v>0</v>
          </cell>
          <cell r="L593">
            <v>0</v>
          </cell>
          <cell r="M593">
            <v>0</v>
          </cell>
          <cell r="N593">
            <v>0</v>
          </cell>
          <cell r="S593">
            <v>0</v>
          </cell>
          <cell r="T593">
            <v>0</v>
          </cell>
          <cell r="U593">
            <v>0</v>
          </cell>
          <cell r="W593">
            <v>0</v>
          </cell>
          <cell r="X593">
            <v>0</v>
          </cell>
        </row>
        <row r="594">
          <cell r="A594">
            <v>37970</v>
          </cell>
          <cell r="B594" t="str">
            <v>Office</v>
          </cell>
          <cell r="E594">
            <v>137.48333740234</v>
          </cell>
          <cell r="F594">
            <v>0</v>
          </cell>
          <cell r="G594">
            <v>0</v>
          </cell>
          <cell r="H594">
            <v>0</v>
          </cell>
          <cell r="I594">
            <v>0</v>
          </cell>
          <cell r="L594">
            <v>0</v>
          </cell>
          <cell r="M594">
            <v>0</v>
          </cell>
          <cell r="N594">
            <v>0</v>
          </cell>
          <cell r="S594">
            <v>0</v>
          </cell>
          <cell r="T594">
            <v>0</v>
          </cell>
          <cell r="U594">
            <v>0</v>
          </cell>
          <cell r="W594">
            <v>137.483</v>
          </cell>
          <cell r="X594">
            <v>0</v>
          </cell>
        </row>
        <row r="595">
          <cell r="A595">
            <v>37970</v>
          </cell>
          <cell r="B595" t="str">
            <v>Facilities</v>
          </cell>
          <cell r="E595">
            <v>106</v>
          </cell>
          <cell r="F595">
            <v>0</v>
          </cell>
          <cell r="G595">
            <v>0</v>
          </cell>
          <cell r="H595">
            <v>0</v>
          </cell>
          <cell r="I595">
            <v>0</v>
          </cell>
          <cell r="L595">
            <v>0</v>
          </cell>
          <cell r="M595">
            <v>0</v>
          </cell>
          <cell r="N595">
            <v>0</v>
          </cell>
          <cell r="S595">
            <v>0</v>
          </cell>
          <cell r="T595">
            <v>0</v>
          </cell>
          <cell r="U595">
            <v>0</v>
          </cell>
          <cell r="W595">
            <v>106</v>
          </cell>
          <cell r="X595">
            <v>0</v>
          </cell>
        </row>
        <row r="596">
          <cell r="A596">
            <v>37970</v>
          </cell>
          <cell r="B596" t="str">
            <v>BMV Receive</v>
          </cell>
          <cell r="E596">
            <v>301.20001220703</v>
          </cell>
          <cell r="F596">
            <v>20.51</v>
          </cell>
          <cell r="G596">
            <v>49294</v>
          </cell>
          <cell r="H596">
            <v>34963</v>
          </cell>
          <cell r="I596">
            <v>0</v>
          </cell>
          <cell r="L596">
            <v>204.5</v>
          </cell>
          <cell r="M596">
            <v>0</v>
          </cell>
          <cell r="N596">
            <v>14</v>
          </cell>
          <cell r="S596">
            <v>0</v>
          </cell>
          <cell r="T596">
            <v>0</v>
          </cell>
          <cell r="U596">
            <v>0</v>
          </cell>
          <cell r="W596">
            <v>62.19</v>
          </cell>
          <cell r="X596">
            <v>0</v>
          </cell>
        </row>
        <row r="597">
          <cell r="A597">
            <v>37970</v>
          </cell>
          <cell r="B597" t="str">
            <v>Replenishment</v>
          </cell>
          <cell r="E597">
            <v>116</v>
          </cell>
          <cell r="F597">
            <v>0</v>
          </cell>
          <cell r="G597">
            <v>30822</v>
          </cell>
          <cell r="H597">
            <v>0</v>
          </cell>
          <cell r="I597">
            <v>0</v>
          </cell>
          <cell r="L597">
            <v>0</v>
          </cell>
          <cell r="M597">
            <v>0</v>
          </cell>
          <cell r="N597">
            <v>0</v>
          </cell>
          <cell r="S597">
            <v>0</v>
          </cell>
          <cell r="T597">
            <v>0</v>
          </cell>
          <cell r="U597">
            <v>0</v>
          </cell>
          <cell r="W597">
            <v>0</v>
          </cell>
          <cell r="X597">
            <v>0</v>
          </cell>
        </row>
        <row r="598">
          <cell r="A598">
            <v>37970</v>
          </cell>
          <cell r="B598" t="str">
            <v>BMV Stow</v>
          </cell>
          <cell r="E598">
            <v>133</v>
          </cell>
          <cell r="F598">
            <v>0</v>
          </cell>
          <cell r="G598">
            <v>56425</v>
          </cell>
          <cell r="H598">
            <v>39578</v>
          </cell>
          <cell r="I598">
            <v>16847</v>
          </cell>
          <cell r="L598">
            <v>117</v>
          </cell>
          <cell r="M598">
            <v>16</v>
          </cell>
          <cell r="N598">
            <v>0</v>
          </cell>
          <cell r="S598">
            <v>0</v>
          </cell>
          <cell r="T598">
            <v>0</v>
          </cell>
          <cell r="U598">
            <v>0</v>
          </cell>
          <cell r="W598">
            <v>0</v>
          </cell>
          <cell r="X598">
            <v>0</v>
          </cell>
        </row>
        <row r="599">
          <cell r="A599">
            <v>37970</v>
          </cell>
          <cell r="B599" t="str">
            <v>Office</v>
          </cell>
          <cell r="E599">
            <v>18.966667175293001</v>
          </cell>
          <cell r="F599">
            <v>0</v>
          </cell>
          <cell r="G599">
            <v>0</v>
          </cell>
          <cell r="H599">
            <v>0</v>
          </cell>
          <cell r="I599">
            <v>0</v>
          </cell>
          <cell r="L599">
            <v>0</v>
          </cell>
          <cell r="M599">
            <v>0</v>
          </cell>
          <cell r="N599">
            <v>0</v>
          </cell>
          <cell r="S599">
            <v>0</v>
          </cell>
          <cell r="T599">
            <v>0</v>
          </cell>
          <cell r="U599">
            <v>0</v>
          </cell>
          <cell r="W599">
            <v>18.966699999999999</v>
          </cell>
          <cell r="X599">
            <v>0</v>
          </cell>
        </row>
        <row r="600">
          <cell r="A600">
            <v>37970</v>
          </cell>
          <cell r="B600" t="str">
            <v>QA</v>
          </cell>
          <cell r="E600">
            <v>50.583332061767997</v>
          </cell>
          <cell r="F600">
            <v>0</v>
          </cell>
          <cell r="G600">
            <v>0</v>
          </cell>
          <cell r="H600">
            <v>0</v>
          </cell>
          <cell r="I600">
            <v>0</v>
          </cell>
          <cell r="L600">
            <v>0</v>
          </cell>
          <cell r="M600">
            <v>0</v>
          </cell>
          <cell r="N600">
            <v>0</v>
          </cell>
          <cell r="S600">
            <v>0</v>
          </cell>
          <cell r="T600">
            <v>0</v>
          </cell>
          <cell r="U600">
            <v>0</v>
          </cell>
          <cell r="W600">
            <v>50.583300000000001</v>
          </cell>
          <cell r="X600">
            <v>0</v>
          </cell>
        </row>
        <row r="601">
          <cell r="A601">
            <v>37970</v>
          </cell>
          <cell r="B601" t="str">
            <v>Vreturns</v>
          </cell>
          <cell r="E601">
            <v>0</v>
          </cell>
          <cell r="F601">
            <v>0</v>
          </cell>
          <cell r="G601">
            <v>0</v>
          </cell>
          <cell r="H601">
            <v>0</v>
          </cell>
          <cell r="I601">
            <v>0</v>
          </cell>
          <cell r="L601">
            <v>0</v>
          </cell>
          <cell r="M601">
            <v>0</v>
          </cell>
          <cell r="N601">
            <v>0</v>
          </cell>
          <cell r="S601">
            <v>0</v>
          </cell>
          <cell r="T601">
            <v>0</v>
          </cell>
          <cell r="U601">
            <v>0</v>
          </cell>
          <cell r="W601">
            <v>0</v>
          </cell>
          <cell r="X601">
            <v>0</v>
          </cell>
        </row>
        <row r="602">
          <cell r="A602">
            <v>37970</v>
          </cell>
          <cell r="B602" t="str">
            <v>Facilities</v>
          </cell>
          <cell r="E602">
            <v>20</v>
          </cell>
          <cell r="F602">
            <v>0</v>
          </cell>
          <cell r="G602">
            <v>0</v>
          </cell>
          <cell r="H602">
            <v>0</v>
          </cell>
          <cell r="I602">
            <v>0</v>
          </cell>
          <cell r="L602">
            <v>0</v>
          </cell>
          <cell r="M602">
            <v>0</v>
          </cell>
          <cell r="N602">
            <v>0</v>
          </cell>
          <cell r="S602">
            <v>0</v>
          </cell>
          <cell r="T602">
            <v>0</v>
          </cell>
          <cell r="U602">
            <v>0</v>
          </cell>
          <cell r="W602">
            <v>20</v>
          </cell>
          <cell r="X602">
            <v>0</v>
          </cell>
        </row>
        <row r="603">
          <cell r="A603">
            <v>37970</v>
          </cell>
          <cell r="B603" t="str">
            <v>SNOC</v>
          </cell>
          <cell r="E603">
            <v>22.700000762938998</v>
          </cell>
          <cell r="F603">
            <v>0</v>
          </cell>
          <cell r="G603">
            <v>0</v>
          </cell>
          <cell r="H603">
            <v>0</v>
          </cell>
          <cell r="I603">
            <v>0</v>
          </cell>
          <cell r="L603">
            <v>0</v>
          </cell>
          <cell r="M603">
            <v>0</v>
          </cell>
          <cell r="N603">
            <v>0</v>
          </cell>
          <cell r="S603">
            <v>0</v>
          </cell>
          <cell r="T603">
            <v>0</v>
          </cell>
          <cell r="U603">
            <v>0</v>
          </cell>
          <cell r="W603">
            <v>22.7</v>
          </cell>
          <cell r="X603">
            <v>0</v>
          </cell>
        </row>
        <row r="604">
          <cell r="A604">
            <v>37970</v>
          </cell>
          <cell r="B604" t="str">
            <v>Swat</v>
          </cell>
          <cell r="E604">
            <v>8.0166664123534996</v>
          </cell>
          <cell r="F604">
            <v>0</v>
          </cell>
          <cell r="G604">
            <v>0</v>
          </cell>
          <cell r="H604">
            <v>0</v>
          </cell>
          <cell r="I604">
            <v>0</v>
          </cell>
          <cell r="L604">
            <v>0</v>
          </cell>
          <cell r="M604">
            <v>0</v>
          </cell>
          <cell r="N604">
            <v>0</v>
          </cell>
          <cell r="S604">
            <v>0</v>
          </cell>
          <cell r="T604">
            <v>0</v>
          </cell>
          <cell r="U604">
            <v>0</v>
          </cell>
          <cell r="W604">
            <v>8.0166699999999995</v>
          </cell>
          <cell r="X604">
            <v>0</v>
          </cell>
        </row>
        <row r="605">
          <cell r="A605">
            <v>37970</v>
          </cell>
          <cell r="B605" t="str">
            <v>CustomerService</v>
          </cell>
          <cell r="E605">
            <v>12</v>
          </cell>
          <cell r="F605">
            <v>0</v>
          </cell>
          <cell r="G605">
            <v>0</v>
          </cell>
          <cell r="H605">
            <v>0</v>
          </cell>
          <cell r="I605">
            <v>0</v>
          </cell>
          <cell r="L605">
            <v>0</v>
          </cell>
          <cell r="M605">
            <v>0</v>
          </cell>
          <cell r="N605">
            <v>0</v>
          </cell>
          <cell r="S605">
            <v>0</v>
          </cell>
          <cell r="T605">
            <v>0</v>
          </cell>
          <cell r="U605">
            <v>0</v>
          </cell>
          <cell r="W605">
            <v>12</v>
          </cell>
          <cell r="X605">
            <v>0</v>
          </cell>
        </row>
        <row r="606">
          <cell r="A606">
            <v>37970</v>
          </cell>
          <cell r="B606" t="str">
            <v>CustomerService</v>
          </cell>
          <cell r="E606">
            <v>10</v>
          </cell>
          <cell r="F606">
            <v>0</v>
          </cell>
          <cell r="G606">
            <v>0</v>
          </cell>
          <cell r="H606">
            <v>0</v>
          </cell>
          <cell r="I606">
            <v>0</v>
          </cell>
          <cell r="L606">
            <v>0</v>
          </cell>
          <cell r="M606">
            <v>0</v>
          </cell>
          <cell r="N606">
            <v>0</v>
          </cell>
          <cell r="S606">
            <v>0</v>
          </cell>
          <cell r="T606">
            <v>0</v>
          </cell>
          <cell r="U606">
            <v>0</v>
          </cell>
          <cell r="W606">
            <v>10</v>
          </cell>
          <cell r="X606">
            <v>0</v>
          </cell>
        </row>
        <row r="607">
          <cell r="A607">
            <v>37970</v>
          </cell>
          <cell r="B607" t="str">
            <v>Offsite1Receive</v>
          </cell>
          <cell r="E607">
            <v>0</v>
          </cell>
          <cell r="F607">
            <v>0</v>
          </cell>
          <cell r="G607">
            <v>0</v>
          </cell>
          <cell r="H607">
            <v>0</v>
          </cell>
          <cell r="I607">
            <v>0</v>
          </cell>
          <cell r="L607">
            <v>0</v>
          </cell>
          <cell r="M607">
            <v>0</v>
          </cell>
          <cell r="N607">
            <v>0</v>
          </cell>
          <cell r="S607">
            <v>0</v>
          </cell>
          <cell r="T607">
            <v>0</v>
          </cell>
          <cell r="U607">
            <v>0</v>
          </cell>
          <cell r="W607">
            <v>0</v>
          </cell>
          <cell r="X607">
            <v>0</v>
          </cell>
        </row>
        <row r="608">
          <cell r="A608">
            <v>37970</v>
          </cell>
          <cell r="B608" t="str">
            <v>Offsite1Ship</v>
          </cell>
          <cell r="E608">
            <v>0</v>
          </cell>
          <cell r="F608">
            <v>0</v>
          </cell>
          <cell r="G608">
            <v>0</v>
          </cell>
          <cell r="H608">
            <v>0</v>
          </cell>
          <cell r="I608">
            <v>0</v>
          </cell>
          <cell r="L608">
            <v>0</v>
          </cell>
          <cell r="M608">
            <v>0</v>
          </cell>
          <cell r="N608">
            <v>0</v>
          </cell>
          <cell r="S608">
            <v>0</v>
          </cell>
          <cell r="T608">
            <v>0</v>
          </cell>
          <cell r="U608">
            <v>0</v>
          </cell>
          <cell r="W608">
            <v>0</v>
          </cell>
          <cell r="X608">
            <v>0</v>
          </cell>
        </row>
        <row r="609">
          <cell r="A609">
            <v>37969</v>
          </cell>
          <cell r="B609" t="str">
            <v>CReturns</v>
          </cell>
          <cell r="E609">
            <v>0</v>
          </cell>
          <cell r="F609">
            <v>0</v>
          </cell>
          <cell r="G609">
            <v>0</v>
          </cell>
          <cell r="H609">
            <v>0</v>
          </cell>
          <cell r="I609">
            <v>0</v>
          </cell>
          <cell r="L609">
            <v>0</v>
          </cell>
          <cell r="M609">
            <v>0</v>
          </cell>
          <cell r="N609">
            <v>0</v>
          </cell>
          <cell r="S609">
            <v>0</v>
          </cell>
          <cell r="T609">
            <v>0</v>
          </cell>
          <cell r="U609">
            <v>0</v>
          </cell>
          <cell r="W609">
            <v>0</v>
          </cell>
          <cell r="X609">
            <v>0</v>
          </cell>
        </row>
        <row r="610">
          <cell r="A610">
            <v>37969</v>
          </cell>
          <cell r="B610" t="str">
            <v>QA</v>
          </cell>
          <cell r="E610">
            <v>91.216667175292997</v>
          </cell>
          <cell r="F610">
            <v>0</v>
          </cell>
          <cell r="G610">
            <v>0</v>
          </cell>
          <cell r="H610">
            <v>0</v>
          </cell>
          <cell r="I610">
            <v>0</v>
          </cell>
          <cell r="L610">
            <v>0</v>
          </cell>
          <cell r="M610">
            <v>0</v>
          </cell>
          <cell r="N610">
            <v>0</v>
          </cell>
          <cell r="S610">
            <v>0</v>
          </cell>
          <cell r="T610">
            <v>0</v>
          </cell>
          <cell r="U610">
            <v>0</v>
          </cell>
          <cell r="W610">
            <v>33.716700000000003</v>
          </cell>
          <cell r="X610">
            <v>0</v>
          </cell>
        </row>
        <row r="611">
          <cell r="A611">
            <v>37969</v>
          </cell>
          <cell r="B611" t="str">
            <v>BMV Receive</v>
          </cell>
          <cell r="E611">
            <v>-63.666666030884002</v>
          </cell>
          <cell r="F611">
            <v>4.26</v>
          </cell>
          <cell r="G611">
            <v>8639</v>
          </cell>
          <cell r="H611">
            <v>8639</v>
          </cell>
          <cell r="I611">
            <v>0</v>
          </cell>
          <cell r="L611">
            <v>27</v>
          </cell>
          <cell r="M611">
            <v>0</v>
          </cell>
          <cell r="N611">
            <v>0</v>
          </cell>
          <cell r="S611">
            <v>0</v>
          </cell>
          <cell r="T611">
            <v>2</v>
          </cell>
          <cell r="U611">
            <v>0</v>
          </cell>
          <cell r="W611">
            <v>-94.926699999999997</v>
          </cell>
          <cell r="X611">
            <v>0</v>
          </cell>
        </row>
        <row r="612">
          <cell r="A612">
            <v>37969</v>
          </cell>
          <cell r="B612" t="str">
            <v>Offsite1Ship</v>
          </cell>
          <cell r="E612">
            <v>1060.4799804688</v>
          </cell>
          <cell r="F612">
            <v>81</v>
          </cell>
          <cell r="G612">
            <v>9185</v>
          </cell>
          <cell r="H612">
            <v>9185</v>
          </cell>
          <cell r="I612">
            <v>0</v>
          </cell>
          <cell r="L612">
            <v>381</v>
          </cell>
          <cell r="M612">
            <v>0</v>
          </cell>
          <cell r="N612">
            <v>0</v>
          </cell>
          <cell r="S612">
            <v>0</v>
          </cell>
          <cell r="T612">
            <v>0</v>
          </cell>
          <cell r="U612">
            <v>0</v>
          </cell>
          <cell r="W612">
            <v>0</v>
          </cell>
          <cell r="X612">
            <v>0</v>
          </cell>
        </row>
        <row r="613">
          <cell r="A613">
            <v>37969</v>
          </cell>
          <cell r="B613" t="str">
            <v>Picking</v>
          </cell>
          <cell r="E613">
            <v>1131.7999877929999</v>
          </cell>
          <cell r="F613">
            <v>0</v>
          </cell>
          <cell r="G613">
            <v>110595</v>
          </cell>
          <cell r="H613">
            <v>0</v>
          </cell>
          <cell r="I613">
            <v>0</v>
          </cell>
          <cell r="L613">
            <v>0</v>
          </cell>
          <cell r="M613">
            <v>0</v>
          </cell>
          <cell r="N613">
            <v>0</v>
          </cell>
          <cell r="S613">
            <v>0</v>
          </cell>
          <cell r="T613">
            <v>0</v>
          </cell>
          <cell r="U613">
            <v>0</v>
          </cell>
          <cell r="W613">
            <v>18.05</v>
          </cell>
          <cell r="X613">
            <v>0</v>
          </cell>
        </row>
        <row r="614">
          <cell r="A614">
            <v>37969</v>
          </cell>
          <cell r="B614" t="str">
            <v>Shipping</v>
          </cell>
          <cell r="E614">
            <v>977.09997558594</v>
          </cell>
          <cell r="F614">
            <v>0</v>
          </cell>
          <cell r="G614">
            <v>0</v>
          </cell>
          <cell r="H614">
            <v>0</v>
          </cell>
          <cell r="I614">
            <v>0</v>
          </cell>
          <cell r="L614">
            <v>0</v>
          </cell>
          <cell r="M614">
            <v>0</v>
          </cell>
          <cell r="N614">
            <v>0</v>
          </cell>
          <cell r="S614">
            <v>0</v>
          </cell>
          <cell r="T614">
            <v>0</v>
          </cell>
          <cell r="U614">
            <v>0</v>
          </cell>
          <cell r="W614">
            <v>17.850000000000001</v>
          </cell>
          <cell r="X614">
            <v>20385</v>
          </cell>
        </row>
        <row r="615">
          <cell r="A615">
            <v>37969</v>
          </cell>
          <cell r="B615" t="str">
            <v>Autobox</v>
          </cell>
          <cell r="E615">
            <v>379.5</v>
          </cell>
          <cell r="F615">
            <v>148</v>
          </cell>
          <cell r="G615">
            <v>39818</v>
          </cell>
          <cell r="H615">
            <v>0</v>
          </cell>
          <cell r="I615">
            <v>0</v>
          </cell>
          <cell r="L615">
            <v>0</v>
          </cell>
          <cell r="M615">
            <v>0</v>
          </cell>
          <cell r="N615">
            <v>0</v>
          </cell>
          <cell r="S615">
            <v>0</v>
          </cell>
          <cell r="T615">
            <v>0</v>
          </cell>
          <cell r="U615">
            <v>0</v>
          </cell>
          <cell r="W615">
            <v>0</v>
          </cell>
          <cell r="X615">
            <v>0</v>
          </cell>
        </row>
        <row r="616">
          <cell r="A616">
            <v>37969</v>
          </cell>
          <cell r="B616" t="str">
            <v>Levimatic</v>
          </cell>
          <cell r="E616">
            <v>33.5</v>
          </cell>
          <cell r="F616">
            <v>22</v>
          </cell>
          <cell r="G616">
            <v>7749</v>
          </cell>
          <cell r="H616">
            <v>0</v>
          </cell>
          <cell r="I616">
            <v>0</v>
          </cell>
          <cell r="L616">
            <v>0</v>
          </cell>
          <cell r="M616">
            <v>0</v>
          </cell>
          <cell r="N616">
            <v>0</v>
          </cell>
          <cell r="S616">
            <v>0</v>
          </cell>
          <cell r="T616">
            <v>0</v>
          </cell>
          <cell r="U616">
            <v>0</v>
          </cell>
          <cell r="W616">
            <v>0</v>
          </cell>
          <cell r="X616">
            <v>0</v>
          </cell>
        </row>
        <row r="617">
          <cell r="A617">
            <v>37969</v>
          </cell>
          <cell r="B617" t="str">
            <v>Giftwrap</v>
          </cell>
          <cell r="E617">
            <v>166.5</v>
          </cell>
          <cell r="F617">
            <v>0</v>
          </cell>
          <cell r="G617">
            <v>3655</v>
          </cell>
          <cell r="H617">
            <v>0</v>
          </cell>
          <cell r="I617">
            <v>0</v>
          </cell>
          <cell r="L617">
            <v>0</v>
          </cell>
          <cell r="M617">
            <v>0</v>
          </cell>
          <cell r="N617">
            <v>0</v>
          </cell>
          <cell r="S617">
            <v>0</v>
          </cell>
          <cell r="T617">
            <v>0</v>
          </cell>
          <cell r="U617">
            <v>0</v>
          </cell>
          <cell r="W617">
            <v>0</v>
          </cell>
          <cell r="X617">
            <v>0</v>
          </cell>
        </row>
        <row r="618">
          <cell r="A618">
            <v>37969</v>
          </cell>
          <cell r="B618" t="str">
            <v>ShipSupport</v>
          </cell>
          <cell r="E618">
            <v>397.60000038147001</v>
          </cell>
          <cell r="F618">
            <v>67.5</v>
          </cell>
          <cell r="G618">
            <v>0</v>
          </cell>
          <cell r="H618">
            <v>0</v>
          </cell>
          <cell r="I618">
            <v>0</v>
          </cell>
          <cell r="L618">
            <v>0</v>
          </cell>
          <cell r="M618">
            <v>0</v>
          </cell>
          <cell r="N618">
            <v>0</v>
          </cell>
          <cell r="S618">
            <v>0</v>
          </cell>
          <cell r="T618">
            <v>0</v>
          </cell>
          <cell r="U618">
            <v>0</v>
          </cell>
          <cell r="W618">
            <v>17.850000000000001</v>
          </cell>
          <cell r="X618">
            <v>0</v>
          </cell>
        </row>
        <row r="619">
          <cell r="A619">
            <v>37969</v>
          </cell>
          <cell r="B619" t="str">
            <v>Offsite1Receive</v>
          </cell>
          <cell r="E619">
            <v>1.969970703125</v>
          </cell>
          <cell r="F619">
            <v>0</v>
          </cell>
          <cell r="G619">
            <v>0</v>
          </cell>
          <cell r="H619">
            <v>0</v>
          </cell>
          <cell r="I619">
            <v>0</v>
          </cell>
          <cell r="L619">
            <v>0</v>
          </cell>
          <cell r="M619">
            <v>0</v>
          </cell>
          <cell r="N619">
            <v>0</v>
          </cell>
          <cell r="S619">
            <v>0</v>
          </cell>
          <cell r="T619">
            <v>0</v>
          </cell>
          <cell r="U619">
            <v>0</v>
          </cell>
          <cell r="W619">
            <v>1.96997</v>
          </cell>
          <cell r="X619">
            <v>0</v>
          </cell>
        </row>
        <row r="620">
          <cell r="A620">
            <v>37969</v>
          </cell>
          <cell r="B620" t="str">
            <v>Sortation</v>
          </cell>
          <cell r="E620">
            <v>1051.2332992554</v>
          </cell>
          <cell r="F620">
            <v>0</v>
          </cell>
          <cell r="G620">
            <v>0</v>
          </cell>
          <cell r="H620">
            <v>0</v>
          </cell>
          <cell r="I620">
            <v>0</v>
          </cell>
          <cell r="L620">
            <v>0</v>
          </cell>
          <cell r="M620">
            <v>0</v>
          </cell>
          <cell r="N620">
            <v>0</v>
          </cell>
          <cell r="S620">
            <v>0</v>
          </cell>
          <cell r="T620">
            <v>0</v>
          </cell>
          <cell r="U620">
            <v>0</v>
          </cell>
          <cell r="W620">
            <v>83.323300000000003</v>
          </cell>
          <cell r="X620">
            <v>0</v>
          </cell>
        </row>
        <row r="621">
          <cell r="A621">
            <v>37969</v>
          </cell>
          <cell r="B621" t="str">
            <v>Rebin</v>
          </cell>
          <cell r="E621">
            <v>426.5</v>
          </cell>
          <cell r="F621">
            <v>53.5</v>
          </cell>
          <cell r="G621">
            <v>78689</v>
          </cell>
          <cell r="H621">
            <v>0</v>
          </cell>
          <cell r="I621">
            <v>0</v>
          </cell>
          <cell r="L621">
            <v>0</v>
          </cell>
          <cell r="M621">
            <v>0</v>
          </cell>
          <cell r="N621">
            <v>0</v>
          </cell>
          <cell r="S621">
            <v>0</v>
          </cell>
          <cell r="T621">
            <v>0</v>
          </cell>
          <cell r="U621">
            <v>0</v>
          </cell>
          <cell r="W621">
            <v>0</v>
          </cell>
          <cell r="X621">
            <v>0</v>
          </cell>
        </row>
        <row r="622">
          <cell r="A622">
            <v>37969</v>
          </cell>
          <cell r="B622" t="str">
            <v>Stack</v>
          </cell>
          <cell r="E622">
            <v>389.5</v>
          </cell>
          <cell r="F622">
            <v>0</v>
          </cell>
          <cell r="G622">
            <v>53157</v>
          </cell>
          <cell r="H622">
            <v>0</v>
          </cell>
          <cell r="I622">
            <v>0</v>
          </cell>
          <cell r="L622">
            <v>0</v>
          </cell>
          <cell r="M622">
            <v>0</v>
          </cell>
          <cell r="N622">
            <v>0</v>
          </cell>
          <cell r="S622">
            <v>1894</v>
          </cell>
          <cell r="T622">
            <v>0</v>
          </cell>
          <cell r="U622">
            <v>0</v>
          </cell>
          <cell r="W622">
            <v>0</v>
          </cell>
          <cell r="X622">
            <v>0</v>
          </cell>
        </row>
        <row r="623">
          <cell r="A623">
            <v>37969</v>
          </cell>
          <cell r="B623" t="str">
            <v>Bundler</v>
          </cell>
          <cell r="E623">
            <v>235.23330688477</v>
          </cell>
          <cell r="F623">
            <v>12</v>
          </cell>
          <cell r="G623">
            <v>53157</v>
          </cell>
          <cell r="H623">
            <v>0</v>
          </cell>
          <cell r="I623">
            <v>0</v>
          </cell>
          <cell r="L623">
            <v>0</v>
          </cell>
          <cell r="M623">
            <v>0</v>
          </cell>
          <cell r="N623">
            <v>0</v>
          </cell>
          <cell r="S623">
            <v>0</v>
          </cell>
          <cell r="T623">
            <v>0</v>
          </cell>
          <cell r="U623">
            <v>0</v>
          </cell>
          <cell r="W623">
            <v>83.323300000000003</v>
          </cell>
          <cell r="X623">
            <v>18288</v>
          </cell>
        </row>
        <row r="624">
          <cell r="A624">
            <v>37969</v>
          </cell>
          <cell r="B624" t="str">
            <v>BMV Stow</v>
          </cell>
          <cell r="E624">
            <v>18</v>
          </cell>
          <cell r="F624">
            <v>0</v>
          </cell>
          <cell r="G624">
            <v>15880</v>
          </cell>
          <cell r="H624">
            <v>8218</v>
          </cell>
          <cell r="I624">
            <v>7662</v>
          </cell>
          <cell r="L624">
            <v>12</v>
          </cell>
          <cell r="M624">
            <v>6</v>
          </cell>
          <cell r="N624">
            <v>0</v>
          </cell>
          <cell r="S624">
            <v>0</v>
          </cell>
          <cell r="T624">
            <v>0</v>
          </cell>
          <cell r="U624">
            <v>0</v>
          </cell>
          <cell r="W624">
            <v>0</v>
          </cell>
          <cell r="X624">
            <v>0</v>
          </cell>
        </row>
        <row r="625">
          <cell r="A625">
            <v>37969</v>
          </cell>
          <cell r="B625" t="str">
            <v>Replenishment</v>
          </cell>
          <cell r="E625">
            <v>84</v>
          </cell>
          <cell r="F625">
            <v>0</v>
          </cell>
          <cell r="G625">
            <v>15618</v>
          </cell>
          <cell r="H625">
            <v>0</v>
          </cell>
          <cell r="I625">
            <v>0</v>
          </cell>
          <cell r="L625">
            <v>0</v>
          </cell>
          <cell r="M625">
            <v>0</v>
          </cell>
          <cell r="N625">
            <v>0</v>
          </cell>
          <cell r="S625">
            <v>0</v>
          </cell>
          <cell r="T625">
            <v>0</v>
          </cell>
          <cell r="U625">
            <v>0</v>
          </cell>
          <cell r="W625">
            <v>0</v>
          </cell>
          <cell r="X625">
            <v>0</v>
          </cell>
        </row>
        <row r="626">
          <cell r="A626">
            <v>37969</v>
          </cell>
          <cell r="B626" t="str">
            <v>ManualVDF</v>
          </cell>
          <cell r="E626">
            <v>28.5</v>
          </cell>
          <cell r="F626">
            <v>0</v>
          </cell>
          <cell r="G626">
            <v>1631</v>
          </cell>
          <cell r="H626">
            <v>0</v>
          </cell>
          <cell r="I626">
            <v>0</v>
          </cell>
          <cell r="L626">
            <v>0</v>
          </cell>
          <cell r="M626">
            <v>0</v>
          </cell>
          <cell r="N626">
            <v>0</v>
          </cell>
          <cell r="S626">
            <v>0</v>
          </cell>
          <cell r="T626">
            <v>0</v>
          </cell>
          <cell r="U626">
            <v>0</v>
          </cell>
          <cell r="W626">
            <v>28.5</v>
          </cell>
          <cell r="X626">
            <v>0</v>
          </cell>
        </row>
        <row r="627">
          <cell r="A627">
            <v>37969</v>
          </cell>
          <cell r="B627" t="str">
            <v>InventoryControl</v>
          </cell>
          <cell r="E627">
            <v>11.533333778380999</v>
          </cell>
          <cell r="F627">
            <v>0</v>
          </cell>
          <cell r="G627">
            <v>0</v>
          </cell>
          <cell r="H627">
            <v>0</v>
          </cell>
          <cell r="I627">
            <v>0</v>
          </cell>
          <cell r="L627">
            <v>0</v>
          </cell>
          <cell r="M627">
            <v>0</v>
          </cell>
          <cell r="N627">
            <v>0</v>
          </cell>
          <cell r="S627">
            <v>0</v>
          </cell>
          <cell r="T627">
            <v>0</v>
          </cell>
          <cell r="U627">
            <v>0</v>
          </cell>
          <cell r="W627">
            <v>11.533300000000001</v>
          </cell>
          <cell r="X627">
            <v>0</v>
          </cell>
        </row>
        <row r="628">
          <cell r="A628">
            <v>37969</v>
          </cell>
          <cell r="B628" t="str">
            <v>Office</v>
          </cell>
          <cell r="E628">
            <v>49.083332061767997</v>
          </cell>
          <cell r="F628">
            <v>0</v>
          </cell>
          <cell r="G628">
            <v>0</v>
          </cell>
          <cell r="H628">
            <v>0</v>
          </cell>
          <cell r="I628">
            <v>0</v>
          </cell>
          <cell r="L628">
            <v>0</v>
          </cell>
          <cell r="M628">
            <v>0</v>
          </cell>
          <cell r="N628">
            <v>0</v>
          </cell>
          <cell r="S628">
            <v>0</v>
          </cell>
          <cell r="T628">
            <v>0</v>
          </cell>
          <cell r="U628">
            <v>0</v>
          </cell>
          <cell r="W628">
            <v>49.083300000000001</v>
          </cell>
          <cell r="X628">
            <v>0</v>
          </cell>
        </row>
        <row r="629">
          <cell r="A629">
            <v>37969</v>
          </cell>
          <cell r="B629" t="str">
            <v>Office</v>
          </cell>
          <cell r="E629">
            <v>0</v>
          </cell>
          <cell r="F629">
            <v>0</v>
          </cell>
          <cell r="G629">
            <v>0</v>
          </cell>
          <cell r="H629">
            <v>0</v>
          </cell>
          <cell r="I629">
            <v>0</v>
          </cell>
          <cell r="L629">
            <v>0</v>
          </cell>
          <cell r="M629">
            <v>0</v>
          </cell>
          <cell r="N629">
            <v>0</v>
          </cell>
          <cell r="S629">
            <v>0</v>
          </cell>
          <cell r="T629">
            <v>0</v>
          </cell>
          <cell r="U629">
            <v>0</v>
          </cell>
          <cell r="W629">
            <v>0</v>
          </cell>
          <cell r="X629">
            <v>0</v>
          </cell>
        </row>
        <row r="630">
          <cell r="A630">
            <v>37969</v>
          </cell>
          <cell r="B630" t="str">
            <v>BMV Receive</v>
          </cell>
          <cell r="E630">
            <v>89.616668701172003</v>
          </cell>
          <cell r="F630">
            <v>0</v>
          </cell>
          <cell r="G630">
            <v>0</v>
          </cell>
          <cell r="H630">
            <v>0</v>
          </cell>
          <cell r="I630">
            <v>0</v>
          </cell>
          <cell r="L630">
            <v>0</v>
          </cell>
          <cell r="M630">
            <v>0</v>
          </cell>
          <cell r="N630">
            <v>0</v>
          </cell>
          <cell r="S630">
            <v>0</v>
          </cell>
          <cell r="T630">
            <v>0</v>
          </cell>
          <cell r="U630">
            <v>0</v>
          </cell>
          <cell r="W630">
            <v>89.616699999999994</v>
          </cell>
          <cell r="X630">
            <v>0</v>
          </cell>
        </row>
        <row r="631">
          <cell r="A631">
            <v>37969</v>
          </cell>
          <cell r="B631" t="str">
            <v>Picking</v>
          </cell>
          <cell r="E631">
            <v>26.366664886475</v>
          </cell>
          <cell r="F631">
            <v>0</v>
          </cell>
          <cell r="G631">
            <v>0</v>
          </cell>
          <cell r="H631">
            <v>0</v>
          </cell>
          <cell r="I631">
            <v>0</v>
          </cell>
          <cell r="L631">
            <v>0</v>
          </cell>
          <cell r="M631">
            <v>0</v>
          </cell>
          <cell r="N631">
            <v>0</v>
          </cell>
          <cell r="S631">
            <v>0</v>
          </cell>
          <cell r="T631">
            <v>0</v>
          </cell>
          <cell r="U631">
            <v>0</v>
          </cell>
          <cell r="W631">
            <v>26.366700000000002</v>
          </cell>
          <cell r="X631">
            <v>0</v>
          </cell>
        </row>
        <row r="632">
          <cell r="A632">
            <v>37969</v>
          </cell>
          <cell r="B632" t="str">
            <v>QA</v>
          </cell>
          <cell r="E632">
            <v>0</v>
          </cell>
          <cell r="F632">
            <v>0</v>
          </cell>
          <cell r="G632">
            <v>0</v>
          </cell>
          <cell r="H632">
            <v>0</v>
          </cell>
          <cell r="I632">
            <v>0</v>
          </cell>
          <cell r="L632">
            <v>0</v>
          </cell>
          <cell r="M632">
            <v>0</v>
          </cell>
          <cell r="N632">
            <v>0</v>
          </cell>
          <cell r="S632">
            <v>0</v>
          </cell>
          <cell r="T632">
            <v>0</v>
          </cell>
          <cell r="U632">
            <v>0</v>
          </cell>
          <cell r="W632">
            <v>0</v>
          </cell>
          <cell r="X632">
            <v>0</v>
          </cell>
        </row>
        <row r="633">
          <cell r="A633">
            <v>37969</v>
          </cell>
          <cell r="B633" t="str">
            <v>Vreturns</v>
          </cell>
          <cell r="E633">
            <v>0</v>
          </cell>
          <cell r="F633">
            <v>0</v>
          </cell>
          <cell r="G633">
            <v>0</v>
          </cell>
          <cell r="H633">
            <v>0</v>
          </cell>
          <cell r="I633">
            <v>0</v>
          </cell>
          <cell r="L633">
            <v>0</v>
          </cell>
          <cell r="M633">
            <v>0</v>
          </cell>
          <cell r="N633">
            <v>0</v>
          </cell>
          <cell r="S633">
            <v>0</v>
          </cell>
          <cell r="T633">
            <v>0</v>
          </cell>
          <cell r="U633">
            <v>0</v>
          </cell>
          <cell r="W633">
            <v>0</v>
          </cell>
          <cell r="X633">
            <v>0</v>
          </cell>
        </row>
        <row r="634">
          <cell r="A634">
            <v>37969</v>
          </cell>
          <cell r="B634" t="str">
            <v>Vreturns</v>
          </cell>
          <cell r="E634">
            <v>0</v>
          </cell>
          <cell r="F634">
            <v>0</v>
          </cell>
          <cell r="G634">
            <v>0</v>
          </cell>
          <cell r="H634">
            <v>0</v>
          </cell>
          <cell r="I634">
            <v>0</v>
          </cell>
          <cell r="L634">
            <v>0</v>
          </cell>
          <cell r="M634">
            <v>0</v>
          </cell>
          <cell r="N634">
            <v>0</v>
          </cell>
          <cell r="S634">
            <v>0</v>
          </cell>
          <cell r="T634">
            <v>0</v>
          </cell>
          <cell r="U634">
            <v>0</v>
          </cell>
          <cell r="W634">
            <v>0</v>
          </cell>
          <cell r="X634">
            <v>0</v>
          </cell>
        </row>
        <row r="635">
          <cell r="A635">
            <v>37969</v>
          </cell>
          <cell r="B635" t="str">
            <v>Facilities</v>
          </cell>
          <cell r="E635">
            <v>86.25</v>
          </cell>
          <cell r="F635">
            <v>0</v>
          </cell>
          <cell r="G635">
            <v>0</v>
          </cell>
          <cell r="H635">
            <v>0</v>
          </cell>
          <cell r="I635">
            <v>0</v>
          </cell>
          <cell r="L635">
            <v>0</v>
          </cell>
          <cell r="M635">
            <v>0</v>
          </cell>
          <cell r="N635">
            <v>0</v>
          </cell>
          <cell r="S635">
            <v>0</v>
          </cell>
          <cell r="T635">
            <v>0</v>
          </cell>
          <cell r="U635">
            <v>0</v>
          </cell>
          <cell r="W635">
            <v>86.25</v>
          </cell>
          <cell r="X635">
            <v>0</v>
          </cell>
        </row>
        <row r="636">
          <cell r="A636">
            <v>37969</v>
          </cell>
          <cell r="B636" t="str">
            <v>Facilities</v>
          </cell>
          <cell r="E636">
            <v>0</v>
          </cell>
          <cell r="F636">
            <v>0</v>
          </cell>
          <cell r="G636">
            <v>0</v>
          </cell>
          <cell r="H636">
            <v>0</v>
          </cell>
          <cell r="I636">
            <v>0</v>
          </cell>
          <cell r="L636">
            <v>0</v>
          </cell>
          <cell r="M636">
            <v>0</v>
          </cell>
          <cell r="N636">
            <v>0</v>
          </cell>
          <cell r="S636">
            <v>0</v>
          </cell>
          <cell r="T636">
            <v>0</v>
          </cell>
          <cell r="U636">
            <v>0</v>
          </cell>
          <cell r="W636">
            <v>0</v>
          </cell>
          <cell r="X636">
            <v>0</v>
          </cell>
        </row>
        <row r="637">
          <cell r="A637">
            <v>37969</v>
          </cell>
          <cell r="B637" t="str">
            <v>SNOC</v>
          </cell>
          <cell r="E637">
            <v>0</v>
          </cell>
          <cell r="F637">
            <v>0</v>
          </cell>
          <cell r="G637">
            <v>0</v>
          </cell>
          <cell r="H637">
            <v>0</v>
          </cell>
          <cell r="I637">
            <v>0</v>
          </cell>
          <cell r="L637">
            <v>0</v>
          </cell>
          <cell r="M637">
            <v>0</v>
          </cell>
          <cell r="N637">
            <v>0</v>
          </cell>
          <cell r="S637">
            <v>0</v>
          </cell>
          <cell r="T637">
            <v>0</v>
          </cell>
          <cell r="U637">
            <v>0</v>
          </cell>
          <cell r="W637">
            <v>0</v>
          </cell>
          <cell r="X637">
            <v>0</v>
          </cell>
        </row>
        <row r="638">
          <cell r="A638">
            <v>37969</v>
          </cell>
          <cell r="B638" t="str">
            <v>Sortation</v>
          </cell>
          <cell r="E638">
            <v>3.7166595458984002</v>
          </cell>
          <cell r="F638">
            <v>0</v>
          </cell>
          <cell r="G638">
            <v>0</v>
          </cell>
          <cell r="H638">
            <v>0</v>
          </cell>
          <cell r="I638">
            <v>0</v>
          </cell>
          <cell r="L638">
            <v>0</v>
          </cell>
          <cell r="M638">
            <v>0</v>
          </cell>
          <cell r="N638">
            <v>0</v>
          </cell>
          <cell r="S638">
            <v>0</v>
          </cell>
          <cell r="T638">
            <v>0</v>
          </cell>
          <cell r="U638">
            <v>0</v>
          </cell>
          <cell r="W638">
            <v>3.7166600000000001</v>
          </cell>
          <cell r="X638">
            <v>0</v>
          </cell>
        </row>
        <row r="639">
          <cell r="A639">
            <v>37969</v>
          </cell>
          <cell r="B639" t="str">
            <v>Shipping</v>
          </cell>
          <cell r="E639">
            <v>5.5666656494140998</v>
          </cell>
          <cell r="F639">
            <v>0</v>
          </cell>
          <cell r="G639">
            <v>0</v>
          </cell>
          <cell r="H639">
            <v>0</v>
          </cell>
          <cell r="I639">
            <v>0</v>
          </cell>
          <cell r="L639">
            <v>0</v>
          </cell>
          <cell r="M639">
            <v>0</v>
          </cell>
          <cell r="N639">
            <v>0</v>
          </cell>
          <cell r="S639">
            <v>0</v>
          </cell>
          <cell r="T639">
            <v>0</v>
          </cell>
          <cell r="U639">
            <v>0</v>
          </cell>
          <cell r="W639">
            <v>5.5666700000000002</v>
          </cell>
          <cell r="X639">
            <v>0</v>
          </cell>
        </row>
        <row r="640">
          <cell r="A640">
            <v>37969</v>
          </cell>
          <cell r="B640" t="str">
            <v>CustomerService</v>
          </cell>
          <cell r="E640">
            <v>12</v>
          </cell>
          <cell r="F640">
            <v>0</v>
          </cell>
          <cell r="G640">
            <v>0</v>
          </cell>
          <cell r="H640">
            <v>0</v>
          </cell>
          <cell r="I640">
            <v>0</v>
          </cell>
          <cell r="L640">
            <v>0</v>
          </cell>
          <cell r="M640">
            <v>0</v>
          </cell>
          <cell r="N640">
            <v>0</v>
          </cell>
          <cell r="S640">
            <v>0</v>
          </cell>
          <cell r="T640">
            <v>0</v>
          </cell>
          <cell r="U640">
            <v>0</v>
          </cell>
          <cell r="W640">
            <v>12</v>
          </cell>
          <cell r="X640">
            <v>0</v>
          </cell>
        </row>
        <row r="641">
          <cell r="A641">
            <v>37969</v>
          </cell>
          <cell r="B641" t="str">
            <v>CustomerService</v>
          </cell>
          <cell r="E641">
            <v>0</v>
          </cell>
          <cell r="F641">
            <v>0</v>
          </cell>
          <cell r="G641">
            <v>0</v>
          </cell>
          <cell r="H641">
            <v>0</v>
          </cell>
          <cell r="I641">
            <v>0</v>
          </cell>
          <cell r="L641">
            <v>0</v>
          </cell>
          <cell r="M641">
            <v>0</v>
          </cell>
          <cell r="N641">
            <v>0</v>
          </cell>
          <cell r="S641">
            <v>0</v>
          </cell>
          <cell r="T641">
            <v>0</v>
          </cell>
          <cell r="U641">
            <v>0</v>
          </cell>
          <cell r="W641">
            <v>0</v>
          </cell>
          <cell r="X641">
            <v>0</v>
          </cell>
        </row>
        <row r="642">
          <cell r="A642">
            <v>37969</v>
          </cell>
          <cell r="B642" t="str">
            <v>Swat</v>
          </cell>
          <cell r="E642">
            <v>0</v>
          </cell>
          <cell r="F642">
            <v>0</v>
          </cell>
          <cell r="G642">
            <v>0</v>
          </cell>
          <cell r="H642">
            <v>0</v>
          </cell>
          <cell r="I642">
            <v>0</v>
          </cell>
          <cell r="L642">
            <v>0</v>
          </cell>
          <cell r="M642">
            <v>0</v>
          </cell>
          <cell r="N642">
            <v>0</v>
          </cell>
          <cell r="S642">
            <v>0</v>
          </cell>
          <cell r="T642">
            <v>0</v>
          </cell>
          <cell r="U642">
            <v>0</v>
          </cell>
          <cell r="W642">
            <v>0</v>
          </cell>
          <cell r="X642">
            <v>0</v>
          </cell>
        </row>
        <row r="643">
          <cell r="A643">
            <v>37969</v>
          </cell>
          <cell r="B643" t="str">
            <v>Offsite1Receive</v>
          </cell>
          <cell r="E643">
            <v>0</v>
          </cell>
          <cell r="F643">
            <v>0</v>
          </cell>
          <cell r="G643">
            <v>0</v>
          </cell>
          <cell r="H643">
            <v>0</v>
          </cell>
          <cell r="I643">
            <v>0</v>
          </cell>
          <cell r="L643">
            <v>0</v>
          </cell>
          <cell r="M643">
            <v>0</v>
          </cell>
          <cell r="N643">
            <v>0</v>
          </cell>
          <cell r="S643">
            <v>0</v>
          </cell>
          <cell r="T643">
            <v>0</v>
          </cell>
          <cell r="U643">
            <v>0</v>
          </cell>
          <cell r="W643">
            <v>0</v>
          </cell>
          <cell r="X643">
            <v>0</v>
          </cell>
        </row>
        <row r="644">
          <cell r="A644">
            <v>37969</v>
          </cell>
          <cell r="B644" t="str">
            <v>Bundler</v>
          </cell>
          <cell r="E644">
            <v>3.7166600227356001</v>
          </cell>
          <cell r="F644">
            <v>0</v>
          </cell>
          <cell r="G644">
            <v>0</v>
          </cell>
          <cell r="H644">
            <v>0</v>
          </cell>
          <cell r="I644">
            <v>0</v>
          </cell>
          <cell r="L644">
            <v>0</v>
          </cell>
          <cell r="M644">
            <v>0</v>
          </cell>
          <cell r="N644">
            <v>0</v>
          </cell>
          <cell r="S644">
            <v>0</v>
          </cell>
          <cell r="T644">
            <v>0</v>
          </cell>
          <cell r="U644">
            <v>0</v>
          </cell>
          <cell r="W644">
            <v>3.7166600000000001</v>
          </cell>
          <cell r="X644">
            <v>0</v>
          </cell>
        </row>
        <row r="645">
          <cell r="A645">
            <v>37969</v>
          </cell>
          <cell r="B645" t="str">
            <v>Training</v>
          </cell>
          <cell r="E645">
            <v>18</v>
          </cell>
          <cell r="F645">
            <v>0</v>
          </cell>
          <cell r="G645">
            <v>0</v>
          </cell>
          <cell r="H645">
            <v>0</v>
          </cell>
          <cell r="I645">
            <v>0</v>
          </cell>
          <cell r="L645">
            <v>0</v>
          </cell>
          <cell r="M645">
            <v>0</v>
          </cell>
          <cell r="N645">
            <v>0</v>
          </cell>
          <cell r="S645">
            <v>0</v>
          </cell>
          <cell r="T645">
            <v>0</v>
          </cell>
          <cell r="U645">
            <v>0</v>
          </cell>
          <cell r="W645">
            <v>0</v>
          </cell>
          <cell r="X645">
            <v>0</v>
          </cell>
        </row>
        <row r="646">
          <cell r="A646">
            <v>37968</v>
          </cell>
          <cell r="B646" t="str">
            <v>Training</v>
          </cell>
          <cell r="E646">
            <v>16</v>
          </cell>
          <cell r="F646">
            <v>0</v>
          </cell>
          <cell r="G646">
            <v>0</v>
          </cell>
          <cell r="H646">
            <v>0</v>
          </cell>
          <cell r="I646">
            <v>0</v>
          </cell>
          <cell r="L646">
            <v>0</v>
          </cell>
          <cell r="M646">
            <v>0</v>
          </cell>
          <cell r="N646">
            <v>0</v>
          </cell>
          <cell r="S646">
            <v>0</v>
          </cell>
          <cell r="T646">
            <v>0</v>
          </cell>
          <cell r="U646">
            <v>0</v>
          </cell>
          <cell r="W646">
            <v>16</v>
          </cell>
          <cell r="X646">
            <v>0</v>
          </cell>
        </row>
        <row r="647">
          <cell r="A647">
            <v>37968</v>
          </cell>
          <cell r="B647" t="str">
            <v>Facilities</v>
          </cell>
          <cell r="E647">
            <v>112.06666564941</v>
          </cell>
          <cell r="F647">
            <v>0</v>
          </cell>
          <cell r="G647">
            <v>0</v>
          </cell>
          <cell r="H647">
            <v>0</v>
          </cell>
          <cell r="I647">
            <v>0</v>
          </cell>
          <cell r="L647">
            <v>0</v>
          </cell>
          <cell r="M647">
            <v>0</v>
          </cell>
          <cell r="N647">
            <v>0</v>
          </cell>
          <cell r="S647">
            <v>0</v>
          </cell>
          <cell r="T647">
            <v>0</v>
          </cell>
          <cell r="U647">
            <v>0</v>
          </cell>
          <cell r="W647">
            <v>112.06699999999999</v>
          </cell>
          <cell r="X647">
            <v>0</v>
          </cell>
        </row>
        <row r="648">
          <cell r="A648">
            <v>37968</v>
          </cell>
          <cell r="B648" t="str">
            <v>Picking</v>
          </cell>
          <cell r="E648">
            <v>0</v>
          </cell>
          <cell r="F648">
            <v>0</v>
          </cell>
          <cell r="G648">
            <v>0</v>
          </cell>
          <cell r="H648">
            <v>0</v>
          </cell>
          <cell r="I648">
            <v>0</v>
          </cell>
          <cell r="L648">
            <v>0</v>
          </cell>
          <cell r="M648">
            <v>0</v>
          </cell>
          <cell r="N648">
            <v>0</v>
          </cell>
          <cell r="S648">
            <v>0</v>
          </cell>
          <cell r="T648">
            <v>0</v>
          </cell>
          <cell r="U648">
            <v>0</v>
          </cell>
          <cell r="W648">
            <v>0</v>
          </cell>
          <cell r="X648">
            <v>0</v>
          </cell>
        </row>
        <row r="649">
          <cell r="A649">
            <v>37968</v>
          </cell>
          <cell r="B649" t="str">
            <v>CReturns</v>
          </cell>
          <cell r="E649">
            <v>-2.3500003814696999</v>
          </cell>
          <cell r="F649">
            <v>0</v>
          </cell>
          <cell r="G649">
            <v>249</v>
          </cell>
          <cell r="H649">
            <v>0</v>
          </cell>
          <cell r="I649">
            <v>0</v>
          </cell>
          <cell r="L649">
            <v>0</v>
          </cell>
          <cell r="M649">
            <v>0</v>
          </cell>
          <cell r="N649">
            <v>0</v>
          </cell>
          <cell r="S649">
            <v>0</v>
          </cell>
          <cell r="T649">
            <v>0</v>
          </cell>
          <cell r="U649">
            <v>0</v>
          </cell>
          <cell r="W649">
            <v>-8.85</v>
          </cell>
          <cell r="X649">
            <v>0</v>
          </cell>
        </row>
        <row r="650">
          <cell r="A650">
            <v>37968</v>
          </cell>
          <cell r="B650" t="str">
            <v>Vreturns</v>
          </cell>
          <cell r="E650">
            <v>50.216667175292997</v>
          </cell>
          <cell r="F650">
            <v>0</v>
          </cell>
          <cell r="G650">
            <v>7508</v>
          </cell>
          <cell r="H650">
            <v>0</v>
          </cell>
          <cell r="I650">
            <v>0</v>
          </cell>
          <cell r="L650">
            <v>0</v>
          </cell>
          <cell r="M650">
            <v>0</v>
          </cell>
          <cell r="N650">
            <v>0</v>
          </cell>
          <cell r="S650">
            <v>0</v>
          </cell>
          <cell r="T650">
            <v>0</v>
          </cell>
          <cell r="U650">
            <v>0</v>
          </cell>
          <cell r="W650">
            <v>-3.7833299999999999</v>
          </cell>
          <cell r="X650">
            <v>0</v>
          </cell>
        </row>
        <row r="651">
          <cell r="A651">
            <v>37968</v>
          </cell>
          <cell r="B651" t="str">
            <v>InventoryControl</v>
          </cell>
          <cell r="E651">
            <v>78.133331298827997</v>
          </cell>
          <cell r="F651">
            <v>0</v>
          </cell>
          <cell r="G651">
            <v>0</v>
          </cell>
          <cell r="H651">
            <v>0</v>
          </cell>
          <cell r="I651">
            <v>0</v>
          </cell>
          <cell r="L651">
            <v>0</v>
          </cell>
          <cell r="M651">
            <v>0</v>
          </cell>
          <cell r="N651">
            <v>0</v>
          </cell>
          <cell r="S651">
            <v>0</v>
          </cell>
          <cell r="T651">
            <v>0</v>
          </cell>
          <cell r="U651">
            <v>0</v>
          </cell>
          <cell r="W651">
            <v>129.63300000000001</v>
          </cell>
          <cell r="X651">
            <v>0</v>
          </cell>
        </row>
        <row r="652">
          <cell r="A652">
            <v>37968</v>
          </cell>
          <cell r="B652" t="str">
            <v>QA</v>
          </cell>
          <cell r="E652">
            <v>105.5</v>
          </cell>
          <cell r="F652">
            <v>0</v>
          </cell>
          <cell r="G652">
            <v>0</v>
          </cell>
          <cell r="H652">
            <v>0</v>
          </cell>
          <cell r="I652">
            <v>0</v>
          </cell>
          <cell r="L652">
            <v>0</v>
          </cell>
          <cell r="M652">
            <v>0</v>
          </cell>
          <cell r="N652">
            <v>0</v>
          </cell>
          <cell r="S652">
            <v>0</v>
          </cell>
          <cell r="T652">
            <v>0</v>
          </cell>
          <cell r="U652">
            <v>0</v>
          </cell>
          <cell r="W652">
            <v>61.5</v>
          </cell>
          <cell r="X652">
            <v>0</v>
          </cell>
        </row>
        <row r="653">
          <cell r="A653">
            <v>37968</v>
          </cell>
          <cell r="B653" t="str">
            <v>BMV Receive</v>
          </cell>
          <cell r="E653">
            <v>224.3166809082</v>
          </cell>
          <cell r="F653">
            <v>27.41</v>
          </cell>
          <cell r="G653">
            <v>45574</v>
          </cell>
          <cell r="H653">
            <v>39808</v>
          </cell>
          <cell r="I653">
            <v>0</v>
          </cell>
          <cell r="L653">
            <v>183.5</v>
          </cell>
          <cell r="M653">
            <v>0</v>
          </cell>
          <cell r="N653">
            <v>8</v>
          </cell>
          <cell r="S653">
            <v>0</v>
          </cell>
          <cell r="T653">
            <v>30</v>
          </cell>
          <cell r="U653">
            <v>0</v>
          </cell>
          <cell r="W653">
            <v>-13.093299999999999</v>
          </cell>
          <cell r="X653">
            <v>0</v>
          </cell>
        </row>
        <row r="654">
          <cell r="A654">
            <v>37968</v>
          </cell>
          <cell r="B654" t="str">
            <v>Sortation</v>
          </cell>
          <cell r="E654">
            <v>1088.6000976562</v>
          </cell>
          <cell r="F654">
            <v>0</v>
          </cell>
          <cell r="G654">
            <v>0</v>
          </cell>
          <cell r="H654">
            <v>0</v>
          </cell>
          <cell r="I654">
            <v>0</v>
          </cell>
          <cell r="L654">
            <v>0</v>
          </cell>
          <cell r="M654">
            <v>0</v>
          </cell>
          <cell r="N654">
            <v>0</v>
          </cell>
          <cell r="S654">
            <v>0</v>
          </cell>
          <cell r="T654">
            <v>0</v>
          </cell>
          <cell r="U654">
            <v>0</v>
          </cell>
          <cell r="W654">
            <v>125.28</v>
          </cell>
          <cell r="X654">
            <v>0</v>
          </cell>
        </row>
        <row r="655">
          <cell r="A655">
            <v>37968</v>
          </cell>
          <cell r="B655" t="str">
            <v>Rebin</v>
          </cell>
          <cell r="E655">
            <v>415</v>
          </cell>
          <cell r="F655">
            <v>48</v>
          </cell>
          <cell r="G655">
            <v>74486</v>
          </cell>
          <cell r="H655">
            <v>0</v>
          </cell>
          <cell r="I655">
            <v>0</v>
          </cell>
          <cell r="L655">
            <v>0</v>
          </cell>
          <cell r="M655">
            <v>0</v>
          </cell>
          <cell r="N655">
            <v>0</v>
          </cell>
          <cell r="S655">
            <v>0</v>
          </cell>
          <cell r="T655">
            <v>0</v>
          </cell>
          <cell r="U655">
            <v>0</v>
          </cell>
          <cell r="W655">
            <v>0</v>
          </cell>
          <cell r="X655">
            <v>0</v>
          </cell>
        </row>
        <row r="656">
          <cell r="A656">
            <v>37968</v>
          </cell>
          <cell r="B656" t="str">
            <v>Stack</v>
          </cell>
          <cell r="E656">
            <v>405.5</v>
          </cell>
          <cell r="F656">
            <v>0</v>
          </cell>
          <cell r="G656">
            <v>54794</v>
          </cell>
          <cell r="H656">
            <v>0</v>
          </cell>
          <cell r="I656">
            <v>0</v>
          </cell>
          <cell r="L656">
            <v>0</v>
          </cell>
          <cell r="M656">
            <v>0</v>
          </cell>
          <cell r="N656">
            <v>0</v>
          </cell>
          <cell r="S656">
            <v>1777</v>
          </cell>
          <cell r="T656">
            <v>0</v>
          </cell>
          <cell r="U656">
            <v>0</v>
          </cell>
          <cell r="W656">
            <v>0</v>
          </cell>
          <cell r="X656">
            <v>0</v>
          </cell>
        </row>
        <row r="657">
          <cell r="A657">
            <v>37968</v>
          </cell>
          <cell r="B657" t="str">
            <v>Bundler</v>
          </cell>
          <cell r="E657">
            <v>268.10000610352</v>
          </cell>
          <cell r="F657">
            <v>12</v>
          </cell>
          <cell r="G657">
            <v>54794</v>
          </cell>
          <cell r="H657">
            <v>0</v>
          </cell>
          <cell r="I657">
            <v>0</v>
          </cell>
          <cell r="L657">
            <v>0</v>
          </cell>
          <cell r="M657">
            <v>0</v>
          </cell>
          <cell r="N657">
            <v>0</v>
          </cell>
          <cell r="S657">
            <v>0</v>
          </cell>
          <cell r="T657">
            <v>0</v>
          </cell>
          <cell r="U657">
            <v>0</v>
          </cell>
          <cell r="W657">
            <v>125.28</v>
          </cell>
          <cell r="X657">
            <v>17457</v>
          </cell>
        </row>
        <row r="658">
          <cell r="A658">
            <v>37968</v>
          </cell>
          <cell r="B658" t="str">
            <v>BMV Stow</v>
          </cell>
          <cell r="E658">
            <v>134.25</v>
          </cell>
          <cell r="F658">
            <v>0</v>
          </cell>
          <cell r="G658">
            <v>48963</v>
          </cell>
          <cell r="H658">
            <v>46489</v>
          </cell>
          <cell r="I658">
            <v>2474</v>
          </cell>
          <cell r="L658">
            <v>128.25</v>
          </cell>
          <cell r="M658">
            <v>6</v>
          </cell>
          <cell r="N658">
            <v>0</v>
          </cell>
          <cell r="S658">
            <v>0</v>
          </cell>
          <cell r="T658">
            <v>0</v>
          </cell>
          <cell r="U658">
            <v>0</v>
          </cell>
          <cell r="W658">
            <v>0</v>
          </cell>
          <cell r="X658">
            <v>0</v>
          </cell>
        </row>
        <row r="659">
          <cell r="A659">
            <v>37968</v>
          </cell>
          <cell r="B659" t="str">
            <v>Replenishment</v>
          </cell>
          <cell r="E659">
            <v>134</v>
          </cell>
          <cell r="F659">
            <v>0</v>
          </cell>
          <cell r="G659">
            <v>21630</v>
          </cell>
          <cell r="H659">
            <v>0</v>
          </cell>
          <cell r="I659">
            <v>0</v>
          </cell>
          <cell r="L659">
            <v>0</v>
          </cell>
          <cell r="M659">
            <v>0</v>
          </cell>
          <cell r="N659">
            <v>0</v>
          </cell>
          <cell r="S659">
            <v>0</v>
          </cell>
          <cell r="T659">
            <v>0</v>
          </cell>
          <cell r="U659">
            <v>0</v>
          </cell>
          <cell r="W659">
            <v>0</v>
          </cell>
          <cell r="X659">
            <v>0</v>
          </cell>
        </row>
        <row r="660">
          <cell r="A660">
            <v>37968</v>
          </cell>
          <cell r="B660" t="str">
            <v>Picking</v>
          </cell>
          <cell r="E660">
            <v>1143.5333251953</v>
          </cell>
          <cell r="F660">
            <v>0</v>
          </cell>
          <cell r="G660">
            <v>101399</v>
          </cell>
          <cell r="H660">
            <v>0</v>
          </cell>
          <cell r="I660">
            <v>0</v>
          </cell>
          <cell r="L660">
            <v>0</v>
          </cell>
          <cell r="M660">
            <v>0</v>
          </cell>
          <cell r="N660">
            <v>0</v>
          </cell>
          <cell r="S660">
            <v>0</v>
          </cell>
          <cell r="T660">
            <v>0</v>
          </cell>
          <cell r="U660">
            <v>0</v>
          </cell>
          <cell r="W660">
            <v>154.53299999999999</v>
          </cell>
          <cell r="X660">
            <v>0</v>
          </cell>
        </row>
        <row r="661">
          <cell r="A661">
            <v>37968</v>
          </cell>
          <cell r="B661" t="str">
            <v>Offsite1Ship</v>
          </cell>
          <cell r="E661">
            <v>1636.3800048828</v>
          </cell>
          <cell r="F661">
            <v>108</v>
          </cell>
          <cell r="G661">
            <v>12804</v>
          </cell>
          <cell r="H661">
            <v>12804</v>
          </cell>
          <cell r="I661">
            <v>0</v>
          </cell>
          <cell r="L661">
            <v>468</v>
          </cell>
          <cell r="M661">
            <v>0</v>
          </cell>
          <cell r="N661">
            <v>0</v>
          </cell>
          <cell r="S661">
            <v>0</v>
          </cell>
          <cell r="T661">
            <v>0</v>
          </cell>
          <cell r="U661">
            <v>0</v>
          </cell>
          <cell r="W661">
            <v>1696.38</v>
          </cell>
          <cell r="X661">
            <v>0</v>
          </cell>
        </row>
        <row r="662">
          <cell r="A662">
            <v>37968</v>
          </cell>
          <cell r="B662" t="str">
            <v>Offsite1Receive</v>
          </cell>
          <cell r="E662">
            <v>-1696.3800048828</v>
          </cell>
          <cell r="F662">
            <v>0</v>
          </cell>
          <cell r="G662">
            <v>0</v>
          </cell>
          <cell r="H662">
            <v>0</v>
          </cell>
          <cell r="I662">
            <v>0</v>
          </cell>
          <cell r="L662">
            <v>0</v>
          </cell>
          <cell r="M662">
            <v>0</v>
          </cell>
          <cell r="N662">
            <v>0</v>
          </cell>
          <cell r="S662">
            <v>0</v>
          </cell>
          <cell r="T662">
            <v>0</v>
          </cell>
          <cell r="U662">
            <v>0</v>
          </cell>
          <cell r="W662">
            <v>-1696.38</v>
          </cell>
          <cell r="X662">
            <v>0</v>
          </cell>
        </row>
        <row r="663">
          <cell r="A663">
            <v>37968</v>
          </cell>
          <cell r="B663" t="str">
            <v>Shipping</v>
          </cell>
          <cell r="E663">
            <v>986.28332519531</v>
          </cell>
          <cell r="F663">
            <v>0</v>
          </cell>
          <cell r="G663">
            <v>0</v>
          </cell>
          <cell r="H663">
            <v>0</v>
          </cell>
          <cell r="I663">
            <v>0</v>
          </cell>
          <cell r="L663">
            <v>0</v>
          </cell>
          <cell r="M663">
            <v>0</v>
          </cell>
          <cell r="N663">
            <v>0</v>
          </cell>
          <cell r="S663">
            <v>0</v>
          </cell>
          <cell r="T663">
            <v>0</v>
          </cell>
          <cell r="U663">
            <v>0</v>
          </cell>
          <cell r="W663">
            <v>104.033</v>
          </cell>
          <cell r="X663">
            <v>16761</v>
          </cell>
        </row>
        <row r="664">
          <cell r="A664">
            <v>37968</v>
          </cell>
          <cell r="B664" t="str">
            <v>Autobox</v>
          </cell>
          <cell r="E664">
            <v>298</v>
          </cell>
          <cell r="F664">
            <v>119</v>
          </cell>
          <cell r="G664">
            <v>28849</v>
          </cell>
          <cell r="H664">
            <v>0</v>
          </cell>
          <cell r="I664">
            <v>0</v>
          </cell>
          <cell r="L664">
            <v>0</v>
          </cell>
          <cell r="M664">
            <v>0</v>
          </cell>
          <cell r="N664">
            <v>0</v>
          </cell>
          <cell r="S664">
            <v>0</v>
          </cell>
          <cell r="T664">
            <v>0</v>
          </cell>
          <cell r="U664">
            <v>0</v>
          </cell>
          <cell r="W664">
            <v>0</v>
          </cell>
          <cell r="X664">
            <v>0</v>
          </cell>
        </row>
        <row r="665">
          <cell r="A665">
            <v>37968</v>
          </cell>
          <cell r="B665" t="str">
            <v>Levimatic</v>
          </cell>
          <cell r="E665">
            <v>37.5</v>
          </cell>
          <cell r="F665">
            <v>22</v>
          </cell>
          <cell r="G665">
            <v>6402</v>
          </cell>
          <cell r="H665">
            <v>0</v>
          </cell>
          <cell r="I665">
            <v>0</v>
          </cell>
          <cell r="L665">
            <v>0</v>
          </cell>
          <cell r="M665">
            <v>0</v>
          </cell>
          <cell r="N665">
            <v>0</v>
          </cell>
          <cell r="S665">
            <v>0</v>
          </cell>
          <cell r="T665">
            <v>0</v>
          </cell>
          <cell r="U665">
            <v>0</v>
          </cell>
          <cell r="W665">
            <v>0</v>
          </cell>
          <cell r="X665">
            <v>0</v>
          </cell>
        </row>
        <row r="666">
          <cell r="A666">
            <v>37968</v>
          </cell>
          <cell r="B666" t="str">
            <v>Giftwrap</v>
          </cell>
          <cell r="E666">
            <v>180.5</v>
          </cell>
          <cell r="F666">
            <v>0</v>
          </cell>
          <cell r="G666">
            <v>3786</v>
          </cell>
          <cell r="H666">
            <v>0</v>
          </cell>
          <cell r="I666">
            <v>0</v>
          </cell>
          <cell r="L666">
            <v>0</v>
          </cell>
          <cell r="M666">
            <v>0</v>
          </cell>
          <cell r="N666">
            <v>0</v>
          </cell>
          <cell r="S666">
            <v>0</v>
          </cell>
          <cell r="T666">
            <v>0</v>
          </cell>
          <cell r="U666">
            <v>0</v>
          </cell>
          <cell r="W666">
            <v>0</v>
          </cell>
          <cell r="X666">
            <v>0</v>
          </cell>
        </row>
        <row r="667">
          <cell r="A667">
            <v>37968</v>
          </cell>
          <cell r="B667" t="str">
            <v>ShipSupport</v>
          </cell>
          <cell r="E667">
            <v>470.28299713134999</v>
          </cell>
          <cell r="F667">
            <v>57.5</v>
          </cell>
          <cell r="G667">
            <v>0</v>
          </cell>
          <cell r="H667">
            <v>0</v>
          </cell>
          <cell r="I667">
            <v>0</v>
          </cell>
          <cell r="L667">
            <v>0</v>
          </cell>
          <cell r="M667">
            <v>0</v>
          </cell>
          <cell r="N667">
            <v>0</v>
          </cell>
          <cell r="S667">
            <v>0</v>
          </cell>
          <cell r="T667">
            <v>0</v>
          </cell>
          <cell r="U667">
            <v>0</v>
          </cell>
          <cell r="W667">
            <v>104.033</v>
          </cell>
          <cell r="X667">
            <v>0</v>
          </cell>
        </row>
        <row r="668">
          <cell r="A668">
            <v>37968</v>
          </cell>
          <cell r="B668" t="str">
            <v>Office</v>
          </cell>
          <cell r="E668">
            <v>61.083332061767997</v>
          </cell>
          <cell r="F668">
            <v>0</v>
          </cell>
          <cell r="G668">
            <v>0</v>
          </cell>
          <cell r="H668">
            <v>0</v>
          </cell>
          <cell r="I668">
            <v>0</v>
          </cell>
          <cell r="L668">
            <v>0</v>
          </cell>
          <cell r="M668">
            <v>0</v>
          </cell>
          <cell r="N668">
            <v>0</v>
          </cell>
          <cell r="S668">
            <v>0</v>
          </cell>
          <cell r="T668">
            <v>0</v>
          </cell>
          <cell r="U668">
            <v>0</v>
          </cell>
          <cell r="W668">
            <v>61.083300000000001</v>
          </cell>
          <cell r="X668">
            <v>0</v>
          </cell>
        </row>
        <row r="669">
          <cell r="A669">
            <v>37968</v>
          </cell>
          <cell r="B669" t="str">
            <v>Office</v>
          </cell>
          <cell r="E669">
            <v>0</v>
          </cell>
          <cell r="F669">
            <v>0</v>
          </cell>
          <cell r="G669">
            <v>0</v>
          </cell>
          <cell r="H669">
            <v>0</v>
          </cell>
          <cell r="I669">
            <v>0</v>
          </cell>
          <cell r="L669">
            <v>0</v>
          </cell>
          <cell r="M669">
            <v>0</v>
          </cell>
          <cell r="N669">
            <v>0</v>
          </cell>
          <cell r="S669">
            <v>0</v>
          </cell>
          <cell r="T669">
            <v>0</v>
          </cell>
          <cell r="U669">
            <v>0</v>
          </cell>
          <cell r="W669">
            <v>0</v>
          </cell>
          <cell r="X669">
            <v>0</v>
          </cell>
        </row>
        <row r="670">
          <cell r="A670">
            <v>37968</v>
          </cell>
          <cell r="B670" t="str">
            <v>BMV Receive</v>
          </cell>
          <cell r="E670">
            <v>12</v>
          </cell>
          <cell r="F670">
            <v>0</v>
          </cell>
          <cell r="G670">
            <v>0</v>
          </cell>
          <cell r="H670">
            <v>0</v>
          </cell>
          <cell r="I670">
            <v>0</v>
          </cell>
          <cell r="L670">
            <v>0</v>
          </cell>
          <cell r="M670">
            <v>0</v>
          </cell>
          <cell r="N670">
            <v>0</v>
          </cell>
          <cell r="S670">
            <v>0</v>
          </cell>
          <cell r="T670">
            <v>0</v>
          </cell>
          <cell r="U670">
            <v>0</v>
          </cell>
          <cell r="W670">
            <v>12</v>
          </cell>
          <cell r="X670">
            <v>0</v>
          </cell>
        </row>
        <row r="671">
          <cell r="A671">
            <v>37968</v>
          </cell>
          <cell r="B671" t="str">
            <v>QA</v>
          </cell>
          <cell r="E671">
            <v>0</v>
          </cell>
          <cell r="F671">
            <v>0</v>
          </cell>
          <cell r="G671">
            <v>0</v>
          </cell>
          <cell r="H671">
            <v>0</v>
          </cell>
          <cell r="I671">
            <v>0</v>
          </cell>
          <cell r="L671">
            <v>0</v>
          </cell>
          <cell r="M671">
            <v>0</v>
          </cell>
          <cell r="N671">
            <v>0</v>
          </cell>
          <cell r="S671">
            <v>0</v>
          </cell>
          <cell r="T671">
            <v>0</v>
          </cell>
          <cell r="U671">
            <v>0</v>
          </cell>
          <cell r="W671">
            <v>0</v>
          </cell>
          <cell r="X671">
            <v>0</v>
          </cell>
        </row>
        <row r="672">
          <cell r="A672">
            <v>37968</v>
          </cell>
          <cell r="B672" t="str">
            <v>Vreturns</v>
          </cell>
          <cell r="E672">
            <v>0</v>
          </cell>
          <cell r="F672">
            <v>0</v>
          </cell>
          <cell r="G672">
            <v>0</v>
          </cell>
          <cell r="H672">
            <v>0</v>
          </cell>
          <cell r="I672">
            <v>0</v>
          </cell>
          <cell r="L672">
            <v>0</v>
          </cell>
          <cell r="M672">
            <v>0</v>
          </cell>
          <cell r="N672">
            <v>0</v>
          </cell>
          <cell r="S672">
            <v>0</v>
          </cell>
          <cell r="T672">
            <v>0</v>
          </cell>
          <cell r="U672">
            <v>0</v>
          </cell>
          <cell r="W672">
            <v>0</v>
          </cell>
          <cell r="X672">
            <v>0</v>
          </cell>
        </row>
        <row r="673">
          <cell r="A673">
            <v>37968</v>
          </cell>
          <cell r="B673" t="str">
            <v>Facilities</v>
          </cell>
          <cell r="E673">
            <v>0</v>
          </cell>
          <cell r="F673">
            <v>0</v>
          </cell>
          <cell r="G673">
            <v>0</v>
          </cell>
          <cell r="H673">
            <v>0</v>
          </cell>
          <cell r="I673">
            <v>0</v>
          </cell>
          <cell r="L673">
            <v>0</v>
          </cell>
          <cell r="M673">
            <v>0</v>
          </cell>
          <cell r="N673">
            <v>0</v>
          </cell>
          <cell r="S673">
            <v>0</v>
          </cell>
          <cell r="T673">
            <v>0</v>
          </cell>
          <cell r="U673">
            <v>0</v>
          </cell>
          <cell r="W673">
            <v>0</v>
          </cell>
          <cell r="X673">
            <v>0</v>
          </cell>
        </row>
        <row r="674">
          <cell r="A674">
            <v>37968</v>
          </cell>
          <cell r="B674" t="str">
            <v>SNOC</v>
          </cell>
          <cell r="E674">
            <v>12</v>
          </cell>
          <cell r="F674">
            <v>0</v>
          </cell>
          <cell r="G674">
            <v>0</v>
          </cell>
          <cell r="H674">
            <v>0</v>
          </cell>
          <cell r="I674">
            <v>0</v>
          </cell>
          <cell r="L674">
            <v>0</v>
          </cell>
          <cell r="M674">
            <v>0</v>
          </cell>
          <cell r="N674">
            <v>0</v>
          </cell>
          <cell r="S674">
            <v>0</v>
          </cell>
          <cell r="T674">
            <v>0</v>
          </cell>
          <cell r="U674">
            <v>0</v>
          </cell>
          <cell r="W674">
            <v>12</v>
          </cell>
          <cell r="X674">
            <v>0</v>
          </cell>
        </row>
        <row r="675">
          <cell r="A675">
            <v>37968</v>
          </cell>
          <cell r="B675" t="str">
            <v>Sortation</v>
          </cell>
          <cell r="E675">
            <v>9.8500003814696999</v>
          </cell>
          <cell r="F675">
            <v>0</v>
          </cell>
          <cell r="G675">
            <v>0</v>
          </cell>
          <cell r="H675">
            <v>0</v>
          </cell>
          <cell r="I675">
            <v>0</v>
          </cell>
          <cell r="L675">
            <v>0</v>
          </cell>
          <cell r="M675">
            <v>0</v>
          </cell>
          <cell r="N675">
            <v>0</v>
          </cell>
          <cell r="S675">
            <v>0</v>
          </cell>
          <cell r="T675">
            <v>0</v>
          </cell>
          <cell r="U675">
            <v>0</v>
          </cell>
          <cell r="W675">
            <v>9.85</v>
          </cell>
          <cell r="X675">
            <v>0</v>
          </cell>
        </row>
        <row r="676">
          <cell r="A676">
            <v>37968</v>
          </cell>
          <cell r="B676" t="str">
            <v>Shipping</v>
          </cell>
          <cell r="E676">
            <v>0</v>
          </cell>
          <cell r="F676">
            <v>0</v>
          </cell>
          <cell r="G676">
            <v>0</v>
          </cell>
          <cell r="H676">
            <v>0</v>
          </cell>
          <cell r="I676">
            <v>0</v>
          </cell>
          <cell r="L676">
            <v>0</v>
          </cell>
          <cell r="M676">
            <v>0</v>
          </cell>
          <cell r="N676">
            <v>0</v>
          </cell>
          <cell r="S676">
            <v>0</v>
          </cell>
          <cell r="T676">
            <v>0</v>
          </cell>
          <cell r="U676">
            <v>0</v>
          </cell>
          <cell r="W676">
            <v>0</v>
          </cell>
          <cell r="X676">
            <v>0</v>
          </cell>
        </row>
        <row r="677">
          <cell r="A677">
            <v>37968</v>
          </cell>
          <cell r="B677" t="str">
            <v>CustomerService</v>
          </cell>
          <cell r="E677">
            <v>10.39999961853</v>
          </cell>
          <cell r="F677">
            <v>0</v>
          </cell>
          <cell r="G677">
            <v>0</v>
          </cell>
          <cell r="H677">
            <v>0</v>
          </cell>
          <cell r="I677">
            <v>0</v>
          </cell>
          <cell r="L677">
            <v>0</v>
          </cell>
          <cell r="M677">
            <v>0</v>
          </cell>
          <cell r="N677">
            <v>0</v>
          </cell>
          <cell r="S677">
            <v>0</v>
          </cell>
          <cell r="T677">
            <v>0</v>
          </cell>
          <cell r="U677">
            <v>0</v>
          </cell>
          <cell r="W677">
            <v>10.4</v>
          </cell>
          <cell r="X677">
            <v>0</v>
          </cell>
        </row>
        <row r="678">
          <cell r="A678">
            <v>37968</v>
          </cell>
          <cell r="B678" t="str">
            <v>CustomerService</v>
          </cell>
          <cell r="E678">
            <v>0</v>
          </cell>
          <cell r="F678">
            <v>0</v>
          </cell>
          <cell r="G678">
            <v>0</v>
          </cell>
          <cell r="H678">
            <v>0</v>
          </cell>
          <cell r="I678">
            <v>0</v>
          </cell>
          <cell r="L678">
            <v>0</v>
          </cell>
          <cell r="M678">
            <v>0</v>
          </cell>
          <cell r="N678">
            <v>0</v>
          </cell>
          <cell r="S678">
            <v>0</v>
          </cell>
          <cell r="T678">
            <v>0</v>
          </cell>
          <cell r="U678">
            <v>0</v>
          </cell>
          <cell r="W678">
            <v>0</v>
          </cell>
          <cell r="X678">
            <v>0</v>
          </cell>
        </row>
        <row r="679">
          <cell r="A679">
            <v>37968</v>
          </cell>
          <cell r="B679" t="str">
            <v>Bundler</v>
          </cell>
          <cell r="E679">
            <v>9.8500003814696999</v>
          </cell>
          <cell r="F679">
            <v>0</v>
          </cell>
          <cell r="G679">
            <v>0</v>
          </cell>
          <cell r="H679">
            <v>0</v>
          </cell>
          <cell r="I679">
            <v>0</v>
          </cell>
          <cell r="L679">
            <v>0</v>
          </cell>
          <cell r="M679">
            <v>0</v>
          </cell>
          <cell r="N679">
            <v>0</v>
          </cell>
          <cell r="S679">
            <v>0</v>
          </cell>
          <cell r="T679">
            <v>0</v>
          </cell>
          <cell r="U679">
            <v>0</v>
          </cell>
          <cell r="W679">
            <v>9.85</v>
          </cell>
          <cell r="X679">
            <v>0</v>
          </cell>
        </row>
        <row r="680">
          <cell r="A680">
            <v>37967</v>
          </cell>
          <cell r="B680" t="str">
            <v>Shipping</v>
          </cell>
          <cell r="E680">
            <v>936.55000305175997</v>
          </cell>
          <cell r="F680">
            <v>0</v>
          </cell>
          <cell r="G680">
            <v>0</v>
          </cell>
          <cell r="H680">
            <v>0</v>
          </cell>
          <cell r="I680">
            <v>0</v>
          </cell>
          <cell r="L680">
            <v>0</v>
          </cell>
          <cell r="M680">
            <v>0</v>
          </cell>
          <cell r="N680">
            <v>0</v>
          </cell>
          <cell r="S680">
            <v>0</v>
          </cell>
          <cell r="T680">
            <v>0</v>
          </cell>
          <cell r="U680">
            <v>0</v>
          </cell>
          <cell r="W680">
            <v>54.75</v>
          </cell>
          <cell r="X680">
            <v>16221</v>
          </cell>
        </row>
        <row r="681">
          <cell r="A681">
            <v>37967</v>
          </cell>
          <cell r="B681" t="str">
            <v>Autobox</v>
          </cell>
          <cell r="E681">
            <v>301.38000488281</v>
          </cell>
          <cell r="F681">
            <v>11.75</v>
          </cell>
          <cell r="G681">
            <v>33349</v>
          </cell>
          <cell r="H681">
            <v>0</v>
          </cell>
          <cell r="I681">
            <v>0</v>
          </cell>
          <cell r="L681">
            <v>0</v>
          </cell>
          <cell r="M681">
            <v>0</v>
          </cell>
          <cell r="N681">
            <v>0</v>
          </cell>
          <cell r="S681">
            <v>0</v>
          </cell>
          <cell r="T681">
            <v>0</v>
          </cell>
          <cell r="U681">
            <v>0</v>
          </cell>
          <cell r="W681">
            <v>0</v>
          </cell>
          <cell r="X681">
            <v>0</v>
          </cell>
        </row>
        <row r="682">
          <cell r="A682">
            <v>37967</v>
          </cell>
          <cell r="B682" t="str">
            <v>Levimatic</v>
          </cell>
          <cell r="E682">
            <v>31</v>
          </cell>
          <cell r="F682">
            <v>0</v>
          </cell>
          <cell r="G682">
            <v>5449</v>
          </cell>
          <cell r="H682">
            <v>0</v>
          </cell>
          <cell r="I682">
            <v>0</v>
          </cell>
          <cell r="L682">
            <v>0</v>
          </cell>
          <cell r="M682">
            <v>0</v>
          </cell>
          <cell r="N682">
            <v>0</v>
          </cell>
          <cell r="S682">
            <v>0</v>
          </cell>
          <cell r="T682">
            <v>0</v>
          </cell>
          <cell r="U682">
            <v>0</v>
          </cell>
          <cell r="W682">
            <v>0</v>
          </cell>
          <cell r="X682">
            <v>0</v>
          </cell>
        </row>
        <row r="683">
          <cell r="A683">
            <v>37967</v>
          </cell>
          <cell r="B683" t="str">
            <v>Giftwrap</v>
          </cell>
          <cell r="E683">
            <v>246.80000305176</v>
          </cell>
          <cell r="F683">
            <v>0</v>
          </cell>
          <cell r="G683">
            <v>4680</v>
          </cell>
          <cell r="H683">
            <v>0</v>
          </cell>
          <cell r="I683">
            <v>0</v>
          </cell>
          <cell r="L683">
            <v>0</v>
          </cell>
          <cell r="M683">
            <v>0</v>
          </cell>
          <cell r="N683">
            <v>0</v>
          </cell>
          <cell r="S683">
            <v>0</v>
          </cell>
          <cell r="T683">
            <v>0</v>
          </cell>
          <cell r="U683">
            <v>0</v>
          </cell>
          <cell r="W683">
            <v>0</v>
          </cell>
          <cell r="X683">
            <v>4680</v>
          </cell>
        </row>
        <row r="684">
          <cell r="A684">
            <v>37967</v>
          </cell>
          <cell r="B684" t="str">
            <v>ShipSupport</v>
          </cell>
          <cell r="E684">
            <v>357.36999511719</v>
          </cell>
          <cell r="F684">
            <v>70.5</v>
          </cell>
          <cell r="G684">
            <v>0</v>
          </cell>
          <cell r="H684">
            <v>0</v>
          </cell>
          <cell r="I684">
            <v>0</v>
          </cell>
          <cell r="L684">
            <v>0</v>
          </cell>
          <cell r="M684">
            <v>0</v>
          </cell>
          <cell r="N684">
            <v>0</v>
          </cell>
          <cell r="S684">
            <v>0</v>
          </cell>
          <cell r="T684">
            <v>0</v>
          </cell>
          <cell r="U684">
            <v>0</v>
          </cell>
          <cell r="W684">
            <v>54.75</v>
          </cell>
          <cell r="X684">
            <v>0</v>
          </cell>
        </row>
        <row r="685">
          <cell r="A685">
            <v>37967</v>
          </cell>
          <cell r="B685" t="str">
            <v>Picking</v>
          </cell>
          <cell r="E685">
            <v>681.40002441406</v>
          </cell>
          <cell r="F685">
            <v>0</v>
          </cell>
          <cell r="G685">
            <v>60919</v>
          </cell>
          <cell r="H685">
            <v>0</v>
          </cell>
          <cell r="I685">
            <v>0</v>
          </cell>
          <cell r="L685">
            <v>0</v>
          </cell>
          <cell r="M685">
            <v>0</v>
          </cell>
          <cell r="N685">
            <v>0</v>
          </cell>
          <cell r="S685">
            <v>0</v>
          </cell>
          <cell r="T685">
            <v>0</v>
          </cell>
          <cell r="U685">
            <v>0</v>
          </cell>
          <cell r="W685">
            <v>18.149999999999999</v>
          </cell>
          <cell r="X685">
            <v>0</v>
          </cell>
        </row>
        <row r="686">
          <cell r="A686">
            <v>37967</v>
          </cell>
          <cell r="B686" t="str">
            <v>Sortation</v>
          </cell>
          <cell r="E686">
            <v>546.78332519531</v>
          </cell>
          <cell r="F686">
            <v>0</v>
          </cell>
          <cell r="G686">
            <v>0</v>
          </cell>
          <cell r="H686">
            <v>0</v>
          </cell>
          <cell r="I686">
            <v>0</v>
          </cell>
          <cell r="L686">
            <v>0</v>
          </cell>
          <cell r="M686">
            <v>0</v>
          </cell>
          <cell r="N686">
            <v>0</v>
          </cell>
          <cell r="S686">
            <v>0</v>
          </cell>
          <cell r="T686">
            <v>0</v>
          </cell>
          <cell r="U686">
            <v>0</v>
          </cell>
          <cell r="W686">
            <v>-37.466700000000003</v>
          </cell>
          <cell r="X686">
            <v>0</v>
          </cell>
        </row>
        <row r="687">
          <cell r="A687">
            <v>37967</v>
          </cell>
          <cell r="B687" t="str">
            <v>Rebin</v>
          </cell>
          <cell r="E687">
            <v>269.5</v>
          </cell>
          <cell r="F687">
            <v>60</v>
          </cell>
          <cell r="G687">
            <v>48475</v>
          </cell>
          <cell r="H687">
            <v>0</v>
          </cell>
          <cell r="I687">
            <v>0</v>
          </cell>
          <cell r="L687">
            <v>0</v>
          </cell>
          <cell r="M687">
            <v>0</v>
          </cell>
          <cell r="N687">
            <v>0</v>
          </cell>
          <cell r="S687">
            <v>0</v>
          </cell>
          <cell r="T687">
            <v>0</v>
          </cell>
          <cell r="U687">
            <v>0</v>
          </cell>
          <cell r="W687">
            <v>0</v>
          </cell>
          <cell r="X687">
            <v>0</v>
          </cell>
        </row>
        <row r="688">
          <cell r="A688">
            <v>37967</v>
          </cell>
          <cell r="B688" t="str">
            <v>Stack</v>
          </cell>
          <cell r="E688">
            <v>180</v>
          </cell>
          <cell r="F688">
            <v>0</v>
          </cell>
          <cell r="G688">
            <v>31737</v>
          </cell>
          <cell r="H688">
            <v>0</v>
          </cell>
          <cell r="I688">
            <v>0</v>
          </cell>
          <cell r="L688">
            <v>0</v>
          </cell>
          <cell r="M688">
            <v>0</v>
          </cell>
          <cell r="N688">
            <v>0</v>
          </cell>
          <cell r="S688">
            <v>2740</v>
          </cell>
          <cell r="T688">
            <v>0</v>
          </cell>
          <cell r="U688">
            <v>0</v>
          </cell>
          <cell r="W688">
            <v>0</v>
          </cell>
          <cell r="X688">
            <v>0</v>
          </cell>
        </row>
        <row r="689">
          <cell r="A689">
            <v>37967</v>
          </cell>
          <cell r="B689" t="str">
            <v>Bundler</v>
          </cell>
          <cell r="E689">
            <v>97.283298492431996</v>
          </cell>
          <cell r="F689">
            <v>0</v>
          </cell>
          <cell r="G689">
            <v>31737</v>
          </cell>
          <cell r="H689">
            <v>0</v>
          </cell>
          <cell r="I689">
            <v>0</v>
          </cell>
          <cell r="L689">
            <v>0</v>
          </cell>
          <cell r="M689">
            <v>0</v>
          </cell>
          <cell r="N689">
            <v>0</v>
          </cell>
          <cell r="S689">
            <v>0</v>
          </cell>
          <cell r="T689">
            <v>0</v>
          </cell>
          <cell r="U689">
            <v>0</v>
          </cell>
          <cell r="W689">
            <v>-37.466700000000003</v>
          </cell>
          <cell r="X689">
            <v>9665</v>
          </cell>
        </row>
        <row r="690">
          <cell r="A690">
            <v>37967</v>
          </cell>
          <cell r="B690" t="str">
            <v>Offsite1Ship</v>
          </cell>
          <cell r="E690">
            <v>321.57998657227</v>
          </cell>
          <cell r="F690">
            <v>0</v>
          </cell>
          <cell r="G690">
            <v>3538</v>
          </cell>
          <cell r="H690">
            <v>0</v>
          </cell>
          <cell r="I690">
            <v>0</v>
          </cell>
          <cell r="L690">
            <v>0</v>
          </cell>
          <cell r="M690">
            <v>0</v>
          </cell>
          <cell r="N690">
            <v>0</v>
          </cell>
          <cell r="S690">
            <v>0</v>
          </cell>
          <cell r="T690">
            <v>0</v>
          </cell>
          <cell r="U690">
            <v>0</v>
          </cell>
          <cell r="W690">
            <v>0</v>
          </cell>
          <cell r="X690">
            <v>0</v>
          </cell>
        </row>
        <row r="691">
          <cell r="A691">
            <v>37967</v>
          </cell>
          <cell r="B691" t="str">
            <v>CReturns</v>
          </cell>
          <cell r="E691">
            <v>4</v>
          </cell>
          <cell r="F691">
            <v>0</v>
          </cell>
          <cell r="G691">
            <v>438</v>
          </cell>
          <cell r="H691">
            <v>0</v>
          </cell>
          <cell r="I691">
            <v>0</v>
          </cell>
          <cell r="L691">
            <v>0</v>
          </cell>
          <cell r="M691">
            <v>0</v>
          </cell>
          <cell r="N691">
            <v>0</v>
          </cell>
          <cell r="S691">
            <v>0</v>
          </cell>
          <cell r="T691">
            <v>0</v>
          </cell>
          <cell r="U691">
            <v>0</v>
          </cell>
          <cell r="W691">
            <v>-7</v>
          </cell>
          <cell r="X691">
            <v>0</v>
          </cell>
        </row>
        <row r="692">
          <cell r="A692">
            <v>37967</v>
          </cell>
          <cell r="B692" t="str">
            <v>Vreturns</v>
          </cell>
          <cell r="E692">
            <v>37</v>
          </cell>
          <cell r="F692">
            <v>0</v>
          </cell>
          <cell r="G692">
            <v>6776</v>
          </cell>
          <cell r="H692">
            <v>0</v>
          </cell>
          <cell r="I692">
            <v>0</v>
          </cell>
          <cell r="L692">
            <v>0</v>
          </cell>
          <cell r="M692">
            <v>0</v>
          </cell>
          <cell r="N692">
            <v>0</v>
          </cell>
          <cell r="S692">
            <v>0</v>
          </cell>
          <cell r="T692">
            <v>0</v>
          </cell>
          <cell r="U692">
            <v>0</v>
          </cell>
          <cell r="W692">
            <v>-10.5</v>
          </cell>
          <cell r="X692">
            <v>0</v>
          </cell>
        </row>
        <row r="693">
          <cell r="A693">
            <v>37967</v>
          </cell>
          <cell r="B693" t="str">
            <v>InventoryControl</v>
          </cell>
          <cell r="E693">
            <v>174.5333404541</v>
          </cell>
          <cell r="F693">
            <v>0</v>
          </cell>
          <cell r="G693">
            <v>0</v>
          </cell>
          <cell r="H693">
            <v>0</v>
          </cell>
          <cell r="I693">
            <v>0</v>
          </cell>
          <cell r="L693">
            <v>0</v>
          </cell>
          <cell r="M693">
            <v>0</v>
          </cell>
          <cell r="N693">
            <v>0</v>
          </cell>
          <cell r="S693">
            <v>0</v>
          </cell>
          <cell r="T693">
            <v>0</v>
          </cell>
          <cell r="U693">
            <v>0</v>
          </cell>
          <cell r="W693">
            <v>-16.7867</v>
          </cell>
          <cell r="X693">
            <v>0</v>
          </cell>
        </row>
        <row r="694">
          <cell r="A694">
            <v>37967</v>
          </cell>
          <cell r="B694" t="str">
            <v>Sortation</v>
          </cell>
          <cell r="E694">
            <v>959.95004272460994</v>
          </cell>
          <cell r="F694">
            <v>0</v>
          </cell>
          <cell r="G694">
            <v>0</v>
          </cell>
          <cell r="H694">
            <v>0</v>
          </cell>
          <cell r="I694">
            <v>0</v>
          </cell>
          <cell r="L694">
            <v>0</v>
          </cell>
          <cell r="M694">
            <v>0</v>
          </cell>
          <cell r="N694">
            <v>0</v>
          </cell>
          <cell r="S694">
            <v>0</v>
          </cell>
          <cell r="T694">
            <v>0</v>
          </cell>
          <cell r="U694">
            <v>0</v>
          </cell>
          <cell r="W694">
            <v>124.05</v>
          </cell>
          <cell r="X694">
            <v>0</v>
          </cell>
        </row>
        <row r="695">
          <cell r="A695">
            <v>37967</v>
          </cell>
          <cell r="B695" t="str">
            <v>Rebin</v>
          </cell>
          <cell r="E695">
            <v>335.5</v>
          </cell>
          <cell r="F695">
            <v>81.5</v>
          </cell>
          <cell r="G695">
            <v>75038</v>
          </cell>
          <cell r="H695">
            <v>0</v>
          </cell>
          <cell r="I695">
            <v>0</v>
          </cell>
          <cell r="L695">
            <v>0</v>
          </cell>
          <cell r="M695">
            <v>0</v>
          </cell>
          <cell r="N695">
            <v>0</v>
          </cell>
          <cell r="S695">
            <v>0</v>
          </cell>
          <cell r="T695">
            <v>0</v>
          </cell>
          <cell r="U695">
            <v>0</v>
          </cell>
          <cell r="W695">
            <v>0</v>
          </cell>
          <cell r="X695">
            <v>0</v>
          </cell>
        </row>
        <row r="696">
          <cell r="A696">
            <v>37967</v>
          </cell>
          <cell r="B696" t="str">
            <v>Stack</v>
          </cell>
          <cell r="E696">
            <v>280.29998779297</v>
          </cell>
          <cell r="F696">
            <v>0</v>
          </cell>
          <cell r="G696">
            <v>60058</v>
          </cell>
          <cell r="H696">
            <v>0</v>
          </cell>
          <cell r="I696">
            <v>0</v>
          </cell>
          <cell r="L696">
            <v>0</v>
          </cell>
          <cell r="M696">
            <v>0</v>
          </cell>
          <cell r="N696">
            <v>0</v>
          </cell>
          <cell r="S696">
            <v>1974</v>
          </cell>
          <cell r="T696">
            <v>0</v>
          </cell>
          <cell r="U696">
            <v>0</v>
          </cell>
          <cell r="W696">
            <v>0</v>
          </cell>
          <cell r="X696">
            <v>0</v>
          </cell>
        </row>
        <row r="697">
          <cell r="A697">
            <v>37967</v>
          </cell>
          <cell r="B697" t="str">
            <v>Bundler</v>
          </cell>
          <cell r="E697">
            <v>344.15000915527003</v>
          </cell>
          <cell r="F697">
            <v>0</v>
          </cell>
          <cell r="G697">
            <v>60058</v>
          </cell>
          <cell r="H697">
            <v>0</v>
          </cell>
          <cell r="I697">
            <v>0</v>
          </cell>
          <cell r="L697">
            <v>0</v>
          </cell>
          <cell r="M697">
            <v>0</v>
          </cell>
          <cell r="N697">
            <v>0</v>
          </cell>
          <cell r="S697">
            <v>0</v>
          </cell>
          <cell r="T697">
            <v>0</v>
          </cell>
          <cell r="U697">
            <v>0</v>
          </cell>
          <cell r="W697">
            <v>124.05</v>
          </cell>
          <cell r="X697">
            <v>18606</v>
          </cell>
        </row>
        <row r="698">
          <cell r="A698">
            <v>37967</v>
          </cell>
          <cell r="B698" t="str">
            <v>QA</v>
          </cell>
          <cell r="E698">
            <v>137.60000610352</v>
          </cell>
          <cell r="F698">
            <v>0</v>
          </cell>
          <cell r="G698">
            <v>0</v>
          </cell>
          <cell r="H698">
            <v>0</v>
          </cell>
          <cell r="I698">
            <v>0</v>
          </cell>
          <cell r="L698">
            <v>0</v>
          </cell>
          <cell r="M698">
            <v>0</v>
          </cell>
          <cell r="N698">
            <v>0</v>
          </cell>
          <cell r="S698">
            <v>0</v>
          </cell>
          <cell r="T698">
            <v>0</v>
          </cell>
          <cell r="U698">
            <v>0</v>
          </cell>
          <cell r="W698">
            <v>17.600000000000001</v>
          </cell>
          <cell r="X698">
            <v>0</v>
          </cell>
        </row>
        <row r="699">
          <cell r="A699">
            <v>37967</v>
          </cell>
          <cell r="B699" t="str">
            <v>Picking</v>
          </cell>
          <cell r="E699">
            <v>921.41668701172</v>
          </cell>
          <cell r="F699">
            <v>0</v>
          </cell>
          <cell r="G699">
            <v>95874</v>
          </cell>
          <cell r="H699">
            <v>0</v>
          </cell>
          <cell r="I699">
            <v>0</v>
          </cell>
          <cell r="L699">
            <v>0</v>
          </cell>
          <cell r="M699">
            <v>0</v>
          </cell>
          <cell r="N699">
            <v>0</v>
          </cell>
          <cell r="S699">
            <v>0</v>
          </cell>
          <cell r="T699">
            <v>0</v>
          </cell>
          <cell r="U699">
            <v>0</v>
          </cell>
          <cell r="W699">
            <v>-7.08331</v>
          </cell>
          <cell r="X699">
            <v>0</v>
          </cell>
        </row>
        <row r="700">
          <cell r="A700">
            <v>37967</v>
          </cell>
          <cell r="B700" t="str">
            <v>ManualVDF</v>
          </cell>
          <cell r="E700">
            <v>26.299999237061002</v>
          </cell>
          <cell r="F700">
            <v>0</v>
          </cell>
          <cell r="G700">
            <v>1041</v>
          </cell>
          <cell r="H700">
            <v>0</v>
          </cell>
          <cell r="I700">
            <v>0</v>
          </cell>
          <cell r="L700">
            <v>0</v>
          </cell>
          <cell r="M700">
            <v>0</v>
          </cell>
          <cell r="N700">
            <v>0</v>
          </cell>
          <cell r="S700">
            <v>0</v>
          </cell>
          <cell r="T700">
            <v>0</v>
          </cell>
          <cell r="U700">
            <v>0</v>
          </cell>
          <cell r="W700">
            <v>0</v>
          </cell>
          <cell r="X700">
            <v>1041</v>
          </cell>
        </row>
        <row r="701">
          <cell r="A701">
            <v>37967</v>
          </cell>
          <cell r="B701" t="str">
            <v>Offsite1Receive</v>
          </cell>
          <cell r="E701">
            <v>205.09338378906</v>
          </cell>
          <cell r="F701">
            <v>20</v>
          </cell>
          <cell r="G701">
            <v>4167</v>
          </cell>
          <cell r="H701">
            <v>0</v>
          </cell>
          <cell r="I701">
            <v>0</v>
          </cell>
          <cell r="L701">
            <v>0</v>
          </cell>
          <cell r="M701">
            <v>0</v>
          </cell>
          <cell r="N701">
            <v>0</v>
          </cell>
          <cell r="S701">
            <v>0</v>
          </cell>
          <cell r="T701">
            <v>0</v>
          </cell>
          <cell r="U701">
            <v>0</v>
          </cell>
          <cell r="W701">
            <v>70.093400000000003</v>
          </cell>
          <cell r="X701">
            <v>0</v>
          </cell>
        </row>
        <row r="702">
          <cell r="A702">
            <v>37967</v>
          </cell>
          <cell r="B702" t="str">
            <v>Offsite1Ship</v>
          </cell>
          <cell r="E702">
            <v>1486.5899658203</v>
          </cell>
          <cell r="F702">
            <v>1119.5</v>
          </cell>
          <cell r="G702">
            <v>12676</v>
          </cell>
          <cell r="H702">
            <v>12676</v>
          </cell>
          <cell r="I702">
            <v>0</v>
          </cell>
          <cell r="L702">
            <v>0</v>
          </cell>
          <cell r="M702">
            <v>0</v>
          </cell>
          <cell r="N702">
            <v>0</v>
          </cell>
          <cell r="S702">
            <v>0</v>
          </cell>
          <cell r="T702">
            <v>0</v>
          </cell>
          <cell r="U702">
            <v>0</v>
          </cell>
          <cell r="W702">
            <v>0</v>
          </cell>
          <cell r="X702">
            <v>0</v>
          </cell>
        </row>
        <row r="703">
          <cell r="A703">
            <v>37967</v>
          </cell>
          <cell r="B703" t="str">
            <v>BMV Receive</v>
          </cell>
          <cell r="E703">
            <v>137.76666259766</v>
          </cell>
          <cell r="F703">
            <v>1.55</v>
          </cell>
          <cell r="G703">
            <v>39702</v>
          </cell>
          <cell r="H703">
            <v>24088</v>
          </cell>
          <cell r="I703">
            <v>0</v>
          </cell>
          <cell r="L703">
            <v>136</v>
          </cell>
          <cell r="M703">
            <v>0</v>
          </cell>
          <cell r="N703">
            <v>10</v>
          </cell>
          <cell r="S703">
            <v>0</v>
          </cell>
          <cell r="T703">
            <v>40</v>
          </cell>
          <cell r="U703">
            <v>0</v>
          </cell>
          <cell r="W703">
            <v>-9.7833400000000008</v>
          </cell>
          <cell r="X703">
            <v>0</v>
          </cell>
        </row>
        <row r="704">
          <cell r="A704">
            <v>37967</v>
          </cell>
          <cell r="B704" t="str">
            <v>BMV Stow</v>
          </cell>
          <cell r="E704">
            <v>100</v>
          </cell>
          <cell r="F704">
            <v>0</v>
          </cell>
          <cell r="G704">
            <v>45079</v>
          </cell>
          <cell r="H704">
            <v>21763</v>
          </cell>
          <cell r="I704">
            <v>23316</v>
          </cell>
          <cell r="L704">
            <v>85.75</v>
          </cell>
          <cell r="M704">
            <v>14.25</v>
          </cell>
          <cell r="N704">
            <v>0</v>
          </cell>
          <cell r="S704">
            <v>0</v>
          </cell>
          <cell r="T704">
            <v>0</v>
          </cell>
          <cell r="U704">
            <v>0</v>
          </cell>
          <cell r="W704">
            <v>0</v>
          </cell>
          <cell r="X704">
            <v>0</v>
          </cell>
        </row>
        <row r="705">
          <cell r="A705">
            <v>37967</v>
          </cell>
          <cell r="B705" t="str">
            <v>Replenishment</v>
          </cell>
          <cell r="E705">
            <v>143</v>
          </cell>
          <cell r="F705">
            <v>0</v>
          </cell>
          <cell r="G705">
            <v>16850</v>
          </cell>
          <cell r="H705">
            <v>0</v>
          </cell>
          <cell r="I705">
            <v>0</v>
          </cell>
          <cell r="L705">
            <v>0</v>
          </cell>
          <cell r="M705">
            <v>0</v>
          </cell>
          <cell r="N705">
            <v>0</v>
          </cell>
          <cell r="S705">
            <v>0</v>
          </cell>
          <cell r="T705">
            <v>0</v>
          </cell>
          <cell r="U705">
            <v>0</v>
          </cell>
          <cell r="W705">
            <v>0</v>
          </cell>
          <cell r="X705">
            <v>0</v>
          </cell>
        </row>
        <row r="706">
          <cell r="A706">
            <v>37967</v>
          </cell>
          <cell r="B706" t="str">
            <v>Shipping</v>
          </cell>
          <cell r="E706">
            <v>625</v>
          </cell>
          <cell r="F706">
            <v>0</v>
          </cell>
          <cell r="G706">
            <v>0</v>
          </cell>
          <cell r="H706">
            <v>0</v>
          </cell>
          <cell r="I706">
            <v>0</v>
          </cell>
          <cell r="L706">
            <v>0</v>
          </cell>
          <cell r="M706">
            <v>0</v>
          </cell>
          <cell r="N706">
            <v>0</v>
          </cell>
          <cell r="S706">
            <v>0</v>
          </cell>
          <cell r="T706">
            <v>0</v>
          </cell>
          <cell r="U706">
            <v>0</v>
          </cell>
          <cell r="W706">
            <v>44.5</v>
          </cell>
          <cell r="X706">
            <v>0</v>
          </cell>
        </row>
        <row r="707">
          <cell r="A707">
            <v>37967</v>
          </cell>
          <cell r="B707" t="str">
            <v>Autobox</v>
          </cell>
          <cell r="E707">
            <v>177.5</v>
          </cell>
          <cell r="F707">
            <v>57.5</v>
          </cell>
          <cell r="G707">
            <v>29156</v>
          </cell>
          <cell r="H707">
            <v>0</v>
          </cell>
          <cell r="I707">
            <v>0</v>
          </cell>
          <cell r="L707">
            <v>0</v>
          </cell>
          <cell r="M707">
            <v>0</v>
          </cell>
          <cell r="N707">
            <v>0</v>
          </cell>
          <cell r="S707">
            <v>0</v>
          </cell>
          <cell r="T707">
            <v>0</v>
          </cell>
          <cell r="U707">
            <v>0</v>
          </cell>
          <cell r="W707">
            <v>0</v>
          </cell>
          <cell r="X707">
            <v>0</v>
          </cell>
        </row>
        <row r="708">
          <cell r="A708">
            <v>37967</v>
          </cell>
          <cell r="B708" t="str">
            <v>Levimatic</v>
          </cell>
          <cell r="E708">
            <v>7.5</v>
          </cell>
          <cell r="F708">
            <v>1.5</v>
          </cell>
          <cell r="G708">
            <v>1233</v>
          </cell>
          <cell r="H708">
            <v>0</v>
          </cell>
          <cell r="I708">
            <v>0</v>
          </cell>
          <cell r="L708">
            <v>0</v>
          </cell>
          <cell r="M708">
            <v>0</v>
          </cell>
          <cell r="N708">
            <v>0</v>
          </cell>
          <cell r="S708">
            <v>0</v>
          </cell>
          <cell r="T708">
            <v>0</v>
          </cell>
          <cell r="U708">
            <v>0</v>
          </cell>
          <cell r="W708">
            <v>0</v>
          </cell>
          <cell r="X708">
            <v>0</v>
          </cell>
        </row>
        <row r="709">
          <cell r="A709">
            <v>37967</v>
          </cell>
          <cell r="B709" t="str">
            <v>Giftwrap</v>
          </cell>
          <cell r="E709">
            <v>136</v>
          </cell>
          <cell r="F709">
            <v>0</v>
          </cell>
          <cell r="G709">
            <v>2585</v>
          </cell>
          <cell r="H709">
            <v>0</v>
          </cell>
          <cell r="I709">
            <v>0</v>
          </cell>
          <cell r="L709">
            <v>0</v>
          </cell>
          <cell r="M709">
            <v>0</v>
          </cell>
          <cell r="N709">
            <v>0</v>
          </cell>
          <cell r="S709">
            <v>0</v>
          </cell>
          <cell r="T709">
            <v>0</v>
          </cell>
          <cell r="U709">
            <v>0</v>
          </cell>
          <cell r="W709">
            <v>0</v>
          </cell>
          <cell r="X709">
            <v>0</v>
          </cell>
        </row>
        <row r="710">
          <cell r="A710">
            <v>37967</v>
          </cell>
          <cell r="B710" t="str">
            <v>ShipSupport</v>
          </cell>
          <cell r="E710">
            <v>304</v>
          </cell>
          <cell r="F710">
            <v>97.5</v>
          </cell>
          <cell r="G710">
            <v>0</v>
          </cell>
          <cell r="H710">
            <v>0</v>
          </cell>
          <cell r="I710">
            <v>0</v>
          </cell>
          <cell r="L710">
            <v>0</v>
          </cell>
          <cell r="M710">
            <v>0</v>
          </cell>
          <cell r="N710">
            <v>0</v>
          </cell>
          <cell r="S710">
            <v>0</v>
          </cell>
          <cell r="T710">
            <v>0</v>
          </cell>
          <cell r="U710">
            <v>0</v>
          </cell>
          <cell r="W710">
            <v>44.5</v>
          </cell>
          <cell r="X710">
            <v>0</v>
          </cell>
        </row>
        <row r="711">
          <cell r="A711">
            <v>37967</v>
          </cell>
          <cell r="B711" t="str">
            <v>BMV Receive</v>
          </cell>
          <cell r="E711">
            <v>450.93334960938</v>
          </cell>
          <cell r="F711">
            <v>107.43</v>
          </cell>
          <cell r="G711">
            <v>95602</v>
          </cell>
          <cell r="H711">
            <v>69747</v>
          </cell>
          <cell r="I711">
            <v>0</v>
          </cell>
          <cell r="L711">
            <v>336.2</v>
          </cell>
          <cell r="M711">
            <v>0</v>
          </cell>
          <cell r="N711">
            <v>32</v>
          </cell>
          <cell r="S711">
            <v>0</v>
          </cell>
          <cell r="T711">
            <v>86</v>
          </cell>
          <cell r="U711">
            <v>0</v>
          </cell>
          <cell r="W711">
            <v>-24.6967</v>
          </cell>
          <cell r="X711">
            <v>0</v>
          </cell>
        </row>
        <row r="712">
          <cell r="A712">
            <v>37967</v>
          </cell>
          <cell r="B712" t="str">
            <v>BMV Stow</v>
          </cell>
          <cell r="E712">
            <v>347</v>
          </cell>
          <cell r="F712">
            <v>2</v>
          </cell>
          <cell r="G712">
            <v>109385</v>
          </cell>
          <cell r="H712">
            <v>84910</v>
          </cell>
          <cell r="I712">
            <v>24475</v>
          </cell>
          <cell r="L712">
            <v>317</v>
          </cell>
          <cell r="M712">
            <v>28</v>
          </cell>
          <cell r="N712">
            <v>0</v>
          </cell>
          <cell r="S712">
            <v>0</v>
          </cell>
          <cell r="T712">
            <v>0</v>
          </cell>
          <cell r="U712">
            <v>0</v>
          </cell>
          <cell r="W712">
            <v>0</v>
          </cell>
          <cell r="X712">
            <v>0</v>
          </cell>
        </row>
        <row r="713">
          <cell r="A713">
            <v>37967</v>
          </cell>
          <cell r="B713" t="str">
            <v>Offsite1Receive</v>
          </cell>
          <cell r="E713">
            <v>-68.029983520507997</v>
          </cell>
          <cell r="F713">
            <v>0</v>
          </cell>
          <cell r="G713">
            <v>0</v>
          </cell>
          <cell r="H713">
            <v>0</v>
          </cell>
          <cell r="I713">
            <v>0</v>
          </cell>
          <cell r="L713">
            <v>0</v>
          </cell>
          <cell r="M713">
            <v>0</v>
          </cell>
          <cell r="N713">
            <v>0</v>
          </cell>
          <cell r="S713">
            <v>0</v>
          </cell>
          <cell r="T713">
            <v>0</v>
          </cell>
          <cell r="U713">
            <v>0</v>
          </cell>
          <cell r="W713">
            <v>-68.03</v>
          </cell>
          <cell r="X713">
            <v>0</v>
          </cell>
        </row>
        <row r="714">
          <cell r="A714">
            <v>37967</v>
          </cell>
          <cell r="B714" t="str">
            <v>Office</v>
          </cell>
          <cell r="E714">
            <v>96.150001525879006</v>
          </cell>
          <cell r="F714">
            <v>0</v>
          </cell>
          <cell r="G714">
            <v>0</v>
          </cell>
          <cell r="H714">
            <v>0</v>
          </cell>
          <cell r="I714">
            <v>0</v>
          </cell>
          <cell r="L714">
            <v>0</v>
          </cell>
          <cell r="M714">
            <v>0</v>
          </cell>
          <cell r="N714">
            <v>0</v>
          </cell>
          <cell r="S714">
            <v>0</v>
          </cell>
          <cell r="T714">
            <v>0</v>
          </cell>
          <cell r="U714">
            <v>0</v>
          </cell>
          <cell r="W714">
            <v>96.15</v>
          </cell>
          <cell r="X714">
            <v>0</v>
          </cell>
        </row>
        <row r="715">
          <cell r="A715">
            <v>37967</v>
          </cell>
          <cell r="B715" t="str">
            <v>Office</v>
          </cell>
          <cell r="E715">
            <v>25.299999237061002</v>
          </cell>
          <cell r="F715">
            <v>0</v>
          </cell>
          <cell r="G715">
            <v>0</v>
          </cell>
          <cell r="H715">
            <v>0</v>
          </cell>
          <cell r="I715">
            <v>0</v>
          </cell>
          <cell r="L715">
            <v>0</v>
          </cell>
          <cell r="M715">
            <v>0</v>
          </cell>
          <cell r="N715">
            <v>0</v>
          </cell>
          <cell r="S715">
            <v>0</v>
          </cell>
          <cell r="T715">
            <v>0</v>
          </cell>
          <cell r="U715">
            <v>0</v>
          </cell>
          <cell r="W715">
            <v>25.3</v>
          </cell>
          <cell r="X715">
            <v>0</v>
          </cell>
        </row>
        <row r="716">
          <cell r="A716">
            <v>37967</v>
          </cell>
          <cell r="B716" t="str">
            <v>QA</v>
          </cell>
          <cell r="E716">
            <v>43.400001525878999</v>
          </cell>
          <cell r="F716">
            <v>0</v>
          </cell>
          <cell r="G716">
            <v>0</v>
          </cell>
          <cell r="H716">
            <v>0</v>
          </cell>
          <cell r="I716">
            <v>0</v>
          </cell>
          <cell r="L716">
            <v>0</v>
          </cell>
          <cell r="M716">
            <v>0</v>
          </cell>
          <cell r="N716">
            <v>0</v>
          </cell>
          <cell r="S716">
            <v>0</v>
          </cell>
          <cell r="T716">
            <v>0</v>
          </cell>
          <cell r="U716">
            <v>0</v>
          </cell>
          <cell r="W716">
            <v>43.4</v>
          </cell>
          <cell r="X716">
            <v>0</v>
          </cell>
        </row>
        <row r="717">
          <cell r="A717">
            <v>37967</v>
          </cell>
          <cell r="B717" t="str">
            <v>Vreturns</v>
          </cell>
          <cell r="E717">
            <v>0</v>
          </cell>
          <cell r="F717">
            <v>0</v>
          </cell>
          <cell r="G717">
            <v>0</v>
          </cell>
          <cell r="H717">
            <v>0</v>
          </cell>
          <cell r="I717">
            <v>0</v>
          </cell>
          <cell r="L717">
            <v>0</v>
          </cell>
          <cell r="M717">
            <v>0</v>
          </cell>
          <cell r="N717">
            <v>0</v>
          </cell>
          <cell r="S717">
            <v>0</v>
          </cell>
          <cell r="T717">
            <v>0</v>
          </cell>
          <cell r="U717">
            <v>0</v>
          </cell>
          <cell r="W717">
            <v>0</v>
          </cell>
          <cell r="X717">
            <v>0</v>
          </cell>
        </row>
        <row r="718">
          <cell r="A718">
            <v>37967</v>
          </cell>
          <cell r="B718" t="str">
            <v>Facilities</v>
          </cell>
          <cell r="E718">
            <v>87.899993896484006</v>
          </cell>
          <cell r="F718">
            <v>0</v>
          </cell>
          <cell r="G718">
            <v>0</v>
          </cell>
          <cell r="H718">
            <v>0</v>
          </cell>
          <cell r="I718">
            <v>0</v>
          </cell>
          <cell r="L718">
            <v>0</v>
          </cell>
          <cell r="M718">
            <v>0</v>
          </cell>
          <cell r="N718">
            <v>0</v>
          </cell>
          <cell r="S718">
            <v>0</v>
          </cell>
          <cell r="T718">
            <v>0</v>
          </cell>
          <cell r="U718">
            <v>0</v>
          </cell>
          <cell r="W718">
            <v>87.9</v>
          </cell>
          <cell r="X718">
            <v>0</v>
          </cell>
        </row>
        <row r="719">
          <cell r="A719">
            <v>37967</v>
          </cell>
          <cell r="B719" t="str">
            <v>Facilities</v>
          </cell>
          <cell r="E719">
            <v>9.8999996185303001</v>
          </cell>
          <cell r="F719">
            <v>0</v>
          </cell>
          <cell r="G719">
            <v>0</v>
          </cell>
          <cell r="H719">
            <v>0</v>
          </cell>
          <cell r="I719">
            <v>0</v>
          </cell>
          <cell r="L719">
            <v>0</v>
          </cell>
          <cell r="M719">
            <v>0</v>
          </cell>
          <cell r="N719">
            <v>0</v>
          </cell>
          <cell r="S719">
            <v>0</v>
          </cell>
          <cell r="T719">
            <v>0</v>
          </cell>
          <cell r="U719">
            <v>0</v>
          </cell>
          <cell r="W719">
            <v>9.9</v>
          </cell>
          <cell r="X719">
            <v>0</v>
          </cell>
        </row>
        <row r="720">
          <cell r="A720">
            <v>37967</v>
          </cell>
          <cell r="B720" t="str">
            <v>SNOC</v>
          </cell>
          <cell r="E720">
            <v>18.35000038147</v>
          </cell>
          <cell r="F720">
            <v>0</v>
          </cell>
          <cell r="G720">
            <v>0</v>
          </cell>
          <cell r="H720">
            <v>0</v>
          </cell>
          <cell r="I720">
            <v>0</v>
          </cell>
          <cell r="L720">
            <v>0</v>
          </cell>
          <cell r="M720">
            <v>0</v>
          </cell>
          <cell r="N720">
            <v>0</v>
          </cell>
          <cell r="S720">
            <v>0</v>
          </cell>
          <cell r="T720">
            <v>0</v>
          </cell>
          <cell r="U720">
            <v>0</v>
          </cell>
          <cell r="W720">
            <v>18.350000000000001</v>
          </cell>
          <cell r="X720">
            <v>0</v>
          </cell>
        </row>
        <row r="721">
          <cell r="A721">
            <v>37967</v>
          </cell>
          <cell r="B721" t="str">
            <v>Swat</v>
          </cell>
          <cell r="E721">
            <v>8</v>
          </cell>
          <cell r="F721">
            <v>0</v>
          </cell>
          <cell r="G721">
            <v>0</v>
          </cell>
          <cell r="H721">
            <v>0</v>
          </cell>
          <cell r="I721">
            <v>0</v>
          </cell>
          <cell r="L721">
            <v>0</v>
          </cell>
          <cell r="M721">
            <v>0</v>
          </cell>
          <cell r="N721">
            <v>0</v>
          </cell>
          <cell r="S721">
            <v>0</v>
          </cell>
          <cell r="T721">
            <v>0</v>
          </cell>
          <cell r="U721">
            <v>0</v>
          </cell>
          <cell r="W721">
            <v>8</v>
          </cell>
          <cell r="X721">
            <v>0</v>
          </cell>
        </row>
        <row r="722">
          <cell r="A722">
            <v>37967</v>
          </cell>
          <cell r="B722" t="str">
            <v>CustomerService</v>
          </cell>
          <cell r="E722">
            <v>10</v>
          </cell>
          <cell r="F722">
            <v>0</v>
          </cell>
          <cell r="G722">
            <v>0</v>
          </cell>
          <cell r="H722">
            <v>0</v>
          </cell>
          <cell r="I722">
            <v>0</v>
          </cell>
          <cell r="L722">
            <v>0</v>
          </cell>
          <cell r="M722">
            <v>0</v>
          </cell>
          <cell r="N722">
            <v>0</v>
          </cell>
          <cell r="S722">
            <v>0</v>
          </cell>
          <cell r="T722">
            <v>0</v>
          </cell>
          <cell r="U722">
            <v>0</v>
          </cell>
          <cell r="W722">
            <v>10</v>
          </cell>
          <cell r="X722">
            <v>0</v>
          </cell>
        </row>
        <row r="723">
          <cell r="A723">
            <v>37967</v>
          </cell>
          <cell r="B723" t="str">
            <v>CustomerService</v>
          </cell>
          <cell r="E723">
            <v>10</v>
          </cell>
          <cell r="F723">
            <v>0</v>
          </cell>
          <cell r="G723">
            <v>0</v>
          </cell>
          <cell r="H723">
            <v>0</v>
          </cell>
          <cell r="I723">
            <v>0</v>
          </cell>
          <cell r="L723">
            <v>0</v>
          </cell>
          <cell r="M723">
            <v>0</v>
          </cell>
          <cell r="N723">
            <v>0</v>
          </cell>
          <cell r="S723">
            <v>0</v>
          </cell>
          <cell r="T723">
            <v>0</v>
          </cell>
          <cell r="U723">
            <v>0</v>
          </cell>
          <cell r="W723">
            <v>10</v>
          </cell>
          <cell r="X723">
            <v>0</v>
          </cell>
        </row>
        <row r="724">
          <cell r="A724">
            <v>37967</v>
          </cell>
          <cell r="B724" t="str">
            <v>Replenishment</v>
          </cell>
          <cell r="E724">
            <v>210</v>
          </cell>
          <cell r="F724">
            <v>0</v>
          </cell>
          <cell r="G724">
            <v>31517</v>
          </cell>
          <cell r="H724">
            <v>0</v>
          </cell>
          <cell r="I724">
            <v>0</v>
          </cell>
          <cell r="L724">
            <v>0</v>
          </cell>
          <cell r="M724">
            <v>0</v>
          </cell>
          <cell r="N724">
            <v>0</v>
          </cell>
          <cell r="S724">
            <v>0</v>
          </cell>
          <cell r="T724">
            <v>0</v>
          </cell>
          <cell r="U724">
            <v>0</v>
          </cell>
          <cell r="W724">
            <v>0</v>
          </cell>
          <cell r="X724">
            <v>0</v>
          </cell>
        </row>
        <row r="725">
          <cell r="A725">
            <v>37966</v>
          </cell>
          <cell r="B725" t="str">
            <v>Shipping</v>
          </cell>
          <cell r="E725">
            <v>1013.8833770752</v>
          </cell>
          <cell r="F725">
            <v>0</v>
          </cell>
          <cell r="G725">
            <v>0</v>
          </cell>
          <cell r="H725">
            <v>0</v>
          </cell>
          <cell r="I725">
            <v>0</v>
          </cell>
          <cell r="L725">
            <v>0</v>
          </cell>
          <cell r="M725">
            <v>0</v>
          </cell>
          <cell r="N725">
            <v>0</v>
          </cell>
          <cell r="S725">
            <v>0</v>
          </cell>
          <cell r="T725">
            <v>0</v>
          </cell>
          <cell r="U725">
            <v>0</v>
          </cell>
          <cell r="W725">
            <v>47.083399999999997</v>
          </cell>
          <cell r="X725">
            <v>26902</v>
          </cell>
        </row>
        <row r="726">
          <cell r="A726">
            <v>37966</v>
          </cell>
          <cell r="B726" t="str">
            <v>Autobox</v>
          </cell>
          <cell r="E726">
            <v>332.5</v>
          </cell>
          <cell r="F726">
            <v>12.5</v>
          </cell>
          <cell r="G726">
            <v>36206</v>
          </cell>
          <cell r="H726">
            <v>0</v>
          </cell>
          <cell r="I726">
            <v>0</v>
          </cell>
          <cell r="L726">
            <v>0</v>
          </cell>
          <cell r="M726">
            <v>0</v>
          </cell>
          <cell r="N726">
            <v>0</v>
          </cell>
          <cell r="S726">
            <v>0</v>
          </cell>
          <cell r="T726">
            <v>0</v>
          </cell>
          <cell r="U726">
            <v>0</v>
          </cell>
          <cell r="W726">
            <v>0</v>
          </cell>
          <cell r="X726">
            <v>0</v>
          </cell>
        </row>
        <row r="727">
          <cell r="A727">
            <v>37966</v>
          </cell>
          <cell r="B727" t="str">
            <v>Levimatic</v>
          </cell>
          <cell r="E727">
            <v>36</v>
          </cell>
          <cell r="F727">
            <v>0</v>
          </cell>
          <cell r="G727">
            <v>6284</v>
          </cell>
          <cell r="H727">
            <v>0</v>
          </cell>
          <cell r="I727">
            <v>0</v>
          </cell>
          <cell r="L727">
            <v>0</v>
          </cell>
          <cell r="M727">
            <v>0</v>
          </cell>
          <cell r="N727">
            <v>0</v>
          </cell>
          <cell r="S727">
            <v>0</v>
          </cell>
          <cell r="T727">
            <v>0</v>
          </cell>
          <cell r="U727">
            <v>0</v>
          </cell>
          <cell r="W727">
            <v>0</v>
          </cell>
          <cell r="X727">
            <v>0</v>
          </cell>
        </row>
        <row r="728">
          <cell r="A728">
            <v>37966</v>
          </cell>
          <cell r="B728" t="str">
            <v>Giftwrap</v>
          </cell>
          <cell r="E728">
            <v>199.80000305176</v>
          </cell>
          <cell r="F728">
            <v>0</v>
          </cell>
          <cell r="G728">
            <v>3688</v>
          </cell>
          <cell r="H728">
            <v>0</v>
          </cell>
          <cell r="I728">
            <v>0</v>
          </cell>
          <cell r="L728">
            <v>0</v>
          </cell>
          <cell r="M728">
            <v>0</v>
          </cell>
          <cell r="N728">
            <v>0</v>
          </cell>
          <cell r="S728">
            <v>0</v>
          </cell>
          <cell r="T728">
            <v>0</v>
          </cell>
          <cell r="U728">
            <v>0</v>
          </cell>
          <cell r="W728">
            <v>0</v>
          </cell>
          <cell r="X728">
            <v>3688</v>
          </cell>
        </row>
        <row r="729">
          <cell r="A729">
            <v>37966</v>
          </cell>
          <cell r="B729" t="str">
            <v>ShipSupport</v>
          </cell>
          <cell r="E729">
            <v>445.58340072632001</v>
          </cell>
          <cell r="F729">
            <v>83</v>
          </cell>
          <cell r="G729">
            <v>0</v>
          </cell>
          <cell r="H729">
            <v>0</v>
          </cell>
          <cell r="I729">
            <v>0</v>
          </cell>
          <cell r="L729">
            <v>0</v>
          </cell>
          <cell r="M729">
            <v>0</v>
          </cell>
          <cell r="N729">
            <v>0</v>
          </cell>
          <cell r="S729">
            <v>0</v>
          </cell>
          <cell r="T729">
            <v>0</v>
          </cell>
          <cell r="U729">
            <v>0</v>
          </cell>
          <cell r="W729">
            <v>47.083399999999997</v>
          </cell>
          <cell r="X729">
            <v>0</v>
          </cell>
        </row>
        <row r="730">
          <cell r="A730">
            <v>37966</v>
          </cell>
          <cell r="B730" t="str">
            <v>Sortation</v>
          </cell>
          <cell r="E730">
            <v>725.46661376953</v>
          </cell>
          <cell r="F730">
            <v>0</v>
          </cell>
          <cell r="G730">
            <v>0</v>
          </cell>
          <cell r="H730">
            <v>0</v>
          </cell>
          <cell r="I730">
            <v>0</v>
          </cell>
          <cell r="L730">
            <v>0</v>
          </cell>
          <cell r="M730">
            <v>0</v>
          </cell>
          <cell r="N730">
            <v>0</v>
          </cell>
          <cell r="S730">
            <v>0</v>
          </cell>
          <cell r="T730">
            <v>0</v>
          </cell>
          <cell r="U730">
            <v>0</v>
          </cell>
          <cell r="W730">
            <v>-14.7834</v>
          </cell>
          <cell r="X730">
            <v>0</v>
          </cell>
        </row>
        <row r="731">
          <cell r="A731">
            <v>37966</v>
          </cell>
          <cell r="B731" t="str">
            <v>Rebin</v>
          </cell>
          <cell r="E731">
            <v>318</v>
          </cell>
          <cell r="F731">
            <v>73</v>
          </cell>
          <cell r="G731">
            <v>60302</v>
          </cell>
          <cell r="H731">
            <v>0</v>
          </cell>
          <cell r="I731">
            <v>0</v>
          </cell>
          <cell r="L731">
            <v>0</v>
          </cell>
          <cell r="M731">
            <v>0</v>
          </cell>
          <cell r="N731">
            <v>0</v>
          </cell>
          <cell r="S731">
            <v>0</v>
          </cell>
          <cell r="T731">
            <v>0</v>
          </cell>
          <cell r="U731">
            <v>0</v>
          </cell>
          <cell r="W731">
            <v>0</v>
          </cell>
          <cell r="X731">
            <v>0</v>
          </cell>
        </row>
        <row r="732">
          <cell r="A732">
            <v>37966</v>
          </cell>
          <cell r="B732" t="str">
            <v>Stack</v>
          </cell>
          <cell r="E732">
            <v>241</v>
          </cell>
          <cell r="F732">
            <v>0</v>
          </cell>
          <cell r="G732">
            <v>44920</v>
          </cell>
          <cell r="H732">
            <v>0</v>
          </cell>
          <cell r="I732">
            <v>0</v>
          </cell>
          <cell r="L732">
            <v>0</v>
          </cell>
          <cell r="M732">
            <v>0</v>
          </cell>
          <cell r="N732">
            <v>0</v>
          </cell>
          <cell r="S732">
            <v>2832</v>
          </cell>
          <cell r="T732">
            <v>0</v>
          </cell>
          <cell r="U732">
            <v>0</v>
          </cell>
          <cell r="W732">
            <v>0</v>
          </cell>
          <cell r="X732">
            <v>0</v>
          </cell>
        </row>
        <row r="733">
          <cell r="A733">
            <v>37966</v>
          </cell>
          <cell r="B733" t="str">
            <v>Bundler</v>
          </cell>
          <cell r="E733">
            <v>166.46660041809</v>
          </cell>
          <cell r="F733">
            <v>0</v>
          </cell>
          <cell r="G733">
            <v>44920</v>
          </cell>
          <cell r="H733">
            <v>0</v>
          </cell>
          <cell r="I733">
            <v>0</v>
          </cell>
          <cell r="L733">
            <v>0</v>
          </cell>
          <cell r="M733">
            <v>0</v>
          </cell>
          <cell r="N733">
            <v>0</v>
          </cell>
          <cell r="S733">
            <v>0</v>
          </cell>
          <cell r="T733">
            <v>0</v>
          </cell>
          <cell r="U733">
            <v>0</v>
          </cell>
          <cell r="W733">
            <v>-14.7834</v>
          </cell>
          <cell r="X733">
            <v>14907</v>
          </cell>
        </row>
        <row r="734">
          <cell r="A734">
            <v>37966</v>
          </cell>
          <cell r="B734" t="str">
            <v>Sortation</v>
          </cell>
          <cell r="E734">
            <v>1157.3498992919999</v>
          </cell>
          <cell r="F734">
            <v>0</v>
          </cell>
          <cell r="G734">
            <v>0</v>
          </cell>
          <cell r="H734">
            <v>0</v>
          </cell>
          <cell r="I734">
            <v>0</v>
          </cell>
          <cell r="L734">
            <v>0</v>
          </cell>
          <cell r="M734">
            <v>0</v>
          </cell>
          <cell r="N734">
            <v>0</v>
          </cell>
          <cell r="S734">
            <v>0</v>
          </cell>
          <cell r="T734">
            <v>0</v>
          </cell>
          <cell r="U734">
            <v>0</v>
          </cell>
          <cell r="W734">
            <v>112.5</v>
          </cell>
          <cell r="X734">
            <v>0</v>
          </cell>
        </row>
        <row r="735">
          <cell r="A735">
            <v>37966</v>
          </cell>
          <cell r="B735" t="str">
            <v>Rebin</v>
          </cell>
          <cell r="E735">
            <v>392.5</v>
          </cell>
          <cell r="F735">
            <v>77</v>
          </cell>
          <cell r="G735">
            <v>84091</v>
          </cell>
          <cell r="H735">
            <v>0</v>
          </cell>
          <cell r="I735">
            <v>0</v>
          </cell>
          <cell r="L735">
            <v>0</v>
          </cell>
          <cell r="M735">
            <v>0</v>
          </cell>
          <cell r="N735">
            <v>0</v>
          </cell>
          <cell r="S735">
            <v>0</v>
          </cell>
          <cell r="T735">
            <v>0</v>
          </cell>
          <cell r="U735">
            <v>0</v>
          </cell>
          <cell r="W735">
            <v>0</v>
          </cell>
          <cell r="X735">
            <v>0</v>
          </cell>
        </row>
        <row r="736">
          <cell r="A736">
            <v>37966</v>
          </cell>
          <cell r="B736" t="str">
            <v>Stack</v>
          </cell>
          <cell r="E736">
            <v>419</v>
          </cell>
          <cell r="F736">
            <v>0</v>
          </cell>
          <cell r="G736">
            <v>67776</v>
          </cell>
          <cell r="H736">
            <v>0</v>
          </cell>
          <cell r="I736">
            <v>0</v>
          </cell>
          <cell r="L736">
            <v>0</v>
          </cell>
          <cell r="M736">
            <v>0</v>
          </cell>
          <cell r="N736">
            <v>0</v>
          </cell>
          <cell r="S736">
            <v>2171</v>
          </cell>
          <cell r="T736">
            <v>0</v>
          </cell>
          <cell r="U736">
            <v>0</v>
          </cell>
          <cell r="W736">
            <v>0</v>
          </cell>
          <cell r="X736">
            <v>0</v>
          </cell>
        </row>
        <row r="737">
          <cell r="A737">
            <v>37966</v>
          </cell>
          <cell r="B737" t="str">
            <v>Bundler</v>
          </cell>
          <cell r="E737">
            <v>345.85000610352</v>
          </cell>
          <cell r="F737">
            <v>0</v>
          </cell>
          <cell r="G737">
            <v>67776</v>
          </cell>
          <cell r="H737">
            <v>0</v>
          </cell>
          <cell r="I737">
            <v>0</v>
          </cell>
          <cell r="L737">
            <v>0</v>
          </cell>
          <cell r="M737">
            <v>0</v>
          </cell>
          <cell r="N737">
            <v>0</v>
          </cell>
          <cell r="S737">
            <v>0</v>
          </cell>
          <cell r="T737">
            <v>0</v>
          </cell>
          <cell r="U737">
            <v>0</v>
          </cell>
          <cell r="W737">
            <v>112.5</v>
          </cell>
          <cell r="X737">
            <v>21001</v>
          </cell>
        </row>
        <row r="738">
          <cell r="A738">
            <v>37966</v>
          </cell>
          <cell r="B738" t="str">
            <v>InventoryControl</v>
          </cell>
          <cell r="E738">
            <v>170.25</v>
          </cell>
          <cell r="F738">
            <v>0</v>
          </cell>
          <cell r="G738">
            <v>0</v>
          </cell>
          <cell r="H738">
            <v>0</v>
          </cell>
          <cell r="I738">
            <v>0</v>
          </cell>
          <cell r="L738">
            <v>0</v>
          </cell>
          <cell r="M738">
            <v>0</v>
          </cell>
          <cell r="N738">
            <v>0</v>
          </cell>
          <cell r="S738">
            <v>0</v>
          </cell>
          <cell r="T738">
            <v>0</v>
          </cell>
          <cell r="U738">
            <v>0</v>
          </cell>
          <cell r="W738">
            <v>-26.75</v>
          </cell>
          <cell r="X738">
            <v>0</v>
          </cell>
        </row>
        <row r="739">
          <cell r="A739">
            <v>37966</v>
          </cell>
          <cell r="B739" t="str">
            <v>QA</v>
          </cell>
          <cell r="E739">
            <v>131.5</v>
          </cell>
          <cell r="F739">
            <v>0</v>
          </cell>
          <cell r="G739">
            <v>0</v>
          </cell>
          <cell r="H739">
            <v>0</v>
          </cell>
          <cell r="I739">
            <v>0</v>
          </cell>
          <cell r="L739">
            <v>0</v>
          </cell>
          <cell r="M739">
            <v>0</v>
          </cell>
          <cell r="N739">
            <v>0</v>
          </cell>
          <cell r="S739">
            <v>0</v>
          </cell>
          <cell r="T739">
            <v>0</v>
          </cell>
          <cell r="U739">
            <v>0</v>
          </cell>
          <cell r="W739">
            <v>25.5</v>
          </cell>
          <cell r="X739">
            <v>0</v>
          </cell>
        </row>
        <row r="740">
          <cell r="A740">
            <v>37966</v>
          </cell>
          <cell r="B740" t="str">
            <v>CReturns</v>
          </cell>
          <cell r="E740">
            <v>50</v>
          </cell>
          <cell r="F740">
            <v>0</v>
          </cell>
          <cell r="G740">
            <v>1056</v>
          </cell>
          <cell r="H740">
            <v>0</v>
          </cell>
          <cell r="I740">
            <v>0</v>
          </cell>
          <cell r="L740">
            <v>0</v>
          </cell>
          <cell r="M740">
            <v>0</v>
          </cell>
          <cell r="N740">
            <v>0</v>
          </cell>
          <cell r="S740">
            <v>0</v>
          </cell>
          <cell r="T740">
            <v>0</v>
          </cell>
          <cell r="U740">
            <v>0</v>
          </cell>
          <cell r="W740">
            <v>0</v>
          </cell>
          <cell r="X740">
            <v>0</v>
          </cell>
        </row>
        <row r="741">
          <cell r="A741">
            <v>37966</v>
          </cell>
          <cell r="B741" t="str">
            <v>Vreturns</v>
          </cell>
          <cell r="E741">
            <v>52.566665649413999</v>
          </cell>
          <cell r="F741">
            <v>0</v>
          </cell>
          <cell r="G741">
            <v>3151</v>
          </cell>
          <cell r="H741">
            <v>0</v>
          </cell>
          <cell r="I741">
            <v>0</v>
          </cell>
          <cell r="L741">
            <v>0</v>
          </cell>
          <cell r="M741">
            <v>0</v>
          </cell>
          <cell r="N741">
            <v>0</v>
          </cell>
          <cell r="S741">
            <v>0</v>
          </cell>
          <cell r="T741">
            <v>0</v>
          </cell>
          <cell r="U741">
            <v>0</v>
          </cell>
          <cell r="W741">
            <v>1.56667</v>
          </cell>
          <cell r="X741">
            <v>0</v>
          </cell>
        </row>
        <row r="742">
          <cell r="A742">
            <v>37966</v>
          </cell>
          <cell r="B742" t="str">
            <v>Picking</v>
          </cell>
          <cell r="E742">
            <v>1008.9000244141</v>
          </cell>
          <cell r="F742">
            <v>0</v>
          </cell>
          <cell r="G742">
            <v>112176</v>
          </cell>
          <cell r="H742">
            <v>0</v>
          </cell>
          <cell r="I742">
            <v>0</v>
          </cell>
          <cell r="L742">
            <v>0</v>
          </cell>
          <cell r="M742">
            <v>0</v>
          </cell>
          <cell r="N742">
            <v>0</v>
          </cell>
          <cell r="S742">
            <v>0</v>
          </cell>
          <cell r="T742">
            <v>0</v>
          </cell>
          <cell r="U742">
            <v>0</v>
          </cell>
          <cell r="W742">
            <v>-14.35</v>
          </cell>
          <cell r="X742">
            <v>0</v>
          </cell>
        </row>
        <row r="743">
          <cell r="A743">
            <v>37966</v>
          </cell>
          <cell r="B743" t="str">
            <v>Offsite1Ship</v>
          </cell>
          <cell r="E743">
            <v>1386.1800537109</v>
          </cell>
          <cell r="F743">
            <v>104</v>
          </cell>
          <cell r="G743">
            <v>10697</v>
          </cell>
          <cell r="H743">
            <v>0</v>
          </cell>
          <cell r="I743">
            <v>0</v>
          </cell>
          <cell r="L743">
            <v>0</v>
          </cell>
          <cell r="M743">
            <v>0</v>
          </cell>
          <cell r="N743">
            <v>0</v>
          </cell>
          <cell r="S743">
            <v>0</v>
          </cell>
          <cell r="T743">
            <v>0</v>
          </cell>
          <cell r="U743">
            <v>0</v>
          </cell>
          <cell r="W743">
            <v>0</v>
          </cell>
          <cell r="X743">
            <v>0</v>
          </cell>
        </row>
        <row r="744">
          <cell r="A744">
            <v>37966</v>
          </cell>
          <cell r="B744" t="str">
            <v>Offsite1Receive</v>
          </cell>
          <cell r="E744">
            <v>229.419921875</v>
          </cell>
          <cell r="F744">
            <v>25</v>
          </cell>
          <cell r="G744">
            <v>7171</v>
          </cell>
          <cell r="H744">
            <v>0</v>
          </cell>
          <cell r="I744">
            <v>0</v>
          </cell>
          <cell r="L744">
            <v>0</v>
          </cell>
          <cell r="M744">
            <v>0</v>
          </cell>
          <cell r="N744">
            <v>0</v>
          </cell>
          <cell r="S744">
            <v>0</v>
          </cell>
          <cell r="T744">
            <v>0</v>
          </cell>
          <cell r="U744">
            <v>0</v>
          </cell>
          <cell r="W744">
            <v>82.079899999999995</v>
          </cell>
          <cell r="X744">
            <v>0</v>
          </cell>
        </row>
        <row r="745">
          <cell r="A745">
            <v>37966</v>
          </cell>
          <cell r="B745" t="str">
            <v>Offsite1Ship</v>
          </cell>
          <cell r="E745">
            <v>220.39999389648</v>
          </cell>
          <cell r="F745">
            <v>0</v>
          </cell>
          <cell r="G745">
            <v>1611</v>
          </cell>
          <cell r="H745">
            <v>0</v>
          </cell>
          <cell r="I745">
            <v>0</v>
          </cell>
          <cell r="L745">
            <v>0</v>
          </cell>
          <cell r="M745">
            <v>0</v>
          </cell>
          <cell r="N745">
            <v>0</v>
          </cell>
          <cell r="S745">
            <v>0</v>
          </cell>
          <cell r="T745">
            <v>0</v>
          </cell>
          <cell r="U745">
            <v>0</v>
          </cell>
          <cell r="W745">
            <v>0</v>
          </cell>
          <cell r="X745">
            <v>0</v>
          </cell>
        </row>
        <row r="746">
          <cell r="A746">
            <v>37966</v>
          </cell>
          <cell r="B746" t="str">
            <v>BMV Receive</v>
          </cell>
          <cell r="E746">
            <v>182.33666992188</v>
          </cell>
          <cell r="F746">
            <v>25.5</v>
          </cell>
          <cell r="G746">
            <v>74229</v>
          </cell>
          <cell r="H746">
            <v>29738</v>
          </cell>
          <cell r="I746">
            <v>0</v>
          </cell>
          <cell r="L746">
            <v>146.35</v>
          </cell>
          <cell r="M746">
            <v>0</v>
          </cell>
          <cell r="N746">
            <v>10</v>
          </cell>
          <cell r="S746">
            <v>0</v>
          </cell>
          <cell r="T746">
            <v>50.5</v>
          </cell>
          <cell r="U746">
            <v>0</v>
          </cell>
          <cell r="W746">
            <v>0.48666399999999999</v>
          </cell>
          <cell r="X746">
            <v>0</v>
          </cell>
        </row>
        <row r="747">
          <cell r="A747">
            <v>37966</v>
          </cell>
          <cell r="B747" t="str">
            <v>ManualVDF</v>
          </cell>
          <cell r="E747">
            <v>107.5</v>
          </cell>
          <cell r="F747">
            <v>0</v>
          </cell>
          <cell r="G747">
            <v>5310</v>
          </cell>
          <cell r="H747">
            <v>0</v>
          </cell>
          <cell r="I747">
            <v>0</v>
          </cell>
          <cell r="L747">
            <v>0</v>
          </cell>
          <cell r="M747">
            <v>0</v>
          </cell>
          <cell r="N747">
            <v>0</v>
          </cell>
          <cell r="S747">
            <v>0</v>
          </cell>
          <cell r="T747">
            <v>0</v>
          </cell>
          <cell r="U747">
            <v>0</v>
          </cell>
          <cell r="W747">
            <v>0</v>
          </cell>
          <cell r="X747">
            <v>5310</v>
          </cell>
        </row>
        <row r="748">
          <cell r="A748">
            <v>37966</v>
          </cell>
          <cell r="B748" t="str">
            <v>Picking</v>
          </cell>
          <cell r="E748">
            <v>884.76666259766</v>
          </cell>
          <cell r="F748">
            <v>0</v>
          </cell>
          <cell r="G748">
            <v>71811</v>
          </cell>
          <cell r="H748">
            <v>0</v>
          </cell>
          <cell r="I748">
            <v>0</v>
          </cell>
          <cell r="L748">
            <v>0</v>
          </cell>
          <cell r="M748">
            <v>0</v>
          </cell>
          <cell r="N748">
            <v>0</v>
          </cell>
          <cell r="S748">
            <v>0</v>
          </cell>
          <cell r="T748">
            <v>0</v>
          </cell>
          <cell r="U748">
            <v>0</v>
          </cell>
          <cell r="W748">
            <v>31.5167</v>
          </cell>
          <cell r="X748">
            <v>0</v>
          </cell>
        </row>
        <row r="749">
          <cell r="A749">
            <v>37966</v>
          </cell>
          <cell r="B749" t="str">
            <v>BMV Stow</v>
          </cell>
          <cell r="E749">
            <v>118</v>
          </cell>
          <cell r="F749">
            <v>-10</v>
          </cell>
          <cell r="G749">
            <v>24845</v>
          </cell>
          <cell r="H749">
            <v>0</v>
          </cell>
          <cell r="I749">
            <v>22391</v>
          </cell>
          <cell r="L749">
            <v>112</v>
          </cell>
          <cell r="M749">
            <v>16</v>
          </cell>
          <cell r="N749">
            <v>0</v>
          </cell>
          <cell r="S749">
            <v>0</v>
          </cell>
          <cell r="T749">
            <v>0</v>
          </cell>
          <cell r="U749">
            <v>0</v>
          </cell>
          <cell r="W749">
            <v>0</v>
          </cell>
          <cell r="X749">
            <v>0</v>
          </cell>
        </row>
        <row r="750">
          <cell r="A750">
            <v>37966</v>
          </cell>
          <cell r="B750" t="str">
            <v>Shipping</v>
          </cell>
          <cell r="E750">
            <v>856.59997558594</v>
          </cell>
          <cell r="F750">
            <v>0</v>
          </cell>
          <cell r="G750">
            <v>0</v>
          </cell>
          <cell r="H750">
            <v>0</v>
          </cell>
          <cell r="I750">
            <v>0</v>
          </cell>
          <cell r="L750">
            <v>0</v>
          </cell>
          <cell r="M750">
            <v>0</v>
          </cell>
          <cell r="N750">
            <v>0</v>
          </cell>
          <cell r="S750">
            <v>0</v>
          </cell>
          <cell r="T750">
            <v>0</v>
          </cell>
          <cell r="U750">
            <v>0</v>
          </cell>
          <cell r="W750">
            <v>38.1</v>
          </cell>
          <cell r="X750">
            <v>0</v>
          </cell>
        </row>
        <row r="751">
          <cell r="A751">
            <v>37966</v>
          </cell>
          <cell r="B751" t="str">
            <v>Autobox</v>
          </cell>
          <cell r="E751">
            <v>198</v>
          </cell>
          <cell r="F751">
            <v>50</v>
          </cell>
          <cell r="G751">
            <v>30777</v>
          </cell>
          <cell r="H751">
            <v>0</v>
          </cell>
          <cell r="I751">
            <v>0</v>
          </cell>
          <cell r="L751">
            <v>0</v>
          </cell>
          <cell r="M751">
            <v>0</v>
          </cell>
          <cell r="N751">
            <v>0</v>
          </cell>
          <cell r="S751">
            <v>0</v>
          </cell>
          <cell r="T751">
            <v>0</v>
          </cell>
          <cell r="U751">
            <v>0</v>
          </cell>
          <cell r="W751">
            <v>0</v>
          </cell>
          <cell r="X751">
            <v>0</v>
          </cell>
        </row>
        <row r="752">
          <cell r="A752">
            <v>37966</v>
          </cell>
          <cell r="B752" t="str">
            <v>Levimatic</v>
          </cell>
          <cell r="E752">
            <v>36</v>
          </cell>
          <cell r="F752">
            <v>18</v>
          </cell>
          <cell r="G752">
            <v>4213</v>
          </cell>
          <cell r="H752">
            <v>0</v>
          </cell>
          <cell r="I752">
            <v>0</v>
          </cell>
          <cell r="L752">
            <v>0</v>
          </cell>
          <cell r="M752">
            <v>0</v>
          </cell>
          <cell r="N752">
            <v>0</v>
          </cell>
          <cell r="S752">
            <v>0</v>
          </cell>
          <cell r="T752">
            <v>0</v>
          </cell>
          <cell r="U752">
            <v>0</v>
          </cell>
          <cell r="W752">
            <v>0</v>
          </cell>
          <cell r="X752">
            <v>2747</v>
          </cell>
        </row>
        <row r="753">
          <cell r="A753">
            <v>37966</v>
          </cell>
          <cell r="B753" t="str">
            <v>Giftwrap</v>
          </cell>
          <cell r="E753">
            <v>261</v>
          </cell>
          <cell r="F753">
            <v>0</v>
          </cell>
          <cell r="G753">
            <v>2970</v>
          </cell>
          <cell r="H753">
            <v>0</v>
          </cell>
          <cell r="I753">
            <v>0</v>
          </cell>
          <cell r="L753">
            <v>0</v>
          </cell>
          <cell r="M753">
            <v>0</v>
          </cell>
          <cell r="N753">
            <v>0</v>
          </cell>
          <cell r="S753">
            <v>0</v>
          </cell>
          <cell r="T753">
            <v>0</v>
          </cell>
          <cell r="U753">
            <v>0</v>
          </cell>
          <cell r="W753">
            <v>0</v>
          </cell>
          <cell r="X753">
            <v>0</v>
          </cell>
        </row>
        <row r="754">
          <cell r="A754">
            <v>37966</v>
          </cell>
          <cell r="B754" t="str">
            <v>ShipSupport</v>
          </cell>
          <cell r="E754">
            <v>361.59999847412001</v>
          </cell>
          <cell r="F754">
            <v>0</v>
          </cell>
          <cell r="G754">
            <v>0</v>
          </cell>
          <cell r="H754">
            <v>0</v>
          </cell>
          <cell r="I754">
            <v>0</v>
          </cell>
          <cell r="L754">
            <v>0</v>
          </cell>
          <cell r="M754">
            <v>0</v>
          </cell>
          <cell r="N754">
            <v>0</v>
          </cell>
          <cell r="S754">
            <v>0</v>
          </cell>
          <cell r="T754">
            <v>0</v>
          </cell>
          <cell r="U754">
            <v>0</v>
          </cell>
          <cell r="W754">
            <v>38.1</v>
          </cell>
          <cell r="X754">
            <v>0</v>
          </cell>
        </row>
        <row r="755">
          <cell r="A755">
            <v>37966</v>
          </cell>
          <cell r="B755" t="str">
            <v>Replenishment</v>
          </cell>
          <cell r="E755">
            <v>141.88000488281</v>
          </cell>
          <cell r="F755">
            <v>0</v>
          </cell>
          <cell r="G755">
            <v>24546</v>
          </cell>
          <cell r="H755">
            <v>0</v>
          </cell>
          <cell r="I755">
            <v>0</v>
          </cell>
          <cell r="L755">
            <v>0</v>
          </cell>
          <cell r="M755">
            <v>0</v>
          </cell>
          <cell r="N755">
            <v>0</v>
          </cell>
          <cell r="S755">
            <v>0</v>
          </cell>
          <cell r="T755">
            <v>0</v>
          </cell>
          <cell r="U755">
            <v>0</v>
          </cell>
          <cell r="W755">
            <v>0</v>
          </cell>
          <cell r="X755">
            <v>0</v>
          </cell>
        </row>
        <row r="756">
          <cell r="A756">
            <v>37966</v>
          </cell>
          <cell r="B756" t="str">
            <v>BMV Receive</v>
          </cell>
          <cell r="E756">
            <v>482.44995117188</v>
          </cell>
          <cell r="F756">
            <v>160</v>
          </cell>
          <cell r="G756">
            <v>69454</v>
          </cell>
          <cell r="H756">
            <v>57209</v>
          </cell>
          <cell r="I756">
            <v>0</v>
          </cell>
          <cell r="L756">
            <v>296.74</v>
          </cell>
          <cell r="M756">
            <v>0</v>
          </cell>
          <cell r="N756">
            <v>20.3</v>
          </cell>
          <cell r="S756">
            <v>0</v>
          </cell>
          <cell r="T756">
            <v>78</v>
          </cell>
          <cell r="U756">
            <v>0</v>
          </cell>
          <cell r="W756">
            <v>5.4099399999999997</v>
          </cell>
          <cell r="X756">
            <v>0</v>
          </cell>
        </row>
        <row r="757">
          <cell r="A757">
            <v>37966</v>
          </cell>
          <cell r="B757" t="str">
            <v>Offsite1Receive</v>
          </cell>
          <cell r="E757">
            <v>-62.866653442382997</v>
          </cell>
          <cell r="F757">
            <v>0</v>
          </cell>
          <cell r="G757">
            <v>0</v>
          </cell>
          <cell r="H757">
            <v>0</v>
          </cell>
          <cell r="I757">
            <v>0</v>
          </cell>
          <cell r="L757">
            <v>0</v>
          </cell>
          <cell r="M757">
            <v>0</v>
          </cell>
          <cell r="N757">
            <v>0</v>
          </cell>
          <cell r="S757">
            <v>0</v>
          </cell>
          <cell r="T757">
            <v>0</v>
          </cell>
          <cell r="U757">
            <v>0</v>
          </cell>
          <cell r="W757">
            <v>157.53299999999999</v>
          </cell>
          <cell r="X757">
            <v>0</v>
          </cell>
        </row>
        <row r="758">
          <cell r="A758">
            <v>37966</v>
          </cell>
          <cell r="B758" t="str">
            <v>Office</v>
          </cell>
          <cell r="E758">
            <v>130.16667175293</v>
          </cell>
          <cell r="F758">
            <v>0</v>
          </cell>
          <cell r="G758">
            <v>0</v>
          </cell>
          <cell r="H758">
            <v>0</v>
          </cell>
          <cell r="I758">
            <v>0</v>
          </cell>
          <cell r="L758">
            <v>0</v>
          </cell>
          <cell r="M758">
            <v>0</v>
          </cell>
          <cell r="N758">
            <v>0</v>
          </cell>
          <cell r="S758">
            <v>0</v>
          </cell>
          <cell r="T758">
            <v>0</v>
          </cell>
          <cell r="U758">
            <v>0</v>
          </cell>
          <cell r="W758">
            <v>130.167</v>
          </cell>
          <cell r="X758">
            <v>0</v>
          </cell>
        </row>
        <row r="759">
          <cell r="A759">
            <v>37966</v>
          </cell>
          <cell r="B759" t="str">
            <v>Office</v>
          </cell>
          <cell r="E759">
            <v>30.5</v>
          </cell>
          <cell r="F759">
            <v>0</v>
          </cell>
          <cell r="G759">
            <v>0</v>
          </cell>
          <cell r="H759">
            <v>0</v>
          </cell>
          <cell r="I759">
            <v>0</v>
          </cell>
          <cell r="L759">
            <v>0</v>
          </cell>
          <cell r="M759">
            <v>0</v>
          </cell>
          <cell r="N759">
            <v>0</v>
          </cell>
          <cell r="S759">
            <v>0</v>
          </cell>
          <cell r="T759">
            <v>0</v>
          </cell>
          <cell r="U759">
            <v>0</v>
          </cell>
          <cell r="W759">
            <v>30.5</v>
          </cell>
          <cell r="X759">
            <v>0</v>
          </cell>
        </row>
        <row r="760">
          <cell r="A760">
            <v>37966</v>
          </cell>
          <cell r="B760" t="str">
            <v>QA</v>
          </cell>
          <cell r="E760">
            <v>68.083335876465</v>
          </cell>
          <cell r="F760">
            <v>0</v>
          </cell>
          <cell r="G760">
            <v>0</v>
          </cell>
          <cell r="H760">
            <v>0</v>
          </cell>
          <cell r="I760">
            <v>0</v>
          </cell>
          <cell r="L760">
            <v>0</v>
          </cell>
          <cell r="M760">
            <v>0</v>
          </cell>
          <cell r="N760">
            <v>0</v>
          </cell>
          <cell r="S760">
            <v>0</v>
          </cell>
          <cell r="T760">
            <v>0</v>
          </cell>
          <cell r="U760">
            <v>0</v>
          </cell>
          <cell r="W760">
            <v>68.083299999999994</v>
          </cell>
          <cell r="X760">
            <v>0</v>
          </cell>
        </row>
        <row r="761">
          <cell r="A761">
            <v>37966</v>
          </cell>
          <cell r="B761" t="str">
            <v>Vreturns</v>
          </cell>
          <cell r="E761">
            <v>2.9000000953674001</v>
          </cell>
          <cell r="F761">
            <v>0</v>
          </cell>
          <cell r="G761">
            <v>0</v>
          </cell>
          <cell r="H761">
            <v>0</v>
          </cell>
          <cell r="I761">
            <v>0</v>
          </cell>
          <cell r="L761">
            <v>0</v>
          </cell>
          <cell r="M761">
            <v>0</v>
          </cell>
          <cell r="N761">
            <v>0</v>
          </cell>
          <cell r="S761">
            <v>0</v>
          </cell>
          <cell r="T761">
            <v>0</v>
          </cell>
          <cell r="U761">
            <v>0</v>
          </cell>
          <cell r="W761">
            <v>2.9</v>
          </cell>
          <cell r="X761">
            <v>0</v>
          </cell>
        </row>
        <row r="762">
          <cell r="A762">
            <v>37966</v>
          </cell>
          <cell r="B762" t="str">
            <v>Facilities</v>
          </cell>
          <cell r="E762">
            <v>128.69999694824</v>
          </cell>
          <cell r="F762">
            <v>0</v>
          </cell>
          <cell r="G762">
            <v>0</v>
          </cell>
          <cell r="H762">
            <v>0</v>
          </cell>
          <cell r="I762">
            <v>0</v>
          </cell>
          <cell r="L762">
            <v>0</v>
          </cell>
          <cell r="M762">
            <v>0</v>
          </cell>
          <cell r="N762">
            <v>0</v>
          </cell>
          <cell r="S762">
            <v>0</v>
          </cell>
          <cell r="T762">
            <v>0</v>
          </cell>
          <cell r="U762">
            <v>0</v>
          </cell>
          <cell r="W762">
            <v>128.69999999999999</v>
          </cell>
          <cell r="X762">
            <v>0</v>
          </cell>
        </row>
        <row r="763">
          <cell r="A763">
            <v>37966</v>
          </cell>
          <cell r="B763" t="str">
            <v>Facilities</v>
          </cell>
          <cell r="E763">
            <v>10</v>
          </cell>
          <cell r="F763">
            <v>0</v>
          </cell>
          <cell r="G763">
            <v>0</v>
          </cell>
          <cell r="H763">
            <v>0</v>
          </cell>
          <cell r="I763">
            <v>0</v>
          </cell>
          <cell r="L763">
            <v>0</v>
          </cell>
          <cell r="M763">
            <v>0</v>
          </cell>
          <cell r="N763">
            <v>0</v>
          </cell>
          <cell r="S763">
            <v>0</v>
          </cell>
          <cell r="T763">
            <v>0</v>
          </cell>
          <cell r="U763">
            <v>0</v>
          </cell>
          <cell r="W763">
            <v>10</v>
          </cell>
          <cell r="X763">
            <v>0</v>
          </cell>
        </row>
        <row r="764">
          <cell r="A764">
            <v>37966</v>
          </cell>
          <cell r="B764" t="str">
            <v>SNOC</v>
          </cell>
          <cell r="E764">
            <v>20.316667556763001</v>
          </cell>
          <cell r="F764">
            <v>0</v>
          </cell>
          <cell r="G764">
            <v>0</v>
          </cell>
          <cell r="H764">
            <v>0</v>
          </cell>
          <cell r="I764">
            <v>0</v>
          </cell>
          <cell r="L764">
            <v>0</v>
          </cell>
          <cell r="M764">
            <v>0</v>
          </cell>
          <cell r="N764">
            <v>0</v>
          </cell>
          <cell r="S764">
            <v>0</v>
          </cell>
          <cell r="T764">
            <v>0</v>
          </cell>
          <cell r="U764">
            <v>0</v>
          </cell>
          <cell r="W764">
            <v>20.316700000000001</v>
          </cell>
          <cell r="X764">
            <v>0</v>
          </cell>
        </row>
        <row r="765">
          <cell r="A765">
            <v>37966</v>
          </cell>
          <cell r="B765" t="str">
            <v>Swat</v>
          </cell>
          <cell r="E765">
            <v>8.1499996185303001</v>
          </cell>
          <cell r="F765">
            <v>0</v>
          </cell>
          <cell r="G765">
            <v>0</v>
          </cell>
          <cell r="H765">
            <v>0</v>
          </cell>
          <cell r="I765">
            <v>0</v>
          </cell>
          <cell r="L765">
            <v>0</v>
          </cell>
          <cell r="M765">
            <v>0</v>
          </cell>
          <cell r="N765">
            <v>0</v>
          </cell>
          <cell r="S765">
            <v>0</v>
          </cell>
          <cell r="T765">
            <v>0</v>
          </cell>
          <cell r="U765">
            <v>0</v>
          </cell>
          <cell r="W765">
            <v>8.15</v>
          </cell>
          <cell r="X765">
            <v>0</v>
          </cell>
        </row>
        <row r="766">
          <cell r="A766">
            <v>37966</v>
          </cell>
          <cell r="B766" t="str">
            <v>CustomerService</v>
          </cell>
          <cell r="E766">
            <v>16.5</v>
          </cell>
          <cell r="F766">
            <v>0</v>
          </cell>
          <cell r="G766">
            <v>0</v>
          </cell>
          <cell r="H766">
            <v>0</v>
          </cell>
          <cell r="I766">
            <v>0</v>
          </cell>
          <cell r="L766">
            <v>0</v>
          </cell>
          <cell r="M766">
            <v>0</v>
          </cell>
          <cell r="N766">
            <v>0</v>
          </cell>
          <cell r="S766">
            <v>0</v>
          </cell>
          <cell r="T766">
            <v>0</v>
          </cell>
          <cell r="U766">
            <v>0</v>
          </cell>
          <cell r="W766">
            <v>16.5</v>
          </cell>
          <cell r="X766">
            <v>0</v>
          </cell>
        </row>
        <row r="767">
          <cell r="A767">
            <v>37966</v>
          </cell>
          <cell r="B767" t="str">
            <v>CustomerService</v>
          </cell>
          <cell r="E767">
            <v>10</v>
          </cell>
          <cell r="F767">
            <v>0</v>
          </cell>
          <cell r="G767">
            <v>0</v>
          </cell>
          <cell r="H767">
            <v>0</v>
          </cell>
          <cell r="I767">
            <v>0</v>
          </cell>
          <cell r="L767">
            <v>0</v>
          </cell>
          <cell r="M767">
            <v>0</v>
          </cell>
          <cell r="N767">
            <v>0</v>
          </cell>
          <cell r="S767">
            <v>0</v>
          </cell>
          <cell r="T767">
            <v>0</v>
          </cell>
          <cell r="U767">
            <v>0</v>
          </cell>
          <cell r="W767">
            <v>10</v>
          </cell>
          <cell r="X767">
            <v>0</v>
          </cell>
        </row>
        <row r="768">
          <cell r="A768">
            <v>37966</v>
          </cell>
          <cell r="B768" t="str">
            <v>BMV Stow</v>
          </cell>
          <cell r="E768">
            <v>224.5</v>
          </cell>
          <cell r="F768">
            <v>55</v>
          </cell>
          <cell r="G768">
            <v>73558</v>
          </cell>
          <cell r="H768">
            <v>49972</v>
          </cell>
          <cell r="I768">
            <v>23586</v>
          </cell>
          <cell r="L768">
            <v>142.5</v>
          </cell>
          <cell r="M768">
            <v>27</v>
          </cell>
          <cell r="N768">
            <v>0</v>
          </cell>
          <cell r="S768">
            <v>0</v>
          </cell>
          <cell r="T768">
            <v>0</v>
          </cell>
          <cell r="U768">
            <v>0</v>
          </cell>
          <cell r="W768">
            <v>0</v>
          </cell>
          <cell r="X768">
            <v>0</v>
          </cell>
        </row>
        <row r="769">
          <cell r="A769">
            <v>37966</v>
          </cell>
          <cell r="B769" t="str">
            <v>Replenishment</v>
          </cell>
          <cell r="E769">
            <v>220</v>
          </cell>
          <cell r="F769">
            <v>0</v>
          </cell>
          <cell r="G769">
            <v>41565</v>
          </cell>
          <cell r="H769">
            <v>0</v>
          </cell>
          <cell r="I769">
            <v>0</v>
          </cell>
          <cell r="L769">
            <v>0</v>
          </cell>
          <cell r="M769">
            <v>0</v>
          </cell>
          <cell r="N769">
            <v>0</v>
          </cell>
          <cell r="S769">
            <v>0</v>
          </cell>
          <cell r="T769">
            <v>0</v>
          </cell>
          <cell r="U769">
            <v>0</v>
          </cell>
          <cell r="W769">
            <v>0</v>
          </cell>
          <cell r="X769">
            <v>0</v>
          </cell>
        </row>
        <row r="770">
          <cell r="A770">
            <v>37966</v>
          </cell>
          <cell r="B770" t="str">
            <v>Training</v>
          </cell>
          <cell r="E770">
            <v>0</v>
          </cell>
          <cell r="F770">
            <v>0</v>
          </cell>
          <cell r="G770">
            <v>0</v>
          </cell>
          <cell r="H770">
            <v>0</v>
          </cell>
          <cell r="I770">
            <v>0</v>
          </cell>
          <cell r="L770">
            <v>0</v>
          </cell>
          <cell r="M770">
            <v>0</v>
          </cell>
          <cell r="N770">
            <v>0</v>
          </cell>
          <cell r="S770">
            <v>0</v>
          </cell>
          <cell r="T770">
            <v>0</v>
          </cell>
          <cell r="U770">
            <v>0</v>
          </cell>
          <cell r="W770">
            <v>0</v>
          </cell>
          <cell r="X770">
            <v>0</v>
          </cell>
        </row>
        <row r="771">
          <cell r="A771">
            <v>37966</v>
          </cell>
          <cell r="B771" t="str">
            <v>Training</v>
          </cell>
          <cell r="E771">
            <v>0</v>
          </cell>
          <cell r="F771">
            <v>0</v>
          </cell>
          <cell r="G771">
            <v>0</v>
          </cell>
          <cell r="H771">
            <v>0</v>
          </cell>
          <cell r="I771">
            <v>0</v>
          </cell>
          <cell r="L771">
            <v>0</v>
          </cell>
          <cell r="M771">
            <v>0</v>
          </cell>
          <cell r="N771">
            <v>0</v>
          </cell>
          <cell r="S771">
            <v>0</v>
          </cell>
          <cell r="T771">
            <v>0</v>
          </cell>
          <cell r="U771">
            <v>0</v>
          </cell>
          <cell r="W771">
            <v>0</v>
          </cell>
          <cell r="X771">
            <v>0</v>
          </cell>
        </row>
        <row r="772">
          <cell r="A772">
            <v>37965</v>
          </cell>
          <cell r="B772" t="str">
            <v>CReturns</v>
          </cell>
          <cell r="E772">
            <v>20.566667556763001</v>
          </cell>
          <cell r="F772">
            <v>0</v>
          </cell>
          <cell r="G772">
            <v>845</v>
          </cell>
          <cell r="H772">
            <v>0</v>
          </cell>
          <cell r="I772">
            <v>0</v>
          </cell>
          <cell r="L772">
            <v>0</v>
          </cell>
          <cell r="M772">
            <v>0</v>
          </cell>
          <cell r="N772">
            <v>0</v>
          </cell>
          <cell r="S772">
            <v>0</v>
          </cell>
          <cell r="T772">
            <v>0</v>
          </cell>
          <cell r="U772">
            <v>0</v>
          </cell>
          <cell r="W772">
            <v>-1.43333</v>
          </cell>
          <cell r="X772">
            <v>0</v>
          </cell>
        </row>
        <row r="773">
          <cell r="A773">
            <v>37965</v>
          </cell>
          <cell r="B773" t="str">
            <v>Sortation</v>
          </cell>
          <cell r="E773">
            <v>665.16668701172</v>
          </cell>
          <cell r="F773">
            <v>0</v>
          </cell>
          <cell r="G773">
            <v>0</v>
          </cell>
          <cell r="H773">
            <v>0</v>
          </cell>
          <cell r="I773">
            <v>0</v>
          </cell>
          <cell r="L773">
            <v>0</v>
          </cell>
          <cell r="M773">
            <v>0</v>
          </cell>
          <cell r="N773">
            <v>0</v>
          </cell>
          <cell r="S773">
            <v>0</v>
          </cell>
          <cell r="T773">
            <v>0</v>
          </cell>
          <cell r="U773">
            <v>0</v>
          </cell>
          <cell r="W773">
            <v>-53.833300000000001</v>
          </cell>
          <cell r="X773">
            <v>0</v>
          </cell>
        </row>
        <row r="774">
          <cell r="A774">
            <v>37965</v>
          </cell>
          <cell r="B774" t="str">
            <v>Rebin</v>
          </cell>
          <cell r="E774">
            <v>324.5</v>
          </cell>
          <cell r="F774">
            <v>65</v>
          </cell>
          <cell r="G774">
            <v>59755</v>
          </cell>
          <cell r="H774">
            <v>0</v>
          </cell>
          <cell r="I774">
            <v>0</v>
          </cell>
          <cell r="L774">
            <v>0</v>
          </cell>
          <cell r="M774">
            <v>0</v>
          </cell>
          <cell r="N774">
            <v>0</v>
          </cell>
          <cell r="S774">
            <v>0</v>
          </cell>
          <cell r="T774">
            <v>0</v>
          </cell>
          <cell r="U774">
            <v>0</v>
          </cell>
          <cell r="W774">
            <v>0</v>
          </cell>
          <cell r="X774">
            <v>0</v>
          </cell>
        </row>
        <row r="775">
          <cell r="A775">
            <v>37965</v>
          </cell>
          <cell r="B775" t="str">
            <v>Stack</v>
          </cell>
          <cell r="E775">
            <v>238</v>
          </cell>
          <cell r="F775">
            <v>0</v>
          </cell>
          <cell r="G775">
            <v>35709</v>
          </cell>
          <cell r="H775">
            <v>0</v>
          </cell>
          <cell r="I775">
            <v>0</v>
          </cell>
          <cell r="L775">
            <v>0</v>
          </cell>
          <cell r="M775">
            <v>0</v>
          </cell>
          <cell r="N775">
            <v>0</v>
          </cell>
          <cell r="S775">
            <v>4115</v>
          </cell>
          <cell r="T775">
            <v>0</v>
          </cell>
          <cell r="U775">
            <v>0</v>
          </cell>
          <cell r="W775">
            <v>0</v>
          </cell>
          <cell r="X775">
            <v>0</v>
          </cell>
        </row>
        <row r="776">
          <cell r="A776">
            <v>37965</v>
          </cell>
          <cell r="B776" t="str">
            <v>Bundler</v>
          </cell>
          <cell r="E776">
            <v>102.66669845581001</v>
          </cell>
          <cell r="F776">
            <v>0</v>
          </cell>
          <cell r="G776">
            <v>35709</v>
          </cell>
          <cell r="H776">
            <v>0</v>
          </cell>
          <cell r="I776">
            <v>0</v>
          </cell>
          <cell r="L776">
            <v>0</v>
          </cell>
          <cell r="M776">
            <v>0</v>
          </cell>
          <cell r="N776">
            <v>0</v>
          </cell>
          <cell r="S776">
            <v>0</v>
          </cell>
          <cell r="T776">
            <v>0</v>
          </cell>
          <cell r="U776">
            <v>0</v>
          </cell>
          <cell r="W776">
            <v>-53.833300000000001</v>
          </cell>
          <cell r="X776">
            <v>13449</v>
          </cell>
        </row>
        <row r="777">
          <cell r="A777">
            <v>37965</v>
          </cell>
          <cell r="B777" t="str">
            <v>Shipping</v>
          </cell>
          <cell r="E777">
            <v>1052.1000366210999</v>
          </cell>
          <cell r="F777">
            <v>0</v>
          </cell>
          <cell r="G777">
            <v>0</v>
          </cell>
          <cell r="H777">
            <v>0</v>
          </cell>
          <cell r="I777">
            <v>0</v>
          </cell>
          <cell r="L777">
            <v>0</v>
          </cell>
          <cell r="M777">
            <v>0</v>
          </cell>
          <cell r="N777">
            <v>0</v>
          </cell>
          <cell r="S777">
            <v>0</v>
          </cell>
          <cell r="T777">
            <v>0</v>
          </cell>
          <cell r="U777">
            <v>0</v>
          </cell>
          <cell r="W777">
            <v>36.35</v>
          </cell>
          <cell r="X777">
            <v>0</v>
          </cell>
        </row>
        <row r="778">
          <cell r="A778">
            <v>37965</v>
          </cell>
          <cell r="B778" t="str">
            <v>Autobox</v>
          </cell>
          <cell r="E778">
            <v>338.25</v>
          </cell>
          <cell r="F778">
            <v>13</v>
          </cell>
          <cell r="G778">
            <v>34855</v>
          </cell>
          <cell r="H778">
            <v>0</v>
          </cell>
          <cell r="I778">
            <v>0</v>
          </cell>
          <cell r="L778">
            <v>0</v>
          </cell>
          <cell r="M778">
            <v>0</v>
          </cell>
          <cell r="N778">
            <v>0</v>
          </cell>
          <cell r="S778">
            <v>0</v>
          </cell>
          <cell r="T778">
            <v>0</v>
          </cell>
          <cell r="U778">
            <v>0</v>
          </cell>
          <cell r="W778">
            <v>0</v>
          </cell>
          <cell r="X778">
            <v>0</v>
          </cell>
        </row>
        <row r="779">
          <cell r="A779">
            <v>37965</v>
          </cell>
          <cell r="B779" t="str">
            <v>Levimatic</v>
          </cell>
          <cell r="E779">
            <v>47</v>
          </cell>
          <cell r="F779">
            <v>0</v>
          </cell>
          <cell r="G779">
            <v>7049</v>
          </cell>
          <cell r="H779">
            <v>0</v>
          </cell>
          <cell r="I779">
            <v>0</v>
          </cell>
          <cell r="L779">
            <v>0</v>
          </cell>
          <cell r="M779">
            <v>0</v>
          </cell>
          <cell r="N779">
            <v>0</v>
          </cell>
          <cell r="S779">
            <v>0</v>
          </cell>
          <cell r="T779">
            <v>0</v>
          </cell>
          <cell r="U779">
            <v>0</v>
          </cell>
          <cell r="W779">
            <v>0</v>
          </cell>
          <cell r="X779">
            <v>0</v>
          </cell>
        </row>
        <row r="780">
          <cell r="A780">
            <v>37965</v>
          </cell>
          <cell r="B780" t="str">
            <v>Giftwrap</v>
          </cell>
          <cell r="E780">
            <v>268.5</v>
          </cell>
          <cell r="F780">
            <v>0</v>
          </cell>
          <cell r="G780">
            <v>4198</v>
          </cell>
          <cell r="H780">
            <v>0</v>
          </cell>
          <cell r="I780">
            <v>0</v>
          </cell>
          <cell r="L780">
            <v>0</v>
          </cell>
          <cell r="M780">
            <v>0</v>
          </cell>
          <cell r="N780">
            <v>0</v>
          </cell>
          <cell r="S780">
            <v>0</v>
          </cell>
          <cell r="T780">
            <v>0</v>
          </cell>
          <cell r="U780">
            <v>0</v>
          </cell>
          <cell r="W780">
            <v>0</v>
          </cell>
          <cell r="X780">
            <v>4198</v>
          </cell>
        </row>
        <row r="781">
          <cell r="A781">
            <v>37965</v>
          </cell>
          <cell r="B781" t="str">
            <v>ShipSupport</v>
          </cell>
          <cell r="E781">
            <v>398.34999847412001</v>
          </cell>
          <cell r="F781">
            <v>71</v>
          </cell>
          <cell r="G781">
            <v>0</v>
          </cell>
          <cell r="H781">
            <v>0</v>
          </cell>
          <cell r="I781">
            <v>0</v>
          </cell>
          <cell r="L781">
            <v>0</v>
          </cell>
          <cell r="M781">
            <v>0</v>
          </cell>
          <cell r="N781">
            <v>0</v>
          </cell>
          <cell r="S781">
            <v>0</v>
          </cell>
          <cell r="T781">
            <v>0</v>
          </cell>
          <cell r="U781">
            <v>0</v>
          </cell>
          <cell r="W781">
            <v>36.35</v>
          </cell>
          <cell r="X781">
            <v>0</v>
          </cell>
        </row>
        <row r="782">
          <cell r="A782">
            <v>37965</v>
          </cell>
          <cell r="B782" t="str">
            <v>InventoryControl</v>
          </cell>
          <cell r="E782">
            <v>215.80000305176</v>
          </cell>
          <cell r="F782">
            <v>0</v>
          </cell>
          <cell r="G782">
            <v>0</v>
          </cell>
          <cell r="H782">
            <v>0</v>
          </cell>
          <cell r="I782">
            <v>0</v>
          </cell>
          <cell r="L782">
            <v>0</v>
          </cell>
          <cell r="M782">
            <v>0</v>
          </cell>
          <cell r="N782">
            <v>0</v>
          </cell>
          <cell r="S782">
            <v>0</v>
          </cell>
          <cell r="T782">
            <v>0</v>
          </cell>
          <cell r="U782">
            <v>0</v>
          </cell>
          <cell r="W782">
            <v>0.80000300000000002</v>
          </cell>
          <cell r="X782">
            <v>0</v>
          </cell>
        </row>
        <row r="783">
          <cell r="A783">
            <v>37965</v>
          </cell>
          <cell r="B783" t="str">
            <v>QA</v>
          </cell>
          <cell r="E783">
            <v>141.46667480469</v>
          </cell>
          <cell r="F783">
            <v>0</v>
          </cell>
          <cell r="G783">
            <v>0</v>
          </cell>
          <cell r="H783">
            <v>0</v>
          </cell>
          <cell r="I783">
            <v>0</v>
          </cell>
          <cell r="L783">
            <v>0</v>
          </cell>
          <cell r="M783">
            <v>0</v>
          </cell>
          <cell r="N783">
            <v>0</v>
          </cell>
          <cell r="S783">
            <v>0</v>
          </cell>
          <cell r="T783">
            <v>0</v>
          </cell>
          <cell r="U783">
            <v>0</v>
          </cell>
          <cell r="W783">
            <v>66.466700000000003</v>
          </cell>
          <cell r="X783">
            <v>0</v>
          </cell>
        </row>
        <row r="784">
          <cell r="A784">
            <v>37965</v>
          </cell>
          <cell r="B784" t="str">
            <v>Vreturns</v>
          </cell>
          <cell r="E784">
            <v>51.700000762938998</v>
          </cell>
          <cell r="F784">
            <v>0</v>
          </cell>
          <cell r="G784">
            <v>11053</v>
          </cell>
          <cell r="H784">
            <v>0</v>
          </cell>
          <cell r="I784">
            <v>0</v>
          </cell>
          <cell r="L784">
            <v>0</v>
          </cell>
          <cell r="M784">
            <v>0</v>
          </cell>
          <cell r="N784">
            <v>0</v>
          </cell>
          <cell r="S784">
            <v>0</v>
          </cell>
          <cell r="T784">
            <v>0</v>
          </cell>
          <cell r="U784">
            <v>0</v>
          </cell>
          <cell r="W784">
            <v>1.7</v>
          </cell>
          <cell r="X784">
            <v>0</v>
          </cell>
        </row>
        <row r="785">
          <cell r="A785">
            <v>37965</v>
          </cell>
          <cell r="B785" t="str">
            <v>Sortation</v>
          </cell>
          <cell r="E785">
            <v>1162.0833740234</v>
          </cell>
          <cell r="F785">
            <v>0</v>
          </cell>
          <cell r="G785">
            <v>0</v>
          </cell>
          <cell r="H785">
            <v>0</v>
          </cell>
          <cell r="I785">
            <v>0</v>
          </cell>
          <cell r="L785">
            <v>0</v>
          </cell>
          <cell r="M785">
            <v>0</v>
          </cell>
          <cell r="N785">
            <v>0</v>
          </cell>
          <cell r="S785">
            <v>0</v>
          </cell>
          <cell r="T785">
            <v>0</v>
          </cell>
          <cell r="U785">
            <v>0</v>
          </cell>
          <cell r="W785">
            <v>130.28299999999999</v>
          </cell>
          <cell r="X785">
            <v>0</v>
          </cell>
        </row>
        <row r="786">
          <cell r="A786">
            <v>37965</v>
          </cell>
          <cell r="B786" t="str">
            <v>Rebin</v>
          </cell>
          <cell r="E786">
            <v>375.5</v>
          </cell>
          <cell r="F786">
            <v>77</v>
          </cell>
          <cell r="G786">
            <v>78329</v>
          </cell>
          <cell r="H786">
            <v>0</v>
          </cell>
          <cell r="I786">
            <v>0</v>
          </cell>
          <cell r="L786">
            <v>0</v>
          </cell>
          <cell r="M786">
            <v>0</v>
          </cell>
          <cell r="N786">
            <v>0</v>
          </cell>
          <cell r="S786">
            <v>0</v>
          </cell>
          <cell r="T786">
            <v>0</v>
          </cell>
          <cell r="U786">
            <v>0</v>
          </cell>
          <cell r="W786">
            <v>0</v>
          </cell>
          <cell r="X786">
            <v>0</v>
          </cell>
        </row>
        <row r="787">
          <cell r="A787">
            <v>37965</v>
          </cell>
          <cell r="B787" t="str">
            <v>Stack</v>
          </cell>
          <cell r="E787">
            <v>413</v>
          </cell>
          <cell r="F787">
            <v>0</v>
          </cell>
          <cell r="G787">
            <v>64107</v>
          </cell>
          <cell r="H787">
            <v>0</v>
          </cell>
          <cell r="I787">
            <v>0</v>
          </cell>
          <cell r="L787">
            <v>0</v>
          </cell>
          <cell r="M787">
            <v>0</v>
          </cell>
          <cell r="N787">
            <v>0</v>
          </cell>
          <cell r="S787">
            <v>1663</v>
          </cell>
          <cell r="T787">
            <v>0</v>
          </cell>
          <cell r="U787">
            <v>0</v>
          </cell>
          <cell r="W787">
            <v>0</v>
          </cell>
          <cell r="X787">
            <v>0</v>
          </cell>
        </row>
        <row r="788">
          <cell r="A788">
            <v>37965</v>
          </cell>
          <cell r="B788" t="str">
            <v>Bundler</v>
          </cell>
          <cell r="E788">
            <v>373.5830078125</v>
          </cell>
          <cell r="F788">
            <v>0</v>
          </cell>
          <cell r="G788">
            <v>64107</v>
          </cell>
          <cell r="H788">
            <v>0</v>
          </cell>
          <cell r="I788">
            <v>0</v>
          </cell>
          <cell r="L788">
            <v>0</v>
          </cell>
          <cell r="M788">
            <v>0</v>
          </cell>
          <cell r="N788">
            <v>0</v>
          </cell>
          <cell r="S788">
            <v>0</v>
          </cell>
          <cell r="T788">
            <v>0</v>
          </cell>
          <cell r="U788">
            <v>0</v>
          </cell>
          <cell r="W788">
            <v>130.28299999999999</v>
          </cell>
          <cell r="X788">
            <v>23600</v>
          </cell>
        </row>
        <row r="789">
          <cell r="A789">
            <v>37965</v>
          </cell>
          <cell r="B789" t="str">
            <v>Picking</v>
          </cell>
          <cell r="E789">
            <v>959.15002441406</v>
          </cell>
          <cell r="F789">
            <v>0</v>
          </cell>
          <cell r="G789">
            <v>98155</v>
          </cell>
          <cell r="H789">
            <v>0</v>
          </cell>
          <cell r="I789">
            <v>0</v>
          </cell>
          <cell r="L789">
            <v>0</v>
          </cell>
          <cell r="M789">
            <v>0</v>
          </cell>
          <cell r="N789">
            <v>0</v>
          </cell>
          <cell r="S789">
            <v>0</v>
          </cell>
          <cell r="T789">
            <v>0</v>
          </cell>
          <cell r="U789">
            <v>0</v>
          </cell>
          <cell r="W789">
            <v>-20.100000000000001</v>
          </cell>
          <cell r="X789">
            <v>0</v>
          </cell>
        </row>
        <row r="790">
          <cell r="A790">
            <v>37965</v>
          </cell>
          <cell r="B790" t="str">
            <v>Offsite1Receive</v>
          </cell>
          <cell r="E790">
            <v>295.9833984375</v>
          </cell>
          <cell r="F790">
            <v>30</v>
          </cell>
          <cell r="G790">
            <v>8678</v>
          </cell>
          <cell r="H790">
            <v>0</v>
          </cell>
          <cell r="I790">
            <v>0</v>
          </cell>
          <cell r="L790">
            <v>0</v>
          </cell>
          <cell r="M790">
            <v>0</v>
          </cell>
          <cell r="N790">
            <v>0</v>
          </cell>
          <cell r="S790">
            <v>0</v>
          </cell>
          <cell r="T790">
            <v>0</v>
          </cell>
          <cell r="U790">
            <v>0</v>
          </cell>
          <cell r="W790">
            <v>128.983</v>
          </cell>
          <cell r="X790">
            <v>0</v>
          </cell>
        </row>
        <row r="791">
          <cell r="A791">
            <v>37965</v>
          </cell>
          <cell r="B791" t="str">
            <v>ManualVDF</v>
          </cell>
          <cell r="E791">
            <v>98.5</v>
          </cell>
          <cell r="F791">
            <v>0</v>
          </cell>
          <cell r="G791">
            <v>4562</v>
          </cell>
          <cell r="H791">
            <v>0</v>
          </cell>
          <cell r="I791">
            <v>0</v>
          </cell>
          <cell r="L791">
            <v>0</v>
          </cell>
          <cell r="M791">
            <v>0</v>
          </cell>
          <cell r="N791">
            <v>0</v>
          </cell>
          <cell r="S791">
            <v>0</v>
          </cell>
          <cell r="T791">
            <v>0</v>
          </cell>
          <cell r="U791">
            <v>0</v>
          </cell>
          <cell r="W791">
            <v>0</v>
          </cell>
          <cell r="X791">
            <v>4562</v>
          </cell>
        </row>
        <row r="792">
          <cell r="A792">
            <v>37965</v>
          </cell>
          <cell r="B792" t="str">
            <v>Picking</v>
          </cell>
          <cell r="E792">
            <v>928.38336181641</v>
          </cell>
          <cell r="F792">
            <v>0</v>
          </cell>
          <cell r="G792">
            <v>78352</v>
          </cell>
          <cell r="H792">
            <v>0</v>
          </cell>
          <cell r="I792">
            <v>0</v>
          </cell>
          <cell r="L792">
            <v>0</v>
          </cell>
          <cell r="M792">
            <v>0</v>
          </cell>
          <cell r="N792">
            <v>0</v>
          </cell>
          <cell r="S792">
            <v>0</v>
          </cell>
          <cell r="T792">
            <v>0</v>
          </cell>
          <cell r="U792">
            <v>0</v>
          </cell>
          <cell r="W792">
            <v>35.883400000000002</v>
          </cell>
          <cell r="X792">
            <v>0</v>
          </cell>
        </row>
        <row r="793">
          <cell r="A793">
            <v>37965</v>
          </cell>
          <cell r="B793" t="str">
            <v>BMV Receive</v>
          </cell>
          <cell r="E793">
            <v>201.08334350586</v>
          </cell>
          <cell r="F793">
            <v>11.5</v>
          </cell>
          <cell r="G793">
            <v>52505</v>
          </cell>
          <cell r="H793">
            <v>29617</v>
          </cell>
          <cell r="I793">
            <v>0</v>
          </cell>
          <cell r="L793">
            <v>189.5</v>
          </cell>
          <cell r="M793">
            <v>0</v>
          </cell>
          <cell r="N793">
            <v>10</v>
          </cell>
          <cell r="S793">
            <v>0</v>
          </cell>
          <cell r="T793">
            <v>58</v>
          </cell>
          <cell r="U793">
            <v>0</v>
          </cell>
          <cell r="W793">
            <v>-9.9166600000000003</v>
          </cell>
          <cell r="X793">
            <v>0</v>
          </cell>
        </row>
        <row r="794">
          <cell r="A794">
            <v>37965</v>
          </cell>
          <cell r="B794" t="str">
            <v>BMV Stow</v>
          </cell>
          <cell r="E794">
            <v>100</v>
          </cell>
          <cell r="F794">
            <v>0</v>
          </cell>
          <cell r="G794">
            <v>47212</v>
          </cell>
          <cell r="H794">
            <v>25758</v>
          </cell>
          <cell r="I794">
            <v>21454</v>
          </cell>
          <cell r="L794">
            <v>75</v>
          </cell>
          <cell r="M794">
            <v>25</v>
          </cell>
          <cell r="N794">
            <v>0</v>
          </cell>
          <cell r="S794">
            <v>0</v>
          </cell>
          <cell r="T794">
            <v>0</v>
          </cell>
          <cell r="U794">
            <v>0</v>
          </cell>
          <cell r="W794">
            <v>0</v>
          </cell>
          <cell r="X794">
            <v>0</v>
          </cell>
        </row>
        <row r="795">
          <cell r="A795">
            <v>37965</v>
          </cell>
          <cell r="B795" t="str">
            <v>Replenishment</v>
          </cell>
          <cell r="E795">
            <v>149.5</v>
          </cell>
          <cell r="F795">
            <v>0</v>
          </cell>
          <cell r="G795">
            <v>22929</v>
          </cell>
          <cell r="H795">
            <v>0</v>
          </cell>
          <cell r="I795">
            <v>0</v>
          </cell>
          <cell r="L795">
            <v>0</v>
          </cell>
          <cell r="M795">
            <v>0</v>
          </cell>
          <cell r="N795">
            <v>0</v>
          </cell>
          <cell r="S795">
            <v>0</v>
          </cell>
          <cell r="T795">
            <v>0</v>
          </cell>
          <cell r="U795">
            <v>0</v>
          </cell>
          <cell r="W795">
            <v>0</v>
          </cell>
          <cell r="X795">
            <v>0</v>
          </cell>
        </row>
        <row r="796">
          <cell r="A796">
            <v>37965</v>
          </cell>
          <cell r="B796" t="str">
            <v>Shipping</v>
          </cell>
          <cell r="E796">
            <v>763.34997558594</v>
          </cell>
          <cell r="F796">
            <v>0</v>
          </cell>
          <cell r="G796">
            <v>0</v>
          </cell>
          <cell r="H796">
            <v>0</v>
          </cell>
          <cell r="I796">
            <v>0</v>
          </cell>
          <cell r="L796">
            <v>0</v>
          </cell>
          <cell r="M796">
            <v>0</v>
          </cell>
          <cell r="N796">
            <v>0</v>
          </cell>
          <cell r="S796">
            <v>0</v>
          </cell>
          <cell r="T796">
            <v>0</v>
          </cell>
          <cell r="U796">
            <v>0</v>
          </cell>
          <cell r="W796">
            <v>43.85</v>
          </cell>
          <cell r="X796">
            <v>15797</v>
          </cell>
        </row>
        <row r="797">
          <cell r="A797">
            <v>37965</v>
          </cell>
          <cell r="B797" t="str">
            <v>Autobox</v>
          </cell>
          <cell r="E797">
            <v>220</v>
          </cell>
          <cell r="F797">
            <v>60</v>
          </cell>
          <cell r="G797">
            <v>32842</v>
          </cell>
          <cell r="H797">
            <v>0</v>
          </cell>
          <cell r="I797">
            <v>0</v>
          </cell>
          <cell r="L797">
            <v>0</v>
          </cell>
          <cell r="M797">
            <v>0</v>
          </cell>
          <cell r="N797">
            <v>0</v>
          </cell>
          <cell r="S797">
            <v>0</v>
          </cell>
          <cell r="T797">
            <v>0</v>
          </cell>
          <cell r="U797">
            <v>0</v>
          </cell>
          <cell r="W797">
            <v>0</v>
          </cell>
          <cell r="X797">
            <v>0</v>
          </cell>
        </row>
        <row r="798">
          <cell r="A798">
            <v>37965</v>
          </cell>
          <cell r="B798" t="str">
            <v>Levimatic</v>
          </cell>
          <cell r="E798">
            <v>40</v>
          </cell>
          <cell r="F798">
            <v>20</v>
          </cell>
          <cell r="G798">
            <v>5691</v>
          </cell>
          <cell r="H798">
            <v>0</v>
          </cell>
          <cell r="I798">
            <v>0</v>
          </cell>
          <cell r="L798">
            <v>0</v>
          </cell>
          <cell r="M798">
            <v>0</v>
          </cell>
          <cell r="N798">
            <v>0</v>
          </cell>
          <cell r="S798">
            <v>0</v>
          </cell>
          <cell r="T798">
            <v>0</v>
          </cell>
          <cell r="U798">
            <v>0</v>
          </cell>
          <cell r="W798">
            <v>0</v>
          </cell>
          <cell r="X798">
            <v>4476</v>
          </cell>
        </row>
        <row r="799">
          <cell r="A799">
            <v>37965</v>
          </cell>
          <cell r="B799" t="str">
            <v>Giftwrap</v>
          </cell>
          <cell r="E799">
            <v>185</v>
          </cell>
          <cell r="F799">
            <v>0</v>
          </cell>
          <cell r="G799">
            <v>2662</v>
          </cell>
          <cell r="H799">
            <v>0</v>
          </cell>
          <cell r="I799">
            <v>0</v>
          </cell>
          <cell r="L799">
            <v>0</v>
          </cell>
          <cell r="M799">
            <v>0</v>
          </cell>
          <cell r="N799">
            <v>0</v>
          </cell>
          <cell r="S799">
            <v>0</v>
          </cell>
          <cell r="T799">
            <v>0</v>
          </cell>
          <cell r="U799">
            <v>0</v>
          </cell>
          <cell r="W799">
            <v>0</v>
          </cell>
          <cell r="X799">
            <v>0</v>
          </cell>
        </row>
        <row r="800">
          <cell r="A800">
            <v>37965</v>
          </cell>
          <cell r="B800" t="str">
            <v>ShipSupport</v>
          </cell>
          <cell r="E800">
            <v>318.34999847412001</v>
          </cell>
          <cell r="F800">
            <v>104.5</v>
          </cell>
          <cell r="G800">
            <v>0</v>
          </cell>
          <cell r="H800">
            <v>0</v>
          </cell>
          <cell r="I800">
            <v>0</v>
          </cell>
          <cell r="L800">
            <v>0</v>
          </cell>
          <cell r="M800">
            <v>0</v>
          </cell>
          <cell r="N800">
            <v>0</v>
          </cell>
          <cell r="S800">
            <v>0</v>
          </cell>
          <cell r="T800">
            <v>0</v>
          </cell>
          <cell r="U800">
            <v>0</v>
          </cell>
          <cell r="W800">
            <v>43.85</v>
          </cell>
          <cell r="X800">
            <v>0</v>
          </cell>
        </row>
        <row r="801">
          <cell r="A801">
            <v>37965</v>
          </cell>
          <cell r="B801" t="str">
            <v>BMV Receive</v>
          </cell>
          <cell r="E801">
            <v>471.20001220703</v>
          </cell>
          <cell r="F801">
            <v>83.18</v>
          </cell>
          <cell r="G801">
            <v>65533</v>
          </cell>
          <cell r="H801">
            <v>49395</v>
          </cell>
          <cell r="I801">
            <v>0</v>
          </cell>
          <cell r="L801">
            <v>286.2</v>
          </cell>
          <cell r="M801">
            <v>0</v>
          </cell>
          <cell r="N801">
            <v>15</v>
          </cell>
          <cell r="S801">
            <v>0</v>
          </cell>
          <cell r="T801">
            <v>62</v>
          </cell>
          <cell r="U801">
            <v>0</v>
          </cell>
          <cell r="W801">
            <v>86.82</v>
          </cell>
          <cell r="X801">
            <v>0</v>
          </cell>
        </row>
        <row r="802">
          <cell r="A802">
            <v>37965</v>
          </cell>
          <cell r="B802" t="str">
            <v>BMV Stow</v>
          </cell>
          <cell r="E802">
            <v>194.80000305176</v>
          </cell>
          <cell r="F802">
            <v>-200.4</v>
          </cell>
          <cell r="G802">
            <v>68495</v>
          </cell>
          <cell r="H802">
            <v>56125</v>
          </cell>
          <cell r="I802">
            <v>12370</v>
          </cell>
          <cell r="L802">
            <v>387.2</v>
          </cell>
          <cell r="M802">
            <v>8</v>
          </cell>
          <cell r="N802">
            <v>0</v>
          </cell>
          <cell r="S802">
            <v>0</v>
          </cell>
          <cell r="T802">
            <v>0</v>
          </cell>
          <cell r="U802">
            <v>0</v>
          </cell>
          <cell r="W802">
            <v>0</v>
          </cell>
          <cell r="X802">
            <v>0</v>
          </cell>
        </row>
        <row r="803">
          <cell r="A803">
            <v>37965</v>
          </cell>
          <cell r="B803" t="str">
            <v>Office</v>
          </cell>
          <cell r="E803">
            <v>137.08332824707</v>
          </cell>
          <cell r="F803">
            <v>0</v>
          </cell>
          <cell r="G803">
            <v>0</v>
          </cell>
          <cell r="H803">
            <v>0</v>
          </cell>
          <cell r="I803">
            <v>0</v>
          </cell>
          <cell r="L803">
            <v>0</v>
          </cell>
          <cell r="M803">
            <v>0</v>
          </cell>
          <cell r="N803">
            <v>0</v>
          </cell>
          <cell r="S803">
            <v>0</v>
          </cell>
          <cell r="T803">
            <v>0</v>
          </cell>
          <cell r="U803">
            <v>0</v>
          </cell>
          <cell r="W803">
            <v>137.083</v>
          </cell>
          <cell r="X803">
            <v>0</v>
          </cell>
        </row>
        <row r="804">
          <cell r="A804">
            <v>37965</v>
          </cell>
          <cell r="B804" t="str">
            <v>Office</v>
          </cell>
          <cell r="E804">
            <v>32.316665649413999</v>
          </cell>
          <cell r="F804">
            <v>0</v>
          </cell>
          <cell r="G804">
            <v>0</v>
          </cell>
          <cell r="H804">
            <v>0</v>
          </cell>
          <cell r="I804">
            <v>0</v>
          </cell>
          <cell r="L804">
            <v>0</v>
          </cell>
          <cell r="M804">
            <v>0</v>
          </cell>
          <cell r="N804">
            <v>0</v>
          </cell>
          <cell r="S804">
            <v>0</v>
          </cell>
          <cell r="T804">
            <v>0</v>
          </cell>
          <cell r="U804">
            <v>0</v>
          </cell>
          <cell r="W804">
            <v>32.316699999999997</v>
          </cell>
          <cell r="X804">
            <v>0</v>
          </cell>
        </row>
        <row r="805">
          <cell r="A805">
            <v>37965</v>
          </cell>
          <cell r="B805" t="str">
            <v>Offsite1Receive</v>
          </cell>
          <cell r="E805">
            <v>-115.36666870117</v>
          </cell>
          <cell r="F805">
            <v>0</v>
          </cell>
          <cell r="G805">
            <v>0</v>
          </cell>
          <cell r="H805">
            <v>0</v>
          </cell>
          <cell r="I805">
            <v>0</v>
          </cell>
          <cell r="L805">
            <v>0</v>
          </cell>
          <cell r="M805">
            <v>0</v>
          </cell>
          <cell r="N805">
            <v>0</v>
          </cell>
          <cell r="S805">
            <v>0</v>
          </cell>
          <cell r="T805">
            <v>0</v>
          </cell>
          <cell r="U805">
            <v>0</v>
          </cell>
          <cell r="W805">
            <v>315.63299999999998</v>
          </cell>
          <cell r="X805">
            <v>0</v>
          </cell>
        </row>
        <row r="806">
          <cell r="A806">
            <v>37965</v>
          </cell>
          <cell r="B806" t="str">
            <v>QA</v>
          </cell>
          <cell r="E806">
            <v>63.483333587646001</v>
          </cell>
          <cell r="F806">
            <v>0</v>
          </cell>
          <cell r="G806">
            <v>0</v>
          </cell>
          <cell r="H806">
            <v>0</v>
          </cell>
          <cell r="I806">
            <v>0</v>
          </cell>
          <cell r="L806">
            <v>0</v>
          </cell>
          <cell r="M806">
            <v>0</v>
          </cell>
          <cell r="N806">
            <v>0</v>
          </cell>
          <cell r="S806">
            <v>0</v>
          </cell>
          <cell r="T806">
            <v>0</v>
          </cell>
          <cell r="U806">
            <v>0</v>
          </cell>
          <cell r="W806">
            <v>63.4833</v>
          </cell>
          <cell r="X806">
            <v>0</v>
          </cell>
        </row>
        <row r="807">
          <cell r="A807">
            <v>37965</v>
          </cell>
          <cell r="B807" t="str">
            <v>Vreturns</v>
          </cell>
          <cell r="E807">
            <v>0</v>
          </cell>
          <cell r="F807">
            <v>0</v>
          </cell>
          <cell r="G807">
            <v>0</v>
          </cell>
          <cell r="H807">
            <v>0</v>
          </cell>
          <cell r="I807">
            <v>0</v>
          </cell>
          <cell r="L807">
            <v>0</v>
          </cell>
          <cell r="M807">
            <v>0</v>
          </cell>
          <cell r="N807">
            <v>0</v>
          </cell>
          <cell r="S807">
            <v>0</v>
          </cell>
          <cell r="T807">
            <v>0</v>
          </cell>
          <cell r="U807">
            <v>0</v>
          </cell>
          <cell r="W807">
            <v>0</v>
          </cell>
          <cell r="X807">
            <v>0</v>
          </cell>
        </row>
        <row r="808">
          <cell r="A808">
            <v>37965</v>
          </cell>
          <cell r="B808" t="str">
            <v>Facilities</v>
          </cell>
          <cell r="E808">
            <v>153.81666564941</v>
          </cell>
          <cell r="F808">
            <v>0</v>
          </cell>
          <cell r="G808">
            <v>0</v>
          </cell>
          <cell r="H808">
            <v>0</v>
          </cell>
          <cell r="I808">
            <v>0</v>
          </cell>
          <cell r="L808">
            <v>0</v>
          </cell>
          <cell r="M808">
            <v>0</v>
          </cell>
          <cell r="N808">
            <v>0</v>
          </cell>
          <cell r="S808">
            <v>0</v>
          </cell>
          <cell r="T808">
            <v>0</v>
          </cell>
          <cell r="U808">
            <v>0</v>
          </cell>
          <cell r="W808">
            <v>153.81700000000001</v>
          </cell>
          <cell r="X808">
            <v>0</v>
          </cell>
        </row>
        <row r="809">
          <cell r="A809">
            <v>37965</v>
          </cell>
          <cell r="B809" t="str">
            <v>Facilities</v>
          </cell>
          <cell r="E809">
            <v>10</v>
          </cell>
          <cell r="F809">
            <v>0</v>
          </cell>
          <cell r="G809">
            <v>0</v>
          </cell>
          <cell r="H809">
            <v>0</v>
          </cell>
          <cell r="I809">
            <v>0</v>
          </cell>
          <cell r="L809">
            <v>0</v>
          </cell>
          <cell r="M809">
            <v>0</v>
          </cell>
          <cell r="N809">
            <v>0</v>
          </cell>
          <cell r="S809">
            <v>0</v>
          </cell>
          <cell r="T809">
            <v>0</v>
          </cell>
          <cell r="U809">
            <v>0</v>
          </cell>
          <cell r="W809">
            <v>10</v>
          </cell>
          <cell r="X809">
            <v>0</v>
          </cell>
        </row>
        <row r="810">
          <cell r="A810">
            <v>37965</v>
          </cell>
          <cell r="B810" t="str">
            <v>SNOC</v>
          </cell>
          <cell r="E810">
            <v>19.85000038147</v>
          </cell>
          <cell r="F810">
            <v>0</v>
          </cell>
          <cell r="G810">
            <v>0</v>
          </cell>
          <cell r="H810">
            <v>0</v>
          </cell>
          <cell r="I810">
            <v>0</v>
          </cell>
          <cell r="L810">
            <v>0</v>
          </cell>
          <cell r="M810">
            <v>0</v>
          </cell>
          <cell r="N810">
            <v>0</v>
          </cell>
          <cell r="S810">
            <v>0</v>
          </cell>
          <cell r="T810">
            <v>0</v>
          </cell>
          <cell r="U810">
            <v>0</v>
          </cell>
          <cell r="W810">
            <v>19.850000000000001</v>
          </cell>
          <cell r="X810">
            <v>0</v>
          </cell>
        </row>
        <row r="811">
          <cell r="A811">
            <v>37965</v>
          </cell>
          <cell r="B811" t="str">
            <v>Swat</v>
          </cell>
          <cell r="E811">
            <v>8</v>
          </cell>
          <cell r="F811">
            <v>0</v>
          </cell>
          <cell r="G811">
            <v>0</v>
          </cell>
          <cell r="H811">
            <v>0</v>
          </cell>
          <cell r="I811">
            <v>0</v>
          </cell>
          <cell r="L811">
            <v>0</v>
          </cell>
          <cell r="M811">
            <v>0</v>
          </cell>
          <cell r="N811">
            <v>0</v>
          </cell>
          <cell r="S811">
            <v>0</v>
          </cell>
          <cell r="T811">
            <v>0</v>
          </cell>
          <cell r="U811">
            <v>0</v>
          </cell>
          <cell r="W811">
            <v>8</v>
          </cell>
          <cell r="X811">
            <v>0</v>
          </cell>
        </row>
        <row r="812">
          <cell r="A812">
            <v>37965</v>
          </cell>
          <cell r="B812" t="str">
            <v>CustomerService</v>
          </cell>
          <cell r="E812">
            <v>23.89999961853</v>
          </cell>
          <cell r="F812">
            <v>0</v>
          </cell>
          <cell r="G812">
            <v>0</v>
          </cell>
          <cell r="H812">
            <v>0</v>
          </cell>
          <cell r="I812">
            <v>0</v>
          </cell>
          <cell r="L812">
            <v>0</v>
          </cell>
          <cell r="M812">
            <v>0</v>
          </cell>
          <cell r="N812">
            <v>0</v>
          </cell>
          <cell r="S812">
            <v>0</v>
          </cell>
          <cell r="T812">
            <v>0</v>
          </cell>
          <cell r="U812">
            <v>0</v>
          </cell>
          <cell r="W812">
            <v>23.9</v>
          </cell>
          <cell r="X812">
            <v>0</v>
          </cell>
        </row>
        <row r="813">
          <cell r="A813">
            <v>37965</v>
          </cell>
          <cell r="B813" t="str">
            <v>CustomerService</v>
          </cell>
          <cell r="E813">
            <v>10</v>
          </cell>
          <cell r="F813">
            <v>0</v>
          </cell>
          <cell r="G813">
            <v>0</v>
          </cell>
          <cell r="H813">
            <v>0</v>
          </cell>
          <cell r="I813">
            <v>0</v>
          </cell>
          <cell r="L813">
            <v>0</v>
          </cell>
          <cell r="M813">
            <v>0</v>
          </cell>
          <cell r="N813">
            <v>0</v>
          </cell>
          <cell r="S813">
            <v>0</v>
          </cell>
          <cell r="T813">
            <v>0</v>
          </cell>
          <cell r="U813">
            <v>0</v>
          </cell>
          <cell r="W813">
            <v>10</v>
          </cell>
          <cell r="X813">
            <v>0</v>
          </cell>
        </row>
        <row r="814">
          <cell r="A814">
            <v>37965</v>
          </cell>
          <cell r="B814" t="str">
            <v>Replenishment</v>
          </cell>
          <cell r="E814">
            <v>200.5</v>
          </cell>
          <cell r="F814">
            <v>0</v>
          </cell>
          <cell r="G814">
            <v>31920</v>
          </cell>
          <cell r="H814">
            <v>0</v>
          </cell>
          <cell r="I814">
            <v>0</v>
          </cell>
          <cell r="L814">
            <v>0</v>
          </cell>
          <cell r="M814">
            <v>0</v>
          </cell>
          <cell r="N814">
            <v>0</v>
          </cell>
          <cell r="S814">
            <v>0</v>
          </cell>
          <cell r="T814">
            <v>0</v>
          </cell>
          <cell r="U814">
            <v>0</v>
          </cell>
          <cell r="W814">
            <v>0</v>
          </cell>
          <cell r="X814">
            <v>0</v>
          </cell>
        </row>
        <row r="815">
          <cell r="A815">
            <v>37965</v>
          </cell>
          <cell r="B815" t="str">
            <v>Training</v>
          </cell>
          <cell r="E815">
            <v>0</v>
          </cell>
          <cell r="F815">
            <v>0</v>
          </cell>
          <cell r="G815">
            <v>0</v>
          </cell>
          <cell r="H815">
            <v>0</v>
          </cell>
          <cell r="I815">
            <v>0</v>
          </cell>
          <cell r="L815">
            <v>0</v>
          </cell>
          <cell r="M815">
            <v>0</v>
          </cell>
          <cell r="N815">
            <v>0</v>
          </cell>
          <cell r="S815">
            <v>0</v>
          </cell>
          <cell r="T815">
            <v>0</v>
          </cell>
          <cell r="U815">
            <v>0</v>
          </cell>
          <cell r="W815">
            <v>0</v>
          </cell>
          <cell r="X815">
            <v>0</v>
          </cell>
        </row>
        <row r="816">
          <cell r="A816">
            <v>37965</v>
          </cell>
          <cell r="B816" t="str">
            <v>Training</v>
          </cell>
          <cell r="E816">
            <v>0</v>
          </cell>
          <cell r="F816">
            <v>0</v>
          </cell>
          <cell r="G816">
            <v>0</v>
          </cell>
          <cell r="H816">
            <v>0</v>
          </cell>
          <cell r="I816">
            <v>0</v>
          </cell>
          <cell r="L816">
            <v>0</v>
          </cell>
          <cell r="M816">
            <v>0</v>
          </cell>
          <cell r="N816">
            <v>0</v>
          </cell>
          <cell r="S816">
            <v>0</v>
          </cell>
          <cell r="T816">
            <v>0</v>
          </cell>
          <cell r="U816">
            <v>0</v>
          </cell>
          <cell r="W816">
            <v>0</v>
          </cell>
          <cell r="X816">
            <v>0</v>
          </cell>
        </row>
        <row r="817">
          <cell r="A817">
            <v>37965</v>
          </cell>
          <cell r="B817" t="str">
            <v>Offsite1Ship</v>
          </cell>
          <cell r="E817">
            <v>1943.8000488281</v>
          </cell>
          <cell r="F817">
            <v>0</v>
          </cell>
          <cell r="G817">
            <v>13802</v>
          </cell>
          <cell r="H817">
            <v>0</v>
          </cell>
          <cell r="I817">
            <v>0</v>
          </cell>
          <cell r="L817">
            <v>0</v>
          </cell>
          <cell r="M817">
            <v>0</v>
          </cell>
          <cell r="N817">
            <v>0</v>
          </cell>
          <cell r="S817">
            <v>0</v>
          </cell>
          <cell r="T817">
            <v>0</v>
          </cell>
          <cell r="U817">
            <v>0</v>
          </cell>
          <cell r="W817">
            <v>0</v>
          </cell>
          <cell r="X817">
            <v>0</v>
          </cell>
        </row>
        <row r="818">
          <cell r="A818">
            <v>37965</v>
          </cell>
          <cell r="B818" t="str">
            <v>Offsite1Ship</v>
          </cell>
          <cell r="E818">
            <v>431</v>
          </cell>
          <cell r="F818">
            <v>0</v>
          </cell>
          <cell r="G818">
            <v>4067</v>
          </cell>
          <cell r="H818">
            <v>0</v>
          </cell>
          <cell r="I818">
            <v>0</v>
          </cell>
          <cell r="L818">
            <v>0</v>
          </cell>
          <cell r="M818">
            <v>0</v>
          </cell>
          <cell r="N818">
            <v>0</v>
          </cell>
          <cell r="S818">
            <v>0</v>
          </cell>
          <cell r="T818">
            <v>0</v>
          </cell>
          <cell r="U818">
            <v>0</v>
          </cell>
          <cell r="W818">
            <v>431</v>
          </cell>
          <cell r="X818">
            <v>0</v>
          </cell>
        </row>
        <row r="819">
          <cell r="A819">
            <v>37964</v>
          </cell>
          <cell r="B819" t="str">
            <v>Sortation</v>
          </cell>
          <cell r="E819">
            <v>687.43334960938</v>
          </cell>
          <cell r="F819">
            <v>0</v>
          </cell>
          <cell r="G819">
            <v>0</v>
          </cell>
          <cell r="H819">
            <v>0</v>
          </cell>
          <cell r="I819">
            <v>0</v>
          </cell>
          <cell r="L819">
            <v>0</v>
          </cell>
          <cell r="M819">
            <v>0</v>
          </cell>
          <cell r="N819">
            <v>0</v>
          </cell>
          <cell r="S819">
            <v>0</v>
          </cell>
          <cell r="T819">
            <v>0</v>
          </cell>
          <cell r="U819">
            <v>0</v>
          </cell>
          <cell r="W819">
            <v>-26.316700000000001</v>
          </cell>
          <cell r="X819">
            <v>0</v>
          </cell>
        </row>
        <row r="820">
          <cell r="A820">
            <v>37964</v>
          </cell>
          <cell r="B820" t="str">
            <v>Rebin</v>
          </cell>
          <cell r="E820">
            <v>328.5</v>
          </cell>
          <cell r="F820">
            <v>73</v>
          </cell>
          <cell r="G820">
            <v>58450</v>
          </cell>
          <cell r="H820">
            <v>0</v>
          </cell>
          <cell r="I820">
            <v>0</v>
          </cell>
          <cell r="L820">
            <v>0</v>
          </cell>
          <cell r="M820">
            <v>0</v>
          </cell>
          <cell r="N820">
            <v>0</v>
          </cell>
          <cell r="S820">
            <v>0</v>
          </cell>
          <cell r="T820">
            <v>0</v>
          </cell>
          <cell r="U820">
            <v>0</v>
          </cell>
          <cell r="W820">
            <v>0</v>
          </cell>
          <cell r="X820">
            <v>0</v>
          </cell>
        </row>
        <row r="821">
          <cell r="A821">
            <v>37964</v>
          </cell>
          <cell r="B821" t="str">
            <v>Stack</v>
          </cell>
          <cell r="E821">
            <v>229</v>
          </cell>
          <cell r="F821">
            <v>0</v>
          </cell>
          <cell r="G821">
            <v>41539</v>
          </cell>
          <cell r="H821">
            <v>0</v>
          </cell>
          <cell r="I821">
            <v>0</v>
          </cell>
          <cell r="L821">
            <v>0</v>
          </cell>
          <cell r="M821">
            <v>0</v>
          </cell>
          <cell r="N821">
            <v>0</v>
          </cell>
          <cell r="S821">
            <v>3359</v>
          </cell>
          <cell r="T821">
            <v>0</v>
          </cell>
          <cell r="U821">
            <v>0</v>
          </cell>
          <cell r="W821">
            <v>0</v>
          </cell>
          <cell r="X821">
            <v>0</v>
          </cell>
        </row>
        <row r="822">
          <cell r="A822">
            <v>37964</v>
          </cell>
          <cell r="B822" t="str">
            <v>Bundler</v>
          </cell>
          <cell r="E822">
            <v>129.93330001831001</v>
          </cell>
          <cell r="F822">
            <v>0</v>
          </cell>
          <cell r="G822">
            <v>41539</v>
          </cell>
          <cell r="H822">
            <v>0</v>
          </cell>
          <cell r="I822">
            <v>0</v>
          </cell>
          <cell r="L822">
            <v>0</v>
          </cell>
          <cell r="M822">
            <v>0</v>
          </cell>
          <cell r="N822">
            <v>0</v>
          </cell>
          <cell r="S822">
            <v>0</v>
          </cell>
          <cell r="T822">
            <v>0</v>
          </cell>
          <cell r="U822">
            <v>0</v>
          </cell>
          <cell r="W822">
            <v>-26.316700000000001</v>
          </cell>
          <cell r="X822">
            <v>12045</v>
          </cell>
        </row>
        <row r="823">
          <cell r="A823">
            <v>37964</v>
          </cell>
          <cell r="B823" t="str">
            <v>Picking</v>
          </cell>
          <cell r="E823">
            <v>994.13330078125</v>
          </cell>
          <cell r="F823">
            <v>0</v>
          </cell>
          <cell r="G823">
            <v>100183</v>
          </cell>
          <cell r="H823">
            <v>0</v>
          </cell>
          <cell r="I823">
            <v>0</v>
          </cell>
          <cell r="L823">
            <v>0</v>
          </cell>
          <cell r="M823">
            <v>0</v>
          </cell>
          <cell r="N823">
            <v>0</v>
          </cell>
          <cell r="S823">
            <v>0</v>
          </cell>
          <cell r="T823">
            <v>0</v>
          </cell>
          <cell r="U823">
            <v>0</v>
          </cell>
          <cell r="W823">
            <v>-86.116699999999994</v>
          </cell>
          <cell r="X823">
            <v>0</v>
          </cell>
        </row>
        <row r="824">
          <cell r="A824">
            <v>37964</v>
          </cell>
          <cell r="B824" t="str">
            <v>InventoryControl</v>
          </cell>
          <cell r="E824">
            <v>142.65000915527</v>
          </cell>
          <cell r="F824">
            <v>0</v>
          </cell>
          <cell r="G824">
            <v>0</v>
          </cell>
          <cell r="H824">
            <v>0</v>
          </cell>
          <cell r="I824">
            <v>0</v>
          </cell>
          <cell r="L824">
            <v>0</v>
          </cell>
          <cell r="M824">
            <v>0</v>
          </cell>
          <cell r="N824">
            <v>0</v>
          </cell>
          <cell r="S824">
            <v>0</v>
          </cell>
          <cell r="T824">
            <v>0</v>
          </cell>
          <cell r="U824">
            <v>0</v>
          </cell>
          <cell r="W824">
            <v>-5.4099899999999996</v>
          </cell>
          <cell r="X824">
            <v>0</v>
          </cell>
        </row>
        <row r="825">
          <cell r="A825">
            <v>37964</v>
          </cell>
          <cell r="B825" t="str">
            <v>QA</v>
          </cell>
          <cell r="E825">
            <v>217.38333129883</v>
          </cell>
          <cell r="F825">
            <v>0</v>
          </cell>
          <cell r="G825">
            <v>0</v>
          </cell>
          <cell r="H825">
            <v>0</v>
          </cell>
          <cell r="I825">
            <v>0</v>
          </cell>
          <cell r="L825">
            <v>0</v>
          </cell>
          <cell r="M825">
            <v>0</v>
          </cell>
          <cell r="N825">
            <v>0</v>
          </cell>
          <cell r="S825">
            <v>0</v>
          </cell>
          <cell r="T825">
            <v>0</v>
          </cell>
          <cell r="U825">
            <v>0</v>
          </cell>
          <cell r="W825">
            <v>78.383300000000006</v>
          </cell>
          <cell r="X825">
            <v>0</v>
          </cell>
        </row>
        <row r="826">
          <cell r="A826">
            <v>37964</v>
          </cell>
          <cell r="B826" t="str">
            <v>Shipping</v>
          </cell>
          <cell r="E826">
            <v>1119.2999877929999</v>
          </cell>
          <cell r="F826">
            <v>0</v>
          </cell>
          <cell r="G826">
            <v>0</v>
          </cell>
          <cell r="H826">
            <v>0</v>
          </cell>
          <cell r="I826">
            <v>0</v>
          </cell>
          <cell r="L826">
            <v>0</v>
          </cell>
          <cell r="M826">
            <v>0</v>
          </cell>
          <cell r="N826">
            <v>0</v>
          </cell>
          <cell r="S826">
            <v>0</v>
          </cell>
          <cell r="T826">
            <v>0</v>
          </cell>
          <cell r="U826">
            <v>0</v>
          </cell>
          <cell r="W826">
            <v>49.3</v>
          </cell>
          <cell r="X826">
            <v>19805</v>
          </cell>
        </row>
        <row r="827">
          <cell r="A827">
            <v>37964</v>
          </cell>
          <cell r="B827" t="str">
            <v>Autobox</v>
          </cell>
          <cell r="E827">
            <v>337</v>
          </cell>
          <cell r="F827">
            <v>10.5</v>
          </cell>
          <cell r="G827">
            <v>32648</v>
          </cell>
          <cell r="H827">
            <v>0</v>
          </cell>
          <cell r="I827">
            <v>0</v>
          </cell>
          <cell r="L827">
            <v>0</v>
          </cell>
          <cell r="M827">
            <v>0</v>
          </cell>
          <cell r="N827">
            <v>0</v>
          </cell>
          <cell r="S827">
            <v>0</v>
          </cell>
          <cell r="T827">
            <v>0</v>
          </cell>
          <cell r="U827">
            <v>0</v>
          </cell>
          <cell r="W827">
            <v>0</v>
          </cell>
          <cell r="X827">
            <v>0</v>
          </cell>
        </row>
        <row r="828">
          <cell r="A828">
            <v>37964</v>
          </cell>
          <cell r="B828" t="str">
            <v>Levimatic</v>
          </cell>
          <cell r="E828">
            <v>46</v>
          </cell>
          <cell r="F828">
            <v>0</v>
          </cell>
          <cell r="G828">
            <v>6019</v>
          </cell>
          <cell r="H828">
            <v>0</v>
          </cell>
          <cell r="I828">
            <v>0</v>
          </cell>
          <cell r="L828">
            <v>0</v>
          </cell>
          <cell r="M828">
            <v>0</v>
          </cell>
          <cell r="N828">
            <v>0</v>
          </cell>
          <cell r="S828">
            <v>0</v>
          </cell>
          <cell r="T828">
            <v>0</v>
          </cell>
          <cell r="U828">
            <v>0</v>
          </cell>
          <cell r="W828">
            <v>0</v>
          </cell>
          <cell r="X828">
            <v>0</v>
          </cell>
        </row>
        <row r="829">
          <cell r="A829">
            <v>37964</v>
          </cell>
          <cell r="B829" t="str">
            <v>Giftwrap</v>
          </cell>
          <cell r="E829">
            <v>285.5</v>
          </cell>
          <cell r="F829">
            <v>0</v>
          </cell>
          <cell r="G829">
            <v>4700</v>
          </cell>
          <cell r="H829">
            <v>0</v>
          </cell>
          <cell r="I829">
            <v>0</v>
          </cell>
          <cell r="L829">
            <v>0</v>
          </cell>
          <cell r="M829">
            <v>0</v>
          </cell>
          <cell r="N829">
            <v>0</v>
          </cell>
          <cell r="S829">
            <v>0</v>
          </cell>
          <cell r="T829">
            <v>0</v>
          </cell>
          <cell r="U829">
            <v>0</v>
          </cell>
          <cell r="W829">
            <v>0</v>
          </cell>
          <cell r="X829">
            <v>4700</v>
          </cell>
        </row>
        <row r="830">
          <cell r="A830">
            <v>37964</v>
          </cell>
          <cell r="B830" t="str">
            <v>ShipSupport</v>
          </cell>
          <cell r="E830">
            <v>450.79999923705998</v>
          </cell>
          <cell r="F830">
            <v>79.5</v>
          </cell>
          <cell r="G830">
            <v>0</v>
          </cell>
          <cell r="H830">
            <v>0</v>
          </cell>
          <cell r="I830">
            <v>0</v>
          </cell>
          <cell r="L830">
            <v>0</v>
          </cell>
          <cell r="M830">
            <v>0</v>
          </cell>
          <cell r="N830">
            <v>0</v>
          </cell>
          <cell r="S830">
            <v>0</v>
          </cell>
          <cell r="T830">
            <v>0</v>
          </cell>
          <cell r="U830">
            <v>0</v>
          </cell>
          <cell r="W830">
            <v>49.3</v>
          </cell>
          <cell r="X830">
            <v>0</v>
          </cell>
        </row>
        <row r="831">
          <cell r="A831">
            <v>37964</v>
          </cell>
          <cell r="B831" t="str">
            <v>Sortation</v>
          </cell>
          <cell r="E831">
            <v>1169.7333984375</v>
          </cell>
          <cell r="F831">
            <v>0</v>
          </cell>
          <cell r="G831">
            <v>0</v>
          </cell>
          <cell r="H831">
            <v>0</v>
          </cell>
          <cell r="I831">
            <v>0</v>
          </cell>
          <cell r="L831">
            <v>0</v>
          </cell>
          <cell r="M831">
            <v>0</v>
          </cell>
          <cell r="N831">
            <v>0</v>
          </cell>
          <cell r="S831">
            <v>0</v>
          </cell>
          <cell r="T831">
            <v>0</v>
          </cell>
          <cell r="U831">
            <v>0</v>
          </cell>
          <cell r="W831">
            <v>107.613</v>
          </cell>
          <cell r="X831">
            <v>0</v>
          </cell>
        </row>
        <row r="832">
          <cell r="A832">
            <v>37964</v>
          </cell>
          <cell r="B832" t="str">
            <v>Rebin</v>
          </cell>
          <cell r="E832">
            <v>384</v>
          </cell>
          <cell r="F832">
            <v>84</v>
          </cell>
          <cell r="G832">
            <v>77287</v>
          </cell>
          <cell r="H832">
            <v>0</v>
          </cell>
          <cell r="I832">
            <v>0</v>
          </cell>
          <cell r="L832">
            <v>0</v>
          </cell>
          <cell r="M832">
            <v>0</v>
          </cell>
          <cell r="N832">
            <v>0</v>
          </cell>
          <cell r="S832">
            <v>0</v>
          </cell>
          <cell r="T832">
            <v>0</v>
          </cell>
          <cell r="U832">
            <v>0</v>
          </cell>
          <cell r="W832">
            <v>0</v>
          </cell>
          <cell r="X832">
            <v>0</v>
          </cell>
        </row>
        <row r="833">
          <cell r="A833">
            <v>37964</v>
          </cell>
          <cell r="B833" t="str">
            <v>Stack</v>
          </cell>
          <cell r="E833">
            <v>429.5</v>
          </cell>
          <cell r="F833">
            <v>0</v>
          </cell>
          <cell r="G833">
            <v>64274</v>
          </cell>
          <cell r="H833">
            <v>0</v>
          </cell>
          <cell r="I833">
            <v>0</v>
          </cell>
          <cell r="L833">
            <v>0</v>
          </cell>
          <cell r="M833">
            <v>0</v>
          </cell>
          <cell r="N833">
            <v>0</v>
          </cell>
          <cell r="S833">
            <v>2135</v>
          </cell>
          <cell r="T833">
            <v>0</v>
          </cell>
          <cell r="U833">
            <v>0</v>
          </cell>
          <cell r="W833">
            <v>0</v>
          </cell>
          <cell r="X833">
            <v>0</v>
          </cell>
        </row>
        <row r="834">
          <cell r="A834">
            <v>37964</v>
          </cell>
          <cell r="B834" t="str">
            <v>Bundler</v>
          </cell>
          <cell r="E834">
            <v>356.23299407959001</v>
          </cell>
          <cell r="F834">
            <v>0</v>
          </cell>
          <cell r="G834">
            <v>64274</v>
          </cell>
          <cell r="H834">
            <v>0</v>
          </cell>
          <cell r="I834">
            <v>0</v>
          </cell>
          <cell r="L834">
            <v>0</v>
          </cell>
          <cell r="M834">
            <v>0</v>
          </cell>
          <cell r="N834">
            <v>0</v>
          </cell>
          <cell r="S834">
            <v>0</v>
          </cell>
          <cell r="T834">
            <v>0</v>
          </cell>
          <cell r="U834">
            <v>0</v>
          </cell>
          <cell r="W834">
            <v>107.613</v>
          </cell>
          <cell r="X834">
            <v>21240</v>
          </cell>
        </row>
        <row r="835">
          <cell r="A835">
            <v>37964</v>
          </cell>
          <cell r="B835" t="str">
            <v>CReturns</v>
          </cell>
          <cell r="E835">
            <v>20.833333969116001</v>
          </cell>
          <cell r="F835">
            <v>0</v>
          </cell>
          <cell r="G835">
            <v>630</v>
          </cell>
          <cell r="H835">
            <v>0</v>
          </cell>
          <cell r="I835">
            <v>0</v>
          </cell>
          <cell r="L835">
            <v>0</v>
          </cell>
          <cell r="M835">
            <v>0</v>
          </cell>
          <cell r="N835">
            <v>0</v>
          </cell>
          <cell r="S835">
            <v>0</v>
          </cell>
          <cell r="T835">
            <v>0</v>
          </cell>
          <cell r="U835">
            <v>0</v>
          </cell>
          <cell r="W835">
            <v>2.8333300000000001</v>
          </cell>
          <cell r="X835">
            <v>0</v>
          </cell>
        </row>
        <row r="836">
          <cell r="A836">
            <v>37964</v>
          </cell>
          <cell r="B836" t="str">
            <v>Vreturns</v>
          </cell>
          <cell r="E836">
            <v>50.416667938232003</v>
          </cell>
          <cell r="F836">
            <v>0</v>
          </cell>
          <cell r="G836">
            <v>2388</v>
          </cell>
          <cell r="H836">
            <v>0</v>
          </cell>
          <cell r="I836">
            <v>0</v>
          </cell>
          <cell r="L836">
            <v>0</v>
          </cell>
          <cell r="M836">
            <v>0</v>
          </cell>
          <cell r="N836">
            <v>0</v>
          </cell>
          <cell r="S836">
            <v>0</v>
          </cell>
          <cell r="T836">
            <v>0</v>
          </cell>
          <cell r="U836">
            <v>0</v>
          </cell>
          <cell r="W836">
            <v>0.41666799999999998</v>
          </cell>
          <cell r="X836">
            <v>0</v>
          </cell>
        </row>
        <row r="837">
          <cell r="A837">
            <v>37964</v>
          </cell>
          <cell r="B837" t="str">
            <v>ManualVDF</v>
          </cell>
          <cell r="E837">
            <v>84.5</v>
          </cell>
          <cell r="F837">
            <v>0</v>
          </cell>
          <cell r="G837">
            <v>2530</v>
          </cell>
          <cell r="H837">
            <v>0</v>
          </cell>
          <cell r="I837">
            <v>0</v>
          </cell>
          <cell r="L837">
            <v>0</v>
          </cell>
          <cell r="M837">
            <v>0</v>
          </cell>
          <cell r="N837">
            <v>0</v>
          </cell>
          <cell r="S837">
            <v>0</v>
          </cell>
          <cell r="T837">
            <v>0</v>
          </cell>
          <cell r="U837">
            <v>0</v>
          </cell>
          <cell r="W837">
            <v>0</v>
          </cell>
          <cell r="X837">
            <v>2530</v>
          </cell>
        </row>
        <row r="838">
          <cell r="A838">
            <v>37964</v>
          </cell>
          <cell r="B838" t="str">
            <v>Offsite1Receive</v>
          </cell>
          <cell r="E838">
            <v>186.44995117188</v>
          </cell>
          <cell r="F838">
            <v>15</v>
          </cell>
          <cell r="G838">
            <v>3415</v>
          </cell>
          <cell r="H838">
            <v>0</v>
          </cell>
          <cell r="I838">
            <v>0</v>
          </cell>
          <cell r="L838">
            <v>0</v>
          </cell>
          <cell r="M838">
            <v>0</v>
          </cell>
          <cell r="N838">
            <v>0</v>
          </cell>
          <cell r="S838">
            <v>0</v>
          </cell>
          <cell r="T838">
            <v>0</v>
          </cell>
          <cell r="U838">
            <v>0</v>
          </cell>
          <cell r="W838">
            <v>105.45</v>
          </cell>
          <cell r="X838">
            <v>0</v>
          </cell>
        </row>
        <row r="839">
          <cell r="A839">
            <v>37964</v>
          </cell>
          <cell r="B839" t="str">
            <v>Picking</v>
          </cell>
          <cell r="E839">
            <v>791.48333740234</v>
          </cell>
          <cell r="F839">
            <v>0</v>
          </cell>
          <cell r="G839">
            <v>73204</v>
          </cell>
          <cell r="H839">
            <v>0</v>
          </cell>
          <cell r="I839">
            <v>0</v>
          </cell>
          <cell r="L839">
            <v>0</v>
          </cell>
          <cell r="M839">
            <v>0</v>
          </cell>
          <cell r="N839">
            <v>0</v>
          </cell>
          <cell r="S839">
            <v>0</v>
          </cell>
          <cell r="T839">
            <v>0</v>
          </cell>
          <cell r="U839">
            <v>0</v>
          </cell>
          <cell r="W839">
            <v>-41.5167</v>
          </cell>
          <cell r="X839">
            <v>0</v>
          </cell>
        </row>
        <row r="840">
          <cell r="A840">
            <v>37964</v>
          </cell>
          <cell r="B840" t="str">
            <v>BMV Receive</v>
          </cell>
          <cell r="E840">
            <v>184.18002319336</v>
          </cell>
          <cell r="F840">
            <v>11.5</v>
          </cell>
          <cell r="G840">
            <v>57092</v>
          </cell>
          <cell r="H840">
            <v>35094</v>
          </cell>
          <cell r="I840">
            <v>0</v>
          </cell>
          <cell r="L840">
            <v>162.5</v>
          </cell>
          <cell r="M840">
            <v>0</v>
          </cell>
          <cell r="N840">
            <v>10</v>
          </cell>
          <cell r="S840">
            <v>0</v>
          </cell>
          <cell r="T840">
            <v>40</v>
          </cell>
          <cell r="U840">
            <v>0</v>
          </cell>
          <cell r="W840">
            <v>0.18002299999999999</v>
          </cell>
          <cell r="X840">
            <v>0</v>
          </cell>
        </row>
        <row r="841">
          <cell r="A841">
            <v>37964</v>
          </cell>
          <cell r="B841" t="str">
            <v>BMV Stow</v>
          </cell>
          <cell r="E841">
            <v>127</v>
          </cell>
          <cell r="F841">
            <v>0</v>
          </cell>
          <cell r="G841">
            <v>54740</v>
          </cell>
          <cell r="H841">
            <v>31632</v>
          </cell>
          <cell r="I841">
            <v>23108</v>
          </cell>
          <cell r="L841">
            <v>89</v>
          </cell>
          <cell r="M841">
            <v>28</v>
          </cell>
          <cell r="N841">
            <v>0</v>
          </cell>
          <cell r="S841">
            <v>0</v>
          </cell>
          <cell r="T841">
            <v>0</v>
          </cell>
          <cell r="U841">
            <v>0</v>
          </cell>
          <cell r="W841">
            <v>10</v>
          </cell>
          <cell r="X841">
            <v>0</v>
          </cell>
        </row>
        <row r="842">
          <cell r="A842">
            <v>37964</v>
          </cell>
          <cell r="B842" t="str">
            <v>Replenishment</v>
          </cell>
          <cell r="E842">
            <v>149.27000427246</v>
          </cell>
          <cell r="F842">
            <v>0</v>
          </cell>
          <cell r="G842">
            <v>39717</v>
          </cell>
          <cell r="H842">
            <v>0</v>
          </cell>
          <cell r="I842">
            <v>0</v>
          </cell>
          <cell r="L842">
            <v>0</v>
          </cell>
          <cell r="M842">
            <v>0</v>
          </cell>
          <cell r="N842">
            <v>0</v>
          </cell>
          <cell r="S842">
            <v>0</v>
          </cell>
          <cell r="T842">
            <v>0</v>
          </cell>
          <cell r="U842">
            <v>0</v>
          </cell>
          <cell r="W842">
            <v>0</v>
          </cell>
          <cell r="X842">
            <v>0</v>
          </cell>
        </row>
        <row r="843">
          <cell r="A843">
            <v>37964</v>
          </cell>
          <cell r="B843" t="str">
            <v>Offsite1Ship</v>
          </cell>
          <cell r="E843">
            <v>2348</v>
          </cell>
          <cell r="F843">
            <v>0</v>
          </cell>
          <cell r="G843">
            <v>17440</v>
          </cell>
          <cell r="H843">
            <v>0</v>
          </cell>
          <cell r="I843">
            <v>0</v>
          </cell>
          <cell r="L843">
            <v>0</v>
          </cell>
          <cell r="M843">
            <v>0</v>
          </cell>
          <cell r="N843">
            <v>0</v>
          </cell>
          <cell r="S843">
            <v>0</v>
          </cell>
          <cell r="T843">
            <v>0</v>
          </cell>
          <cell r="U843">
            <v>0</v>
          </cell>
          <cell r="W843">
            <v>0</v>
          </cell>
          <cell r="X843">
            <v>0</v>
          </cell>
        </row>
        <row r="844">
          <cell r="A844">
            <v>37964</v>
          </cell>
          <cell r="B844" t="str">
            <v>BMV Receive</v>
          </cell>
          <cell r="E844">
            <v>380.99996948242</v>
          </cell>
          <cell r="F844">
            <v>57</v>
          </cell>
          <cell r="G844">
            <v>72462</v>
          </cell>
          <cell r="H844">
            <v>45711</v>
          </cell>
          <cell r="I844">
            <v>0</v>
          </cell>
          <cell r="L844">
            <v>220</v>
          </cell>
          <cell r="M844">
            <v>0</v>
          </cell>
          <cell r="N844">
            <v>20</v>
          </cell>
          <cell r="S844">
            <v>0</v>
          </cell>
          <cell r="T844">
            <v>55</v>
          </cell>
          <cell r="U844">
            <v>0</v>
          </cell>
          <cell r="W844">
            <v>84</v>
          </cell>
          <cell r="X844">
            <v>0</v>
          </cell>
        </row>
        <row r="845">
          <cell r="A845">
            <v>37964</v>
          </cell>
          <cell r="B845" t="str">
            <v>Shipping</v>
          </cell>
          <cell r="E845">
            <v>731.61669921875</v>
          </cell>
          <cell r="F845">
            <v>0</v>
          </cell>
          <cell r="G845">
            <v>0</v>
          </cell>
          <cell r="H845">
            <v>0</v>
          </cell>
          <cell r="I845">
            <v>0</v>
          </cell>
          <cell r="L845">
            <v>0</v>
          </cell>
          <cell r="M845">
            <v>0</v>
          </cell>
          <cell r="N845">
            <v>0</v>
          </cell>
          <cell r="S845">
            <v>0</v>
          </cell>
          <cell r="T845">
            <v>0</v>
          </cell>
          <cell r="U845">
            <v>0</v>
          </cell>
          <cell r="W845">
            <v>23.616700000000002</v>
          </cell>
          <cell r="X845">
            <v>13117</v>
          </cell>
        </row>
        <row r="846">
          <cell r="A846">
            <v>37964</v>
          </cell>
          <cell r="B846" t="str">
            <v>Autobox</v>
          </cell>
          <cell r="E846">
            <v>234</v>
          </cell>
          <cell r="F846">
            <v>20</v>
          </cell>
          <cell r="G846">
            <v>31628</v>
          </cell>
          <cell r="H846">
            <v>0</v>
          </cell>
          <cell r="I846">
            <v>0</v>
          </cell>
          <cell r="L846">
            <v>0</v>
          </cell>
          <cell r="M846">
            <v>0</v>
          </cell>
          <cell r="N846">
            <v>0</v>
          </cell>
          <cell r="S846">
            <v>0</v>
          </cell>
          <cell r="T846">
            <v>0</v>
          </cell>
          <cell r="U846">
            <v>0</v>
          </cell>
          <cell r="W846">
            <v>0</v>
          </cell>
          <cell r="X846">
            <v>0</v>
          </cell>
        </row>
        <row r="847">
          <cell r="A847">
            <v>37964</v>
          </cell>
          <cell r="B847" t="str">
            <v>Levimatic</v>
          </cell>
          <cell r="E847">
            <v>38</v>
          </cell>
          <cell r="F847">
            <v>20</v>
          </cell>
          <cell r="G847">
            <v>7319</v>
          </cell>
          <cell r="H847">
            <v>0</v>
          </cell>
          <cell r="I847">
            <v>0</v>
          </cell>
          <cell r="L847">
            <v>0</v>
          </cell>
          <cell r="M847">
            <v>0</v>
          </cell>
          <cell r="N847">
            <v>0</v>
          </cell>
          <cell r="S847">
            <v>0</v>
          </cell>
          <cell r="T847">
            <v>0</v>
          </cell>
          <cell r="U847">
            <v>0</v>
          </cell>
          <cell r="W847">
            <v>0</v>
          </cell>
          <cell r="X847">
            <v>5010</v>
          </cell>
        </row>
        <row r="848">
          <cell r="A848">
            <v>37964</v>
          </cell>
          <cell r="B848" t="str">
            <v>Giftwrap</v>
          </cell>
          <cell r="E848">
            <v>172</v>
          </cell>
          <cell r="F848">
            <v>0</v>
          </cell>
          <cell r="G848">
            <v>2693</v>
          </cell>
          <cell r="H848">
            <v>0</v>
          </cell>
          <cell r="I848">
            <v>0</v>
          </cell>
          <cell r="L848">
            <v>0</v>
          </cell>
          <cell r="M848">
            <v>0</v>
          </cell>
          <cell r="N848">
            <v>0</v>
          </cell>
          <cell r="S848">
            <v>0</v>
          </cell>
          <cell r="T848">
            <v>0</v>
          </cell>
          <cell r="U848">
            <v>0</v>
          </cell>
          <cell r="W848">
            <v>0</v>
          </cell>
          <cell r="X848">
            <v>0</v>
          </cell>
        </row>
        <row r="849">
          <cell r="A849">
            <v>37964</v>
          </cell>
          <cell r="B849" t="str">
            <v>ShipSupport</v>
          </cell>
          <cell r="E849">
            <v>287.61669921875</v>
          </cell>
          <cell r="F849">
            <v>121.75</v>
          </cell>
          <cell r="G849">
            <v>0</v>
          </cell>
          <cell r="H849">
            <v>0</v>
          </cell>
          <cell r="I849">
            <v>0</v>
          </cell>
          <cell r="L849">
            <v>0</v>
          </cell>
          <cell r="M849">
            <v>0</v>
          </cell>
          <cell r="N849">
            <v>0</v>
          </cell>
          <cell r="S849">
            <v>0</v>
          </cell>
          <cell r="T849">
            <v>0</v>
          </cell>
          <cell r="U849">
            <v>0</v>
          </cell>
          <cell r="W849">
            <v>23.616700000000002</v>
          </cell>
          <cell r="X849">
            <v>0</v>
          </cell>
        </row>
        <row r="850">
          <cell r="A850">
            <v>37964</v>
          </cell>
          <cell r="B850" t="str">
            <v>BMV Stow</v>
          </cell>
          <cell r="E850">
            <v>192.39999389648</v>
          </cell>
          <cell r="F850">
            <v>179.4</v>
          </cell>
          <cell r="G850">
            <v>75949</v>
          </cell>
          <cell r="H850">
            <v>65969</v>
          </cell>
          <cell r="I850">
            <v>9980</v>
          </cell>
          <cell r="L850">
            <v>179.4</v>
          </cell>
          <cell r="M850">
            <v>13</v>
          </cell>
          <cell r="N850">
            <v>0</v>
          </cell>
          <cell r="S850">
            <v>0</v>
          </cell>
          <cell r="T850">
            <v>0</v>
          </cell>
          <cell r="U850">
            <v>0</v>
          </cell>
          <cell r="W850">
            <v>0</v>
          </cell>
          <cell r="X850">
            <v>0</v>
          </cell>
        </row>
        <row r="851">
          <cell r="A851">
            <v>37964</v>
          </cell>
          <cell r="B851" t="str">
            <v>Office</v>
          </cell>
          <cell r="E851">
            <v>117.46666717529</v>
          </cell>
          <cell r="F851">
            <v>0</v>
          </cell>
          <cell r="G851">
            <v>0</v>
          </cell>
          <cell r="H851">
            <v>0</v>
          </cell>
          <cell r="I851">
            <v>0</v>
          </cell>
          <cell r="L851">
            <v>0</v>
          </cell>
          <cell r="M851">
            <v>0</v>
          </cell>
          <cell r="N851">
            <v>0</v>
          </cell>
          <cell r="S851">
            <v>0</v>
          </cell>
          <cell r="T851">
            <v>0</v>
          </cell>
          <cell r="U851">
            <v>0</v>
          </cell>
          <cell r="W851">
            <v>117.467</v>
          </cell>
          <cell r="X851">
            <v>0</v>
          </cell>
        </row>
        <row r="852">
          <cell r="A852">
            <v>37964</v>
          </cell>
          <cell r="B852" t="str">
            <v>Office</v>
          </cell>
          <cell r="E852">
            <v>32.416667938232003</v>
          </cell>
          <cell r="F852">
            <v>0</v>
          </cell>
          <cell r="G852">
            <v>0</v>
          </cell>
          <cell r="H852">
            <v>0</v>
          </cell>
          <cell r="I852">
            <v>0</v>
          </cell>
          <cell r="L852">
            <v>0</v>
          </cell>
          <cell r="M852">
            <v>0</v>
          </cell>
          <cell r="N852">
            <v>0</v>
          </cell>
          <cell r="S852">
            <v>0</v>
          </cell>
          <cell r="T852">
            <v>0</v>
          </cell>
          <cell r="U852">
            <v>0</v>
          </cell>
          <cell r="W852">
            <v>32.416699999999999</v>
          </cell>
          <cell r="X852">
            <v>0</v>
          </cell>
        </row>
        <row r="853">
          <cell r="A853">
            <v>37964</v>
          </cell>
          <cell r="B853" t="str">
            <v>Offsite1Receive</v>
          </cell>
          <cell r="E853">
            <v>-96.933319091797003</v>
          </cell>
          <cell r="F853">
            <v>0</v>
          </cell>
          <cell r="G853">
            <v>0</v>
          </cell>
          <cell r="H853">
            <v>0</v>
          </cell>
          <cell r="I853">
            <v>0</v>
          </cell>
          <cell r="L853">
            <v>0</v>
          </cell>
          <cell r="M853">
            <v>0</v>
          </cell>
          <cell r="N853">
            <v>0</v>
          </cell>
          <cell r="S853">
            <v>0</v>
          </cell>
          <cell r="T853">
            <v>0</v>
          </cell>
          <cell r="U853">
            <v>0</v>
          </cell>
          <cell r="W853">
            <v>394.06700000000001</v>
          </cell>
          <cell r="X853">
            <v>0</v>
          </cell>
        </row>
        <row r="854">
          <cell r="A854">
            <v>37964</v>
          </cell>
          <cell r="B854" t="str">
            <v>QA</v>
          </cell>
          <cell r="E854">
            <v>60</v>
          </cell>
          <cell r="F854">
            <v>0</v>
          </cell>
          <cell r="G854">
            <v>0</v>
          </cell>
          <cell r="H854">
            <v>0</v>
          </cell>
          <cell r="I854">
            <v>0</v>
          </cell>
          <cell r="L854">
            <v>0</v>
          </cell>
          <cell r="M854">
            <v>0</v>
          </cell>
          <cell r="N854">
            <v>0</v>
          </cell>
          <cell r="S854">
            <v>0</v>
          </cell>
          <cell r="T854">
            <v>0</v>
          </cell>
          <cell r="U854">
            <v>0</v>
          </cell>
          <cell r="W854">
            <v>60</v>
          </cell>
          <cell r="X854">
            <v>0</v>
          </cell>
        </row>
        <row r="855">
          <cell r="A855">
            <v>37964</v>
          </cell>
          <cell r="B855" t="str">
            <v>Vreturns</v>
          </cell>
          <cell r="E855">
            <v>9.8000001907349006</v>
          </cell>
          <cell r="F855">
            <v>0</v>
          </cell>
          <cell r="G855">
            <v>0</v>
          </cell>
          <cell r="H855">
            <v>0</v>
          </cell>
          <cell r="I855">
            <v>0</v>
          </cell>
          <cell r="L855">
            <v>0</v>
          </cell>
          <cell r="M855">
            <v>0</v>
          </cell>
          <cell r="N855">
            <v>0</v>
          </cell>
          <cell r="S855">
            <v>0</v>
          </cell>
          <cell r="T855">
            <v>0</v>
          </cell>
          <cell r="U855">
            <v>0</v>
          </cell>
          <cell r="W855">
            <v>9.8000000000000007</v>
          </cell>
          <cell r="X855">
            <v>0</v>
          </cell>
        </row>
        <row r="856">
          <cell r="A856">
            <v>37964</v>
          </cell>
          <cell r="B856" t="str">
            <v>Facilities</v>
          </cell>
          <cell r="E856">
            <v>222.25</v>
          </cell>
          <cell r="F856">
            <v>0</v>
          </cell>
          <cell r="G856">
            <v>0</v>
          </cell>
          <cell r="H856">
            <v>0</v>
          </cell>
          <cell r="I856">
            <v>0</v>
          </cell>
          <cell r="L856">
            <v>0</v>
          </cell>
          <cell r="M856">
            <v>0</v>
          </cell>
          <cell r="N856">
            <v>0</v>
          </cell>
          <cell r="S856">
            <v>0</v>
          </cell>
          <cell r="T856">
            <v>0</v>
          </cell>
          <cell r="U856">
            <v>0</v>
          </cell>
          <cell r="W856">
            <v>142.25</v>
          </cell>
          <cell r="X856">
            <v>0</v>
          </cell>
        </row>
        <row r="857">
          <cell r="A857">
            <v>37964</v>
          </cell>
          <cell r="B857" t="str">
            <v>Facilities</v>
          </cell>
          <cell r="E857">
            <v>10</v>
          </cell>
          <cell r="F857">
            <v>0</v>
          </cell>
          <cell r="G857">
            <v>0</v>
          </cell>
          <cell r="H857">
            <v>0</v>
          </cell>
          <cell r="I857">
            <v>0</v>
          </cell>
          <cell r="L857">
            <v>0</v>
          </cell>
          <cell r="M857">
            <v>0</v>
          </cell>
          <cell r="N857">
            <v>0</v>
          </cell>
          <cell r="S857">
            <v>0</v>
          </cell>
          <cell r="T857">
            <v>0</v>
          </cell>
          <cell r="U857">
            <v>0</v>
          </cell>
          <cell r="W857">
            <v>10</v>
          </cell>
          <cell r="X857">
            <v>0</v>
          </cell>
        </row>
        <row r="858">
          <cell r="A858">
            <v>37964</v>
          </cell>
          <cell r="B858" t="str">
            <v>SNOC</v>
          </cell>
          <cell r="E858">
            <v>21.966667175293001</v>
          </cell>
          <cell r="F858">
            <v>0</v>
          </cell>
          <cell r="G858">
            <v>0</v>
          </cell>
          <cell r="H858">
            <v>0</v>
          </cell>
          <cell r="I858">
            <v>0</v>
          </cell>
          <cell r="L858">
            <v>0</v>
          </cell>
          <cell r="M858">
            <v>0</v>
          </cell>
          <cell r="N858">
            <v>0</v>
          </cell>
          <cell r="S858">
            <v>0</v>
          </cell>
          <cell r="T858">
            <v>0</v>
          </cell>
          <cell r="U858">
            <v>0</v>
          </cell>
          <cell r="W858">
            <v>21.966699999999999</v>
          </cell>
          <cell r="X858">
            <v>0</v>
          </cell>
        </row>
        <row r="859">
          <cell r="A859">
            <v>37964</v>
          </cell>
          <cell r="B859" t="str">
            <v>Swat</v>
          </cell>
          <cell r="E859">
            <v>8</v>
          </cell>
          <cell r="F859">
            <v>0</v>
          </cell>
          <cell r="G859">
            <v>0</v>
          </cell>
          <cell r="H859">
            <v>0</v>
          </cell>
          <cell r="I859">
            <v>0</v>
          </cell>
          <cell r="L859">
            <v>0</v>
          </cell>
          <cell r="M859">
            <v>0</v>
          </cell>
          <cell r="N859">
            <v>0</v>
          </cell>
          <cell r="S859">
            <v>0</v>
          </cell>
          <cell r="T859">
            <v>0</v>
          </cell>
          <cell r="U859">
            <v>0</v>
          </cell>
          <cell r="W859">
            <v>8</v>
          </cell>
          <cell r="X859">
            <v>0</v>
          </cell>
        </row>
        <row r="860">
          <cell r="A860">
            <v>37964</v>
          </cell>
          <cell r="B860" t="str">
            <v>CustomerService</v>
          </cell>
          <cell r="E860">
            <v>12</v>
          </cell>
          <cell r="F860">
            <v>0</v>
          </cell>
          <cell r="G860">
            <v>0</v>
          </cell>
          <cell r="H860">
            <v>0</v>
          </cell>
          <cell r="I860">
            <v>0</v>
          </cell>
          <cell r="L860">
            <v>0</v>
          </cell>
          <cell r="M860">
            <v>0</v>
          </cell>
          <cell r="N860">
            <v>0</v>
          </cell>
          <cell r="S860">
            <v>0</v>
          </cell>
          <cell r="T860">
            <v>0</v>
          </cell>
          <cell r="U860">
            <v>0</v>
          </cell>
          <cell r="W860">
            <v>12</v>
          </cell>
          <cell r="X860">
            <v>0</v>
          </cell>
        </row>
        <row r="861">
          <cell r="A861">
            <v>37964</v>
          </cell>
          <cell r="B861" t="str">
            <v>CustomerService</v>
          </cell>
          <cell r="E861">
            <v>10</v>
          </cell>
          <cell r="F861">
            <v>0</v>
          </cell>
          <cell r="G861">
            <v>0</v>
          </cell>
          <cell r="H861">
            <v>0</v>
          </cell>
          <cell r="I861">
            <v>0</v>
          </cell>
          <cell r="L861">
            <v>0</v>
          </cell>
          <cell r="M861">
            <v>0</v>
          </cell>
          <cell r="N861">
            <v>0</v>
          </cell>
          <cell r="S861">
            <v>0</v>
          </cell>
          <cell r="T861">
            <v>0</v>
          </cell>
          <cell r="U861">
            <v>0</v>
          </cell>
          <cell r="W861">
            <v>10</v>
          </cell>
          <cell r="X861">
            <v>0</v>
          </cell>
        </row>
        <row r="862">
          <cell r="A862">
            <v>37964</v>
          </cell>
          <cell r="B862" t="str">
            <v>Offsite1Ship</v>
          </cell>
          <cell r="E862">
            <v>491</v>
          </cell>
          <cell r="F862">
            <v>0</v>
          </cell>
          <cell r="G862">
            <v>4528</v>
          </cell>
          <cell r="H862">
            <v>0</v>
          </cell>
          <cell r="I862">
            <v>0</v>
          </cell>
          <cell r="L862">
            <v>0</v>
          </cell>
          <cell r="M862">
            <v>0</v>
          </cell>
          <cell r="N862">
            <v>0</v>
          </cell>
          <cell r="S862">
            <v>0</v>
          </cell>
          <cell r="T862">
            <v>0</v>
          </cell>
          <cell r="U862">
            <v>0</v>
          </cell>
          <cell r="W862">
            <v>0</v>
          </cell>
          <cell r="X862">
            <v>0</v>
          </cell>
        </row>
        <row r="863">
          <cell r="A863">
            <v>37964</v>
          </cell>
          <cell r="B863" t="str">
            <v>Training</v>
          </cell>
          <cell r="E863">
            <v>106</v>
          </cell>
          <cell r="F863">
            <v>0</v>
          </cell>
          <cell r="G863">
            <v>0</v>
          </cell>
          <cell r="H863">
            <v>0</v>
          </cell>
          <cell r="I863">
            <v>0</v>
          </cell>
          <cell r="L863">
            <v>0</v>
          </cell>
          <cell r="M863">
            <v>0</v>
          </cell>
          <cell r="N863">
            <v>0</v>
          </cell>
          <cell r="S863">
            <v>0</v>
          </cell>
          <cell r="T863">
            <v>0</v>
          </cell>
          <cell r="U863">
            <v>0</v>
          </cell>
          <cell r="W863">
            <v>106</v>
          </cell>
          <cell r="X863">
            <v>0</v>
          </cell>
        </row>
        <row r="864">
          <cell r="A864">
            <v>37964</v>
          </cell>
          <cell r="B864" t="str">
            <v>Training</v>
          </cell>
          <cell r="E864">
            <v>0</v>
          </cell>
          <cell r="F864">
            <v>0</v>
          </cell>
          <cell r="G864">
            <v>0</v>
          </cell>
          <cell r="H864">
            <v>0</v>
          </cell>
          <cell r="I864">
            <v>0</v>
          </cell>
          <cell r="L864">
            <v>0</v>
          </cell>
          <cell r="M864">
            <v>0</v>
          </cell>
          <cell r="N864">
            <v>0</v>
          </cell>
          <cell r="S864">
            <v>0</v>
          </cell>
          <cell r="T864">
            <v>0</v>
          </cell>
          <cell r="U864">
            <v>0</v>
          </cell>
          <cell r="W864">
            <v>0</v>
          </cell>
          <cell r="X864">
            <v>0</v>
          </cell>
        </row>
        <row r="865">
          <cell r="A865">
            <v>37964</v>
          </cell>
          <cell r="B865" t="str">
            <v>Replenishment</v>
          </cell>
          <cell r="E865">
            <v>295</v>
          </cell>
          <cell r="F865">
            <v>0</v>
          </cell>
          <cell r="G865">
            <v>32000</v>
          </cell>
          <cell r="H865">
            <v>0</v>
          </cell>
          <cell r="I865">
            <v>0</v>
          </cell>
          <cell r="L865">
            <v>0</v>
          </cell>
          <cell r="M865">
            <v>0</v>
          </cell>
          <cell r="N865">
            <v>0</v>
          </cell>
          <cell r="S865">
            <v>0</v>
          </cell>
          <cell r="T865">
            <v>0</v>
          </cell>
          <cell r="U865">
            <v>0</v>
          </cell>
          <cell r="W865">
            <v>0</v>
          </cell>
          <cell r="X865">
            <v>0</v>
          </cell>
        </row>
        <row r="866">
          <cell r="A866">
            <v>37963</v>
          </cell>
          <cell r="B866" t="str">
            <v>Sortation</v>
          </cell>
          <cell r="E866">
            <v>681.16668701172</v>
          </cell>
          <cell r="F866">
            <v>0</v>
          </cell>
          <cell r="G866">
            <v>0</v>
          </cell>
          <cell r="H866">
            <v>0</v>
          </cell>
          <cell r="I866">
            <v>0</v>
          </cell>
          <cell r="L866">
            <v>0</v>
          </cell>
          <cell r="M866">
            <v>0</v>
          </cell>
          <cell r="N866">
            <v>0</v>
          </cell>
          <cell r="S866">
            <v>0</v>
          </cell>
          <cell r="T866">
            <v>0</v>
          </cell>
          <cell r="U866">
            <v>0</v>
          </cell>
          <cell r="W866">
            <v>-64.083299999999994</v>
          </cell>
          <cell r="X866">
            <v>0</v>
          </cell>
        </row>
        <row r="867">
          <cell r="A867">
            <v>37963</v>
          </cell>
          <cell r="B867" t="str">
            <v>Rebin</v>
          </cell>
          <cell r="E867">
            <v>345</v>
          </cell>
          <cell r="F867">
            <v>72</v>
          </cell>
          <cell r="G867">
            <v>50795</v>
          </cell>
          <cell r="H867">
            <v>0</v>
          </cell>
          <cell r="I867">
            <v>0</v>
          </cell>
          <cell r="L867">
            <v>0</v>
          </cell>
          <cell r="M867">
            <v>0</v>
          </cell>
          <cell r="N867">
            <v>0</v>
          </cell>
          <cell r="S867">
            <v>0</v>
          </cell>
          <cell r="T867">
            <v>0</v>
          </cell>
          <cell r="U867">
            <v>0</v>
          </cell>
          <cell r="W867">
            <v>0</v>
          </cell>
          <cell r="X867">
            <v>0</v>
          </cell>
        </row>
        <row r="868">
          <cell r="A868">
            <v>37963</v>
          </cell>
          <cell r="B868" t="str">
            <v>Stack</v>
          </cell>
          <cell r="E868">
            <v>224</v>
          </cell>
          <cell r="F868">
            <v>0</v>
          </cell>
          <cell r="G868">
            <v>35181</v>
          </cell>
          <cell r="H868">
            <v>0</v>
          </cell>
          <cell r="I868">
            <v>0</v>
          </cell>
          <cell r="L868">
            <v>0</v>
          </cell>
          <cell r="M868">
            <v>0</v>
          </cell>
          <cell r="N868">
            <v>0</v>
          </cell>
          <cell r="S868">
            <v>5151</v>
          </cell>
          <cell r="T868">
            <v>0</v>
          </cell>
          <cell r="U868">
            <v>0</v>
          </cell>
          <cell r="W868">
            <v>0</v>
          </cell>
          <cell r="X868">
            <v>0</v>
          </cell>
        </row>
        <row r="869">
          <cell r="A869">
            <v>37963</v>
          </cell>
          <cell r="B869" t="str">
            <v>Bundler</v>
          </cell>
          <cell r="E869">
            <v>112.16670227051</v>
          </cell>
          <cell r="F869">
            <v>0</v>
          </cell>
          <cell r="G869">
            <v>35181</v>
          </cell>
          <cell r="H869">
            <v>0</v>
          </cell>
          <cell r="I869">
            <v>0</v>
          </cell>
          <cell r="L869">
            <v>0</v>
          </cell>
          <cell r="M869">
            <v>0</v>
          </cell>
          <cell r="N869">
            <v>0</v>
          </cell>
          <cell r="S869">
            <v>0</v>
          </cell>
          <cell r="T869">
            <v>0</v>
          </cell>
          <cell r="U869">
            <v>0</v>
          </cell>
          <cell r="W869">
            <v>-64.083299999999994</v>
          </cell>
          <cell r="X869">
            <v>13956</v>
          </cell>
        </row>
        <row r="870">
          <cell r="A870">
            <v>37963</v>
          </cell>
          <cell r="B870" t="str">
            <v>Offsite1Ship</v>
          </cell>
          <cell r="E870">
            <v>2039.3000488281</v>
          </cell>
          <cell r="F870">
            <v>132</v>
          </cell>
          <cell r="G870">
            <v>16781</v>
          </cell>
          <cell r="H870">
            <v>16781</v>
          </cell>
          <cell r="I870">
            <v>0</v>
          </cell>
          <cell r="L870">
            <v>588</v>
          </cell>
          <cell r="M870">
            <v>0</v>
          </cell>
          <cell r="N870">
            <v>0</v>
          </cell>
          <cell r="S870">
            <v>0</v>
          </cell>
          <cell r="T870">
            <v>0</v>
          </cell>
          <cell r="U870">
            <v>0</v>
          </cell>
          <cell r="W870">
            <v>0</v>
          </cell>
          <cell r="X870">
            <v>0</v>
          </cell>
        </row>
        <row r="871">
          <cell r="A871">
            <v>37963</v>
          </cell>
          <cell r="B871" t="str">
            <v>Offsite1Receive</v>
          </cell>
          <cell r="E871">
            <v>169.84985351562</v>
          </cell>
          <cell r="F871">
            <v>20</v>
          </cell>
          <cell r="G871">
            <v>3118</v>
          </cell>
          <cell r="H871">
            <v>0</v>
          </cell>
          <cell r="I871">
            <v>0</v>
          </cell>
          <cell r="L871">
            <v>0</v>
          </cell>
          <cell r="M871">
            <v>0</v>
          </cell>
          <cell r="N871">
            <v>0</v>
          </cell>
          <cell r="S871">
            <v>0</v>
          </cell>
          <cell r="T871">
            <v>0</v>
          </cell>
          <cell r="U871">
            <v>0</v>
          </cell>
          <cell r="W871">
            <v>88.849900000000005</v>
          </cell>
          <cell r="X871">
            <v>0</v>
          </cell>
        </row>
        <row r="872">
          <cell r="A872">
            <v>37963</v>
          </cell>
          <cell r="B872" t="str">
            <v>BMV Receive</v>
          </cell>
          <cell r="E872">
            <v>207.4333190918</v>
          </cell>
          <cell r="F872">
            <v>33.4</v>
          </cell>
          <cell r="G872">
            <v>44261</v>
          </cell>
          <cell r="H872">
            <v>23824</v>
          </cell>
          <cell r="I872">
            <v>0</v>
          </cell>
          <cell r="L872">
            <v>116.4</v>
          </cell>
          <cell r="M872">
            <v>0</v>
          </cell>
          <cell r="N872">
            <v>10</v>
          </cell>
          <cell r="S872">
            <v>0</v>
          </cell>
          <cell r="T872">
            <v>52</v>
          </cell>
          <cell r="U872">
            <v>0</v>
          </cell>
          <cell r="W872">
            <v>27.033300000000001</v>
          </cell>
          <cell r="X872">
            <v>0</v>
          </cell>
        </row>
        <row r="873">
          <cell r="A873">
            <v>37963</v>
          </cell>
          <cell r="B873" t="str">
            <v>Sortation</v>
          </cell>
          <cell r="E873">
            <v>894.83337402344</v>
          </cell>
          <cell r="F873">
            <v>0</v>
          </cell>
          <cell r="G873">
            <v>0</v>
          </cell>
          <cell r="H873">
            <v>0</v>
          </cell>
          <cell r="I873">
            <v>0</v>
          </cell>
          <cell r="L873">
            <v>0</v>
          </cell>
          <cell r="M873">
            <v>0</v>
          </cell>
          <cell r="N873">
            <v>0</v>
          </cell>
          <cell r="S873">
            <v>0</v>
          </cell>
          <cell r="T873">
            <v>0</v>
          </cell>
          <cell r="U873">
            <v>0</v>
          </cell>
          <cell r="W873">
            <v>94.673400000000001</v>
          </cell>
          <cell r="X873">
            <v>0</v>
          </cell>
        </row>
        <row r="874">
          <cell r="A874">
            <v>37963</v>
          </cell>
          <cell r="B874" t="str">
            <v>Rebin</v>
          </cell>
          <cell r="E874">
            <v>414.5</v>
          </cell>
          <cell r="F874">
            <v>58</v>
          </cell>
          <cell r="G874">
            <v>64285</v>
          </cell>
          <cell r="H874">
            <v>0</v>
          </cell>
          <cell r="I874">
            <v>0</v>
          </cell>
          <cell r="L874">
            <v>0</v>
          </cell>
          <cell r="M874">
            <v>0</v>
          </cell>
          <cell r="N874">
            <v>0</v>
          </cell>
          <cell r="S874">
            <v>0</v>
          </cell>
          <cell r="T874">
            <v>0</v>
          </cell>
          <cell r="U874">
            <v>0</v>
          </cell>
          <cell r="W874">
            <v>0</v>
          </cell>
          <cell r="X874">
            <v>0</v>
          </cell>
        </row>
        <row r="875">
          <cell r="A875">
            <v>37963</v>
          </cell>
          <cell r="B875" t="str">
            <v>Stack</v>
          </cell>
          <cell r="E875">
            <v>276</v>
          </cell>
          <cell r="F875">
            <v>0</v>
          </cell>
          <cell r="G875">
            <v>43014</v>
          </cell>
          <cell r="H875">
            <v>0</v>
          </cell>
          <cell r="I875">
            <v>0</v>
          </cell>
          <cell r="L875">
            <v>0</v>
          </cell>
          <cell r="M875">
            <v>0</v>
          </cell>
          <cell r="N875">
            <v>0</v>
          </cell>
          <cell r="S875">
            <v>1940</v>
          </cell>
          <cell r="T875">
            <v>0</v>
          </cell>
          <cell r="U875">
            <v>0</v>
          </cell>
          <cell r="W875">
            <v>0</v>
          </cell>
          <cell r="X875">
            <v>0</v>
          </cell>
        </row>
        <row r="876">
          <cell r="A876">
            <v>37963</v>
          </cell>
          <cell r="B876" t="str">
            <v>Bundler</v>
          </cell>
          <cell r="E876">
            <v>204.33340454102</v>
          </cell>
          <cell r="F876">
            <v>12</v>
          </cell>
          <cell r="G876">
            <v>43014</v>
          </cell>
          <cell r="H876">
            <v>0</v>
          </cell>
          <cell r="I876">
            <v>0</v>
          </cell>
          <cell r="L876">
            <v>0</v>
          </cell>
          <cell r="M876">
            <v>0</v>
          </cell>
          <cell r="N876">
            <v>0</v>
          </cell>
          <cell r="S876">
            <v>0</v>
          </cell>
          <cell r="T876">
            <v>0</v>
          </cell>
          <cell r="U876">
            <v>0</v>
          </cell>
          <cell r="W876">
            <v>94.673400000000001</v>
          </cell>
          <cell r="X876">
            <v>14313</v>
          </cell>
        </row>
        <row r="877">
          <cell r="A877">
            <v>37963</v>
          </cell>
          <cell r="B877" t="str">
            <v>Picking</v>
          </cell>
          <cell r="E877">
            <v>967.58325195312</v>
          </cell>
          <cell r="F877">
            <v>0</v>
          </cell>
          <cell r="G877">
            <v>85758</v>
          </cell>
          <cell r="H877">
            <v>0</v>
          </cell>
          <cell r="I877">
            <v>0</v>
          </cell>
          <cell r="L877">
            <v>0</v>
          </cell>
          <cell r="M877">
            <v>0</v>
          </cell>
          <cell r="N877">
            <v>0</v>
          </cell>
          <cell r="S877">
            <v>0</v>
          </cell>
          <cell r="T877">
            <v>0</v>
          </cell>
          <cell r="U877">
            <v>0</v>
          </cell>
          <cell r="W877">
            <v>2.58325</v>
          </cell>
          <cell r="X877">
            <v>0</v>
          </cell>
        </row>
        <row r="878">
          <cell r="A878">
            <v>37963</v>
          </cell>
          <cell r="B878" t="str">
            <v>Replenishment</v>
          </cell>
          <cell r="E878">
            <v>110</v>
          </cell>
          <cell r="F878">
            <v>0</v>
          </cell>
          <cell r="G878">
            <v>17054</v>
          </cell>
          <cell r="H878">
            <v>0</v>
          </cell>
          <cell r="I878">
            <v>0</v>
          </cell>
          <cell r="L878">
            <v>0</v>
          </cell>
          <cell r="M878">
            <v>0</v>
          </cell>
          <cell r="N878">
            <v>0</v>
          </cell>
          <cell r="S878">
            <v>0</v>
          </cell>
          <cell r="T878">
            <v>0</v>
          </cell>
          <cell r="U878">
            <v>0</v>
          </cell>
          <cell r="W878">
            <v>0</v>
          </cell>
          <cell r="X878">
            <v>0</v>
          </cell>
        </row>
        <row r="879">
          <cell r="A879">
            <v>37963</v>
          </cell>
          <cell r="B879" t="str">
            <v>Shipping</v>
          </cell>
          <cell r="E879">
            <v>1105.7666625976999</v>
          </cell>
          <cell r="F879">
            <v>0</v>
          </cell>
          <cell r="G879">
            <v>0</v>
          </cell>
          <cell r="H879">
            <v>0</v>
          </cell>
          <cell r="I879">
            <v>0</v>
          </cell>
          <cell r="L879">
            <v>0</v>
          </cell>
          <cell r="M879">
            <v>0</v>
          </cell>
          <cell r="N879">
            <v>0</v>
          </cell>
          <cell r="S879">
            <v>0</v>
          </cell>
          <cell r="T879">
            <v>0</v>
          </cell>
          <cell r="U879">
            <v>0</v>
          </cell>
          <cell r="W879">
            <v>99.0167</v>
          </cell>
          <cell r="X879">
            <v>17289</v>
          </cell>
        </row>
        <row r="880">
          <cell r="A880">
            <v>37963</v>
          </cell>
          <cell r="B880" t="str">
            <v>Autobox</v>
          </cell>
          <cell r="E880">
            <v>394</v>
          </cell>
          <cell r="F880">
            <v>162</v>
          </cell>
          <cell r="G880">
            <v>31347</v>
          </cell>
          <cell r="H880">
            <v>0</v>
          </cell>
          <cell r="I880">
            <v>0</v>
          </cell>
          <cell r="L880">
            <v>0</v>
          </cell>
          <cell r="M880">
            <v>0</v>
          </cell>
          <cell r="N880">
            <v>0</v>
          </cell>
          <cell r="S880">
            <v>0</v>
          </cell>
          <cell r="T880">
            <v>0</v>
          </cell>
          <cell r="U880">
            <v>0</v>
          </cell>
          <cell r="W880">
            <v>0</v>
          </cell>
          <cell r="X880">
            <v>0</v>
          </cell>
        </row>
        <row r="881">
          <cell r="A881">
            <v>37963</v>
          </cell>
          <cell r="B881" t="str">
            <v>Levimatic</v>
          </cell>
          <cell r="E881">
            <v>42.5</v>
          </cell>
          <cell r="F881">
            <v>0</v>
          </cell>
          <cell r="G881">
            <v>7265</v>
          </cell>
          <cell r="H881">
            <v>0</v>
          </cell>
          <cell r="I881">
            <v>0</v>
          </cell>
          <cell r="L881">
            <v>0</v>
          </cell>
          <cell r="M881">
            <v>0</v>
          </cell>
          <cell r="N881">
            <v>0</v>
          </cell>
          <cell r="S881">
            <v>0</v>
          </cell>
          <cell r="T881">
            <v>0</v>
          </cell>
          <cell r="U881">
            <v>0</v>
          </cell>
          <cell r="W881">
            <v>0</v>
          </cell>
          <cell r="X881">
            <v>0</v>
          </cell>
        </row>
        <row r="882">
          <cell r="A882">
            <v>37963</v>
          </cell>
          <cell r="B882" t="str">
            <v>Giftwrap</v>
          </cell>
          <cell r="E882">
            <v>257</v>
          </cell>
          <cell r="F882">
            <v>0</v>
          </cell>
          <cell r="G882">
            <v>4292</v>
          </cell>
          <cell r="H882">
            <v>0</v>
          </cell>
          <cell r="I882">
            <v>0</v>
          </cell>
          <cell r="L882">
            <v>0</v>
          </cell>
          <cell r="M882">
            <v>0</v>
          </cell>
          <cell r="N882">
            <v>0</v>
          </cell>
          <cell r="S882">
            <v>0</v>
          </cell>
          <cell r="T882">
            <v>0</v>
          </cell>
          <cell r="U882">
            <v>0</v>
          </cell>
          <cell r="W882">
            <v>0</v>
          </cell>
          <cell r="X882">
            <v>0</v>
          </cell>
        </row>
        <row r="883">
          <cell r="A883">
            <v>37963</v>
          </cell>
          <cell r="B883" t="str">
            <v>ShipSupport</v>
          </cell>
          <cell r="E883">
            <v>412.26670074462999</v>
          </cell>
          <cell r="F883">
            <v>60.5</v>
          </cell>
          <cell r="G883">
            <v>0</v>
          </cell>
          <cell r="H883">
            <v>0</v>
          </cell>
          <cell r="I883">
            <v>0</v>
          </cell>
          <cell r="L883">
            <v>0</v>
          </cell>
          <cell r="M883">
            <v>0</v>
          </cell>
          <cell r="N883">
            <v>0</v>
          </cell>
          <cell r="S883">
            <v>0</v>
          </cell>
          <cell r="T883">
            <v>0</v>
          </cell>
          <cell r="U883">
            <v>0</v>
          </cell>
          <cell r="W883">
            <v>99.0167</v>
          </cell>
          <cell r="X883">
            <v>0</v>
          </cell>
        </row>
        <row r="884">
          <cell r="A884">
            <v>37963</v>
          </cell>
          <cell r="B884" t="str">
            <v>QA</v>
          </cell>
          <cell r="E884">
            <v>112.91666412354</v>
          </cell>
          <cell r="F884">
            <v>0</v>
          </cell>
          <cell r="G884">
            <v>0</v>
          </cell>
          <cell r="H884">
            <v>0</v>
          </cell>
          <cell r="I884">
            <v>0</v>
          </cell>
          <cell r="L884">
            <v>0</v>
          </cell>
          <cell r="M884">
            <v>0</v>
          </cell>
          <cell r="N884">
            <v>0</v>
          </cell>
          <cell r="S884">
            <v>0</v>
          </cell>
          <cell r="T884">
            <v>0</v>
          </cell>
          <cell r="U884">
            <v>0</v>
          </cell>
          <cell r="W884">
            <v>117.417</v>
          </cell>
          <cell r="X884">
            <v>0</v>
          </cell>
        </row>
        <row r="885">
          <cell r="A885">
            <v>37963</v>
          </cell>
          <cell r="B885" t="str">
            <v>Picking</v>
          </cell>
          <cell r="E885">
            <v>917.53332519531</v>
          </cell>
          <cell r="F885">
            <v>0</v>
          </cell>
          <cell r="G885">
            <v>73432</v>
          </cell>
          <cell r="H885">
            <v>0</v>
          </cell>
          <cell r="I885">
            <v>0</v>
          </cell>
          <cell r="L885">
            <v>0</v>
          </cell>
          <cell r="M885">
            <v>0</v>
          </cell>
          <cell r="N885">
            <v>0</v>
          </cell>
          <cell r="S885">
            <v>0</v>
          </cell>
          <cell r="T885">
            <v>0</v>
          </cell>
          <cell r="U885">
            <v>0</v>
          </cell>
          <cell r="W885">
            <v>3.3325199999999999E-2</v>
          </cell>
          <cell r="X885">
            <v>0</v>
          </cell>
        </row>
        <row r="886">
          <cell r="A886">
            <v>37963</v>
          </cell>
          <cell r="B886" t="str">
            <v>Shipping</v>
          </cell>
          <cell r="E886">
            <v>765.96667480469</v>
          </cell>
          <cell r="F886">
            <v>0</v>
          </cell>
          <cell r="G886">
            <v>0</v>
          </cell>
          <cell r="H886">
            <v>0</v>
          </cell>
          <cell r="I886">
            <v>0</v>
          </cell>
          <cell r="L886">
            <v>0</v>
          </cell>
          <cell r="M886">
            <v>0</v>
          </cell>
          <cell r="N886">
            <v>0</v>
          </cell>
          <cell r="S886">
            <v>0</v>
          </cell>
          <cell r="T886">
            <v>0</v>
          </cell>
          <cell r="U886">
            <v>0</v>
          </cell>
          <cell r="W886">
            <v>-175.53299999999999</v>
          </cell>
          <cell r="X886">
            <v>11295</v>
          </cell>
        </row>
        <row r="887">
          <cell r="A887">
            <v>37963</v>
          </cell>
          <cell r="B887" t="str">
            <v>Autobox</v>
          </cell>
          <cell r="E887">
            <v>244</v>
          </cell>
          <cell r="F887">
            <v>75</v>
          </cell>
          <cell r="G887">
            <v>22738</v>
          </cell>
          <cell r="H887">
            <v>0</v>
          </cell>
          <cell r="I887">
            <v>0</v>
          </cell>
          <cell r="L887">
            <v>0</v>
          </cell>
          <cell r="M887">
            <v>0</v>
          </cell>
          <cell r="N887">
            <v>0</v>
          </cell>
          <cell r="S887">
            <v>0</v>
          </cell>
          <cell r="T887">
            <v>0</v>
          </cell>
          <cell r="U887">
            <v>0</v>
          </cell>
          <cell r="W887">
            <v>0</v>
          </cell>
          <cell r="X887">
            <v>0</v>
          </cell>
        </row>
        <row r="888">
          <cell r="A888">
            <v>37963</v>
          </cell>
          <cell r="B888" t="str">
            <v>Levimatic</v>
          </cell>
          <cell r="E888">
            <v>40</v>
          </cell>
          <cell r="F888">
            <v>20</v>
          </cell>
          <cell r="G888">
            <v>5099</v>
          </cell>
          <cell r="H888">
            <v>0</v>
          </cell>
          <cell r="I888">
            <v>0</v>
          </cell>
          <cell r="L888">
            <v>0</v>
          </cell>
          <cell r="M888">
            <v>0</v>
          </cell>
          <cell r="N888">
            <v>0</v>
          </cell>
          <cell r="S888">
            <v>0</v>
          </cell>
          <cell r="T888">
            <v>0</v>
          </cell>
          <cell r="U888">
            <v>0</v>
          </cell>
          <cell r="W888">
            <v>0</v>
          </cell>
          <cell r="X888">
            <v>4454</v>
          </cell>
        </row>
        <row r="889">
          <cell r="A889">
            <v>37963</v>
          </cell>
          <cell r="B889" t="str">
            <v>Giftwrap</v>
          </cell>
          <cell r="E889">
            <v>249</v>
          </cell>
          <cell r="F889">
            <v>0</v>
          </cell>
          <cell r="G889">
            <v>3128</v>
          </cell>
          <cell r="H889">
            <v>0</v>
          </cell>
          <cell r="I889">
            <v>0</v>
          </cell>
          <cell r="L889">
            <v>0</v>
          </cell>
          <cell r="M889">
            <v>0</v>
          </cell>
          <cell r="N889">
            <v>0</v>
          </cell>
          <cell r="S889">
            <v>0</v>
          </cell>
          <cell r="T889">
            <v>0</v>
          </cell>
          <cell r="U889">
            <v>0</v>
          </cell>
          <cell r="W889">
            <v>0</v>
          </cell>
          <cell r="X889">
            <v>0</v>
          </cell>
        </row>
        <row r="890">
          <cell r="A890">
            <v>37963</v>
          </cell>
          <cell r="B890" t="str">
            <v>ShipSupport</v>
          </cell>
          <cell r="E890">
            <v>232.96699523926</v>
          </cell>
          <cell r="F890">
            <v>77</v>
          </cell>
          <cell r="G890">
            <v>0</v>
          </cell>
          <cell r="H890">
            <v>0</v>
          </cell>
          <cell r="I890">
            <v>0</v>
          </cell>
          <cell r="L890">
            <v>0</v>
          </cell>
          <cell r="M890">
            <v>0</v>
          </cell>
          <cell r="N890">
            <v>0</v>
          </cell>
          <cell r="S890">
            <v>0</v>
          </cell>
          <cell r="T890">
            <v>0</v>
          </cell>
          <cell r="U890">
            <v>0</v>
          </cell>
          <cell r="W890">
            <v>-175.53299999999999</v>
          </cell>
          <cell r="X890">
            <v>0</v>
          </cell>
        </row>
        <row r="891">
          <cell r="A891">
            <v>37963</v>
          </cell>
          <cell r="B891" t="str">
            <v>BMV Receive</v>
          </cell>
          <cell r="E891">
            <v>177.73666381836</v>
          </cell>
          <cell r="F891">
            <v>11.5</v>
          </cell>
          <cell r="G891">
            <v>44843</v>
          </cell>
          <cell r="H891">
            <v>32201</v>
          </cell>
          <cell r="I891">
            <v>0</v>
          </cell>
          <cell r="L891">
            <v>173.5</v>
          </cell>
          <cell r="M891">
            <v>0</v>
          </cell>
          <cell r="N891">
            <v>2.75</v>
          </cell>
          <cell r="S891">
            <v>0</v>
          </cell>
          <cell r="T891">
            <v>30</v>
          </cell>
          <cell r="U891">
            <v>0</v>
          </cell>
          <cell r="W891">
            <v>-10.013299999999999</v>
          </cell>
          <cell r="X891">
            <v>0</v>
          </cell>
        </row>
        <row r="892">
          <cell r="A892">
            <v>37963</v>
          </cell>
          <cell r="B892" t="str">
            <v>BMV Stow</v>
          </cell>
          <cell r="E892">
            <v>114</v>
          </cell>
          <cell r="F892">
            <v>0</v>
          </cell>
          <cell r="G892">
            <v>39221</v>
          </cell>
          <cell r="H892">
            <v>30699</v>
          </cell>
          <cell r="I892">
            <v>8522</v>
          </cell>
          <cell r="L892">
            <v>102.25</v>
          </cell>
          <cell r="M892">
            <v>11.75</v>
          </cell>
          <cell r="N892">
            <v>0</v>
          </cell>
          <cell r="S892">
            <v>0</v>
          </cell>
          <cell r="T892">
            <v>0</v>
          </cell>
          <cell r="U892">
            <v>0</v>
          </cell>
          <cell r="W892">
            <v>0</v>
          </cell>
          <cell r="X892">
            <v>0</v>
          </cell>
        </row>
        <row r="893">
          <cell r="A893">
            <v>37963</v>
          </cell>
          <cell r="B893" t="str">
            <v>Replenishment</v>
          </cell>
          <cell r="E893">
            <v>150.97999572754</v>
          </cell>
          <cell r="F893">
            <v>0</v>
          </cell>
          <cell r="G893">
            <v>18599</v>
          </cell>
          <cell r="H893">
            <v>0</v>
          </cell>
          <cell r="I893">
            <v>0</v>
          </cell>
          <cell r="L893">
            <v>0</v>
          </cell>
          <cell r="M893">
            <v>0</v>
          </cell>
          <cell r="N893">
            <v>0</v>
          </cell>
          <cell r="S893">
            <v>0</v>
          </cell>
          <cell r="T893">
            <v>0</v>
          </cell>
          <cell r="U893">
            <v>0</v>
          </cell>
          <cell r="W893">
            <v>0</v>
          </cell>
          <cell r="X893">
            <v>0</v>
          </cell>
        </row>
        <row r="894">
          <cell r="A894">
            <v>37963</v>
          </cell>
          <cell r="B894" t="str">
            <v>BMV Stow</v>
          </cell>
          <cell r="E894">
            <v>106</v>
          </cell>
          <cell r="F894">
            <v>-10</v>
          </cell>
          <cell r="G894">
            <v>56455</v>
          </cell>
          <cell r="H894">
            <v>32807</v>
          </cell>
          <cell r="I894">
            <v>23648</v>
          </cell>
          <cell r="L894">
            <v>96</v>
          </cell>
          <cell r="M894">
            <v>10</v>
          </cell>
          <cell r="N894">
            <v>0</v>
          </cell>
          <cell r="S894">
            <v>0</v>
          </cell>
          <cell r="T894">
            <v>0</v>
          </cell>
          <cell r="U894">
            <v>0</v>
          </cell>
          <cell r="W894">
            <v>106</v>
          </cell>
          <cell r="X894">
            <v>0</v>
          </cell>
        </row>
        <row r="895">
          <cell r="A895">
            <v>37963</v>
          </cell>
          <cell r="B895" t="str">
            <v>Training</v>
          </cell>
          <cell r="E895">
            <v>50</v>
          </cell>
          <cell r="F895">
            <v>0</v>
          </cell>
          <cell r="G895">
            <v>0</v>
          </cell>
          <cell r="H895">
            <v>0</v>
          </cell>
          <cell r="I895">
            <v>0</v>
          </cell>
          <cell r="L895">
            <v>0</v>
          </cell>
          <cell r="M895">
            <v>0</v>
          </cell>
          <cell r="N895">
            <v>0</v>
          </cell>
          <cell r="S895">
            <v>0</v>
          </cell>
          <cell r="T895">
            <v>0</v>
          </cell>
          <cell r="U895">
            <v>0</v>
          </cell>
          <cell r="W895">
            <v>50</v>
          </cell>
          <cell r="X895">
            <v>0</v>
          </cell>
        </row>
        <row r="896">
          <cell r="A896">
            <v>37963</v>
          </cell>
          <cell r="B896" t="str">
            <v>Training</v>
          </cell>
          <cell r="E896">
            <v>0</v>
          </cell>
          <cell r="F896">
            <v>0</v>
          </cell>
          <cell r="G896">
            <v>0</v>
          </cell>
          <cell r="H896">
            <v>0</v>
          </cell>
          <cell r="I896">
            <v>0</v>
          </cell>
          <cell r="L896">
            <v>0</v>
          </cell>
          <cell r="M896">
            <v>0</v>
          </cell>
          <cell r="N896">
            <v>0</v>
          </cell>
          <cell r="S896">
            <v>0</v>
          </cell>
          <cell r="T896">
            <v>0</v>
          </cell>
          <cell r="U896">
            <v>0</v>
          </cell>
          <cell r="W896">
            <v>0</v>
          </cell>
          <cell r="X896">
            <v>0</v>
          </cell>
        </row>
        <row r="897">
          <cell r="A897">
            <v>37963</v>
          </cell>
          <cell r="B897" t="str">
            <v>InventoryControl</v>
          </cell>
          <cell r="E897">
            <v>46</v>
          </cell>
          <cell r="F897">
            <v>0</v>
          </cell>
          <cell r="G897">
            <v>0</v>
          </cell>
          <cell r="H897">
            <v>0</v>
          </cell>
          <cell r="I897">
            <v>0</v>
          </cell>
          <cell r="L897">
            <v>0</v>
          </cell>
          <cell r="M897">
            <v>0</v>
          </cell>
          <cell r="N897">
            <v>0</v>
          </cell>
          <cell r="S897">
            <v>0</v>
          </cell>
          <cell r="T897">
            <v>0</v>
          </cell>
          <cell r="U897">
            <v>0</v>
          </cell>
          <cell r="W897">
            <v>46</v>
          </cell>
          <cell r="X897">
            <v>0</v>
          </cell>
        </row>
        <row r="898">
          <cell r="A898">
            <v>37963</v>
          </cell>
          <cell r="B898" t="str">
            <v>Office</v>
          </cell>
          <cell r="E898">
            <v>131.75</v>
          </cell>
          <cell r="F898">
            <v>0</v>
          </cell>
          <cell r="G898">
            <v>0</v>
          </cell>
          <cell r="H898">
            <v>0</v>
          </cell>
          <cell r="I898">
            <v>0</v>
          </cell>
          <cell r="L898">
            <v>0</v>
          </cell>
          <cell r="M898">
            <v>0</v>
          </cell>
          <cell r="N898">
            <v>0</v>
          </cell>
          <cell r="S898">
            <v>0</v>
          </cell>
          <cell r="T898">
            <v>0</v>
          </cell>
          <cell r="U898">
            <v>0</v>
          </cell>
          <cell r="W898">
            <v>131.75</v>
          </cell>
          <cell r="X898">
            <v>0</v>
          </cell>
        </row>
        <row r="899">
          <cell r="A899">
            <v>37963</v>
          </cell>
          <cell r="B899" t="str">
            <v>Office</v>
          </cell>
          <cell r="E899">
            <v>32.383335113525</v>
          </cell>
          <cell r="F899">
            <v>0</v>
          </cell>
          <cell r="G899">
            <v>0</v>
          </cell>
          <cell r="H899">
            <v>0</v>
          </cell>
          <cell r="I899">
            <v>0</v>
          </cell>
          <cell r="L899">
            <v>0</v>
          </cell>
          <cell r="M899">
            <v>0</v>
          </cell>
          <cell r="N899">
            <v>0</v>
          </cell>
          <cell r="S899">
            <v>0</v>
          </cell>
          <cell r="T899">
            <v>0</v>
          </cell>
          <cell r="U899">
            <v>0</v>
          </cell>
          <cell r="W899">
            <v>32.383299999999998</v>
          </cell>
          <cell r="X899">
            <v>0</v>
          </cell>
        </row>
        <row r="900">
          <cell r="A900">
            <v>37963</v>
          </cell>
          <cell r="B900" t="str">
            <v>Offsite1Receive</v>
          </cell>
          <cell r="E900">
            <v>401.73333740234</v>
          </cell>
          <cell r="F900">
            <v>0</v>
          </cell>
          <cell r="G900">
            <v>0</v>
          </cell>
          <cell r="H900">
            <v>0</v>
          </cell>
          <cell r="I900">
            <v>0</v>
          </cell>
          <cell r="L900">
            <v>0</v>
          </cell>
          <cell r="M900">
            <v>0</v>
          </cell>
          <cell r="N900">
            <v>0</v>
          </cell>
          <cell r="S900">
            <v>0</v>
          </cell>
          <cell r="T900">
            <v>0</v>
          </cell>
          <cell r="U900">
            <v>0</v>
          </cell>
          <cell r="W900">
            <v>401.733</v>
          </cell>
          <cell r="X900">
            <v>0</v>
          </cell>
        </row>
        <row r="901">
          <cell r="A901">
            <v>37963</v>
          </cell>
          <cell r="B901" t="str">
            <v>QA</v>
          </cell>
          <cell r="E901">
            <v>60.666667938232003</v>
          </cell>
          <cell r="F901">
            <v>0</v>
          </cell>
          <cell r="G901">
            <v>0</v>
          </cell>
          <cell r="H901">
            <v>0</v>
          </cell>
          <cell r="I901">
            <v>0</v>
          </cell>
          <cell r="L901">
            <v>0</v>
          </cell>
          <cell r="M901">
            <v>0</v>
          </cell>
          <cell r="N901">
            <v>0</v>
          </cell>
          <cell r="S901">
            <v>0</v>
          </cell>
          <cell r="T901">
            <v>0</v>
          </cell>
          <cell r="U901">
            <v>0</v>
          </cell>
          <cell r="W901">
            <v>60.666699999999999</v>
          </cell>
          <cell r="X901">
            <v>0</v>
          </cell>
        </row>
        <row r="902">
          <cell r="A902">
            <v>37963</v>
          </cell>
          <cell r="B902" t="str">
            <v>Vreturns</v>
          </cell>
          <cell r="E902">
            <v>0</v>
          </cell>
          <cell r="F902">
            <v>0</v>
          </cell>
          <cell r="G902">
            <v>0</v>
          </cell>
          <cell r="H902">
            <v>0</v>
          </cell>
          <cell r="I902">
            <v>0</v>
          </cell>
          <cell r="L902">
            <v>0</v>
          </cell>
          <cell r="M902">
            <v>0</v>
          </cell>
          <cell r="N902">
            <v>0</v>
          </cell>
          <cell r="S902">
            <v>0</v>
          </cell>
          <cell r="T902">
            <v>0</v>
          </cell>
          <cell r="U902">
            <v>0</v>
          </cell>
          <cell r="W902">
            <v>0</v>
          </cell>
          <cell r="X902">
            <v>0</v>
          </cell>
        </row>
        <row r="903">
          <cell r="A903">
            <v>37963</v>
          </cell>
          <cell r="B903" t="str">
            <v>Vreturns</v>
          </cell>
          <cell r="E903">
            <v>0</v>
          </cell>
          <cell r="F903">
            <v>0</v>
          </cell>
          <cell r="G903">
            <v>0</v>
          </cell>
          <cell r="H903">
            <v>0</v>
          </cell>
          <cell r="I903">
            <v>0</v>
          </cell>
          <cell r="L903">
            <v>0</v>
          </cell>
          <cell r="M903">
            <v>0</v>
          </cell>
          <cell r="N903">
            <v>0</v>
          </cell>
          <cell r="S903">
            <v>0</v>
          </cell>
          <cell r="T903">
            <v>0</v>
          </cell>
          <cell r="U903">
            <v>0</v>
          </cell>
          <cell r="W903">
            <v>0</v>
          </cell>
          <cell r="X903">
            <v>0</v>
          </cell>
        </row>
        <row r="904">
          <cell r="A904">
            <v>37963</v>
          </cell>
          <cell r="B904" t="str">
            <v>Facilities</v>
          </cell>
          <cell r="E904">
            <v>171.88333129883</v>
          </cell>
          <cell r="F904">
            <v>0</v>
          </cell>
          <cell r="G904">
            <v>0</v>
          </cell>
          <cell r="H904">
            <v>0</v>
          </cell>
          <cell r="I904">
            <v>0</v>
          </cell>
          <cell r="L904">
            <v>0</v>
          </cell>
          <cell r="M904">
            <v>0</v>
          </cell>
          <cell r="N904">
            <v>0</v>
          </cell>
          <cell r="S904">
            <v>0</v>
          </cell>
          <cell r="T904">
            <v>0</v>
          </cell>
          <cell r="U904">
            <v>0</v>
          </cell>
          <cell r="W904">
            <v>171.88300000000001</v>
          </cell>
          <cell r="X904">
            <v>0</v>
          </cell>
        </row>
        <row r="905">
          <cell r="A905">
            <v>37963</v>
          </cell>
          <cell r="B905" t="str">
            <v>Facilities</v>
          </cell>
          <cell r="E905">
            <v>10.033333778380999</v>
          </cell>
          <cell r="F905">
            <v>0</v>
          </cell>
          <cell r="G905">
            <v>0</v>
          </cell>
          <cell r="H905">
            <v>0</v>
          </cell>
          <cell r="I905">
            <v>0</v>
          </cell>
          <cell r="L905">
            <v>0</v>
          </cell>
          <cell r="M905">
            <v>0</v>
          </cell>
          <cell r="N905">
            <v>0</v>
          </cell>
          <cell r="S905">
            <v>0</v>
          </cell>
          <cell r="T905">
            <v>0</v>
          </cell>
          <cell r="U905">
            <v>0</v>
          </cell>
          <cell r="W905">
            <v>10.033300000000001</v>
          </cell>
          <cell r="X905">
            <v>0</v>
          </cell>
        </row>
        <row r="906">
          <cell r="A906">
            <v>37963</v>
          </cell>
          <cell r="B906" t="str">
            <v>SNOC</v>
          </cell>
          <cell r="E906">
            <v>32.066665649413999</v>
          </cell>
          <cell r="F906">
            <v>0</v>
          </cell>
          <cell r="G906">
            <v>0</v>
          </cell>
          <cell r="H906">
            <v>0</v>
          </cell>
          <cell r="I906">
            <v>0</v>
          </cell>
          <cell r="L906">
            <v>0</v>
          </cell>
          <cell r="M906">
            <v>0</v>
          </cell>
          <cell r="N906">
            <v>0</v>
          </cell>
          <cell r="S906">
            <v>0</v>
          </cell>
          <cell r="T906">
            <v>0</v>
          </cell>
          <cell r="U906">
            <v>0</v>
          </cell>
          <cell r="W906">
            <v>32.066699999999997</v>
          </cell>
          <cell r="X906">
            <v>0</v>
          </cell>
        </row>
        <row r="907">
          <cell r="A907">
            <v>37963</v>
          </cell>
          <cell r="B907" t="str">
            <v>Swat</v>
          </cell>
          <cell r="E907">
            <v>8</v>
          </cell>
          <cell r="F907">
            <v>0</v>
          </cell>
          <cell r="G907">
            <v>0</v>
          </cell>
          <cell r="H907">
            <v>0</v>
          </cell>
          <cell r="I907">
            <v>0</v>
          </cell>
          <cell r="L907">
            <v>0</v>
          </cell>
          <cell r="M907">
            <v>0</v>
          </cell>
          <cell r="N907">
            <v>0</v>
          </cell>
          <cell r="S907">
            <v>0</v>
          </cell>
          <cell r="T907">
            <v>0</v>
          </cell>
          <cell r="U907">
            <v>0</v>
          </cell>
          <cell r="W907">
            <v>8</v>
          </cell>
          <cell r="X907">
            <v>0</v>
          </cell>
        </row>
        <row r="908">
          <cell r="A908">
            <v>37963</v>
          </cell>
          <cell r="B908" t="str">
            <v>CReturns</v>
          </cell>
          <cell r="E908">
            <v>20</v>
          </cell>
          <cell r="F908">
            <v>0</v>
          </cell>
          <cell r="G908">
            <v>0</v>
          </cell>
          <cell r="H908">
            <v>0</v>
          </cell>
          <cell r="I908">
            <v>0</v>
          </cell>
          <cell r="L908">
            <v>0</v>
          </cell>
          <cell r="M908">
            <v>0</v>
          </cell>
          <cell r="N908">
            <v>0</v>
          </cell>
          <cell r="S908">
            <v>0</v>
          </cell>
          <cell r="T908">
            <v>0</v>
          </cell>
          <cell r="U908">
            <v>0</v>
          </cell>
          <cell r="W908">
            <v>20</v>
          </cell>
          <cell r="X908">
            <v>0</v>
          </cell>
        </row>
        <row r="909">
          <cell r="A909">
            <v>37963</v>
          </cell>
          <cell r="B909" t="str">
            <v>CustomerService</v>
          </cell>
          <cell r="E909">
            <v>12</v>
          </cell>
          <cell r="F909">
            <v>0</v>
          </cell>
          <cell r="G909">
            <v>0</v>
          </cell>
          <cell r="H909">
            <v>0</v>
          </cell>
          <cell r="I909">
            <v>0</v>
          </cell>
          <cell r="L909">
            <v>0</v>
          </cell>
          <cell r="M909">
            <v>0</v>
          </cell>
          <cell r="N909">
            <v>0</v>
          </cell>
          <cell r="S909">
            <v>0</v>
          </cell>
          <cell r="T909">
            <v>0</v>
          </cell>
          <cell r="U909">
            <v>0</v>
          </cell>
          <cell r="W909">
            <v>12</v>
          </cell>
          <cell r="X909">
            <v>0</v>
          </cell>
        </row>
        <row r="910">
          <cell r="A910">
            <v>37963</v>
          </cell>
          <cell r="B910" t="str">
            <v>CustomerService</v>
          </cell>
          <cell r="E910">
            <v>10</v>
          </cell>
          <cell r="F910">
            <v>0</v>
          </cell>
          <cell r="G910">
            <v>0</v>
          </cell>
          <cell r="H910">
            <v>0</v>
          </cell>
          <cell r="I910">
            <v>0</v>
          </cell>
          <cell r="L910">
            <v>0</v>
          </cell>
          <cell r="M910">
            <v>0</v>
          </cell>
          <cell r="N910">
            <v>0</v>
          </cell>
          <cell r="S910">
            <v>0</v>
          </cell>
          <cell r="T910">
            <v>0</v>
          </cell>
          <cell r="U910">
            <v>0</v>
          </cell>
          <cell r="W910">
            <v>10</v>
          </cell>
          <cell r="X910">
            <v>0</v>
          </cell>
        </row>
        <row r="911">
          <cell r="A911">
            <v>37963</v>
          </cell>
          <cell r="B911" t="str">
            <v>Offsite1Ship</v>
          </cell>
          <cell r="E911">
            <v>0</v>
          </cell>
          <cell r="F911">
            <v>0</v>
          </cell>
          <cell r="G911">
            <v>0</v>
          </cell>
          <cell r="H911">
            <v>0</v>
          </cell>
          <cell r="I911">
            <v>0</v>
          </cell>
          <cell r="L911">
            <v>0</v>
          </cell>
          <cell r="M911">
            <v>0</v>
          </cell>
          <cell r="N911">
            <v>0</v>
          </cell>
          <cell r="S911">
            <v>0</v>
          </cell>
          <cell r="T911">
            <v>0</v>
          </cell>
          <cell r="U911">
            <v>0</v>
          </cell>
          <cell r="W911">
            <v>0</v>
          </cell>
          <cell r="X911">
            <v>0</v>
          </cell>
        </row>
        <row r="912">
          <cell r="A912">
            <v>37962</v>
          </cell>
          <cell r="B912" t="str">
            <v>CReturns</v>
          </cell>
          <cell r="E912">
            <v>0</v>
          </cell>
          <cell r="F912">
            <v>0</v>
          </cell>
          <cell r="G912">
            <v>0</v>
          </cell>
          <cell r="H912">
            <v>0</v>
          </cell>
          <cell r="I912">
            <v>0</v>
          </cell>
          <cell r="L912">
            <v>0</v>
          </cell>
          <cell r="M912">
            <v>0</v>
          </cell>
          <cell r="N912">
            <v>0</v>
          </cell>
          <cell r="S912">
            <v>0</v>
          </cell>
          <cell r="T912">
            <v>0</v>
          </cell>
          <cell r="U912">
            <v>0</v>
          </cell>
          <cell r="W912">
            <v>0</v>
          </cell>
          <cell r="X912">
            <v>0</v>
          </cell>
        </row>
        <row r="913">
          <cell r="A913">
            <v>37962</v>
          </cell>
          <cell r="B913" t="str">
            <v>Shipping</v>
          </cell>
          <cell r="E913">
            <v>971.54998779297</v>
          </cell>
          <cell r="F913">
            <v>0</v>
          </cell>
          <cell r="G913">
            <v>0</v>
          </cell>
          <cell r="H913">
            <v>0</v>
          </cell>
          <cell r="I913">
            <v>0</v>
          </cell>
          <cell r="L913">
            <v>0</v>
          </cell>
          <cell r="M913">
            <v>0</v>
          </cell>
          <cell r="N913">
            <v>0</v>
          </cell>
          <cell r="S913">
            <v>0</v>
          </cell>
          <cell r="T913">
            <v>0</v>
          </cell>
          <cell r="U913">
            <v>0</v>
          </cell>
          <cell r="W913">
            <v>89.05</v>
          </cell>
          <cell r="X913">
            <v>17878</v>
          </cell>
        </row>
        <row r="914">
          <cell r="A914">
            <v>37962</v>
          </cell>
          <cell r="B914" t="str">
            <v>Autobox</v>
          </cell>
          <cell r="E914">
            <v>384</v>
          </cell>
          <cell r="F914">
            <v>0</v>
          </cell>
          <cell r="G914">
            <v>31223</v>
          </cell>
          <cell r="H914">
            <v>0</v>
          </cell>
          <cell r="I914">
            <v>0</v>
          </cell>
          <cell r="L914">
            <v>0</v>
          </cell>
          <cell r="M914">
            <v>0</v>
          </cell>
          <cell r="N914">
            <v>0</v>
          </cell>
          <cell r="S914">
            <v>0</v>
          </cell>
          <cell r="T914">
            <v>0</v>
          </cell>
          <cell r="U914">
            <v>0</v>
          </cell>
          <cell r="W914">
            <v>0</v>
          </cell>
          <cell r="X914">
            <v>0</v>
          </cell>
        </row>
        <row r="915">
          <cell r="A915">
            <v>37962</v>
          </cell>
          <cell r="B915" t="str">
            <v>Levimatic</v>
          </cell>
          <cell r="E915">
            <v>42</v>
          </cell>
          <cell r="F915">
            <v>0</v>
          </cell>
          <cell r="G915">
            <v>9039</v>
          </cell>
          <cell r="H915">
            <v>0</v>
          </cell>
          <cell r="I915">
            <v>0</v>
          </cell>
          <cell r="L915">
            <v>0</v>
          </cell>
          <cell r="M915">
            <v>0</v>
          </cell>
          <cell r="N915">
            <v>0</v>
          </cell>
          <cell r="S915">
            <v>0</v>
          </cell>
          <cell r="T915">
            <v>0</v>
          </cell>
          <cell r="U915">
            <v>0</v>
          </cell>
          <cell r="W915">
            <v>0</v>
          </cell>
          <cell r="X915">
            <v>0</v>
          </cell>
        </row>
        <row r="916">
          <cell r="A916">
            <v>37962</v>
          </cell>
          <cell r="B916" t="str">
            <v>Giftwrap</v>
          </cell>
          <cell r="E916">
            <v>127.5</v>
          </cell>
          <cell r="F916">
            <v>0</v>
          </cell>
          <cell r="G916">
            <v>2116</v>
          </cell>
          <cell r="H916">
            <v>0</v>
          </cell>
          <cell r="I916">
            <v>0</v>
          </cell>
          <cell r="L916">
            <v>0</v>
          </cell>
          <cell r="M916">
            <v>0</v>
          </cell>
          <cell r="N916">
            <v>0</v>
          </cell>
          <cell r="S916">
            <v>0</v>
          </cell>
          <cell r="T916">
            <v>0</v>
          </cell>
          <cell r="U916">
            <v>0</v>
          </cell>
          <cell r="W916">
            <v>0</v>
          </cell>
          <cell r="X916">
            <v>0</v>
          </cell>
        </row>
        <row r="917">
          <cell r="A917">
            <v>37962</v>
          </cell>
          <cell r="B917" t="str">
            <v>ShipSupport</v>
          </cell>
          <cell r="E917">
            <v>418.05000305175997</v>
          </cell>
          <cell r="F917">
            <v>48</v>
          </cell>
          <cell r="G917">
            <v>0</v>
          </cell>
          <cell r="H917">
            <v>0</v>
          </cell>
          <cell r="I917">
            <v>0</v>
          </cell>
          <cell r="L917">
            <v>0</v>
          </cell>
          <cell r="M917">
            <v>0</v>
          </cell>
          <cell r="N917">
            <v>0</v>
          </cell>
          <cell r="S917">
            <v>0</v>
          </cell>
          <cell r="T917">
            <v>0</v>
          </cell>
          <cell r="U917">
            <v>0</v>
          </cell>
          <cell r="W917">
            <v>89.05</v>
          </cell>
          <cell r="X917">
            <v>0</v>
          </cell>
        </row>
        <row r="918">
          <cell r="A918">
            <v>37962</v>
          </cell>
          <cell r="B918" t="str">
            <v>Picking</v>
          </cell>
          <cell r="E918">
            <v>1177.0832748413</v>
          </cell>
          <cell r="F918">
            <v>138</v>
          </cell>
          <cell r="G918">
            <v>103400</v>
          </cell>
          <cell r="H918">
            <v>0</v>
          </cell>
          <cell r="I918">
            <v>0</v>
          </cell>
          <cell r="L918">
            <v>0</v>
          </cell>
          <cell r="M918">
            <v>0</v>
          </cell>
          <cell r="N918">
            <v>0</v>
          </cell>
          <cell r="S918">
            <v>0</v>
          </cell>
          <cell r="T918">
            <v>0</v>
          </cell>
          <cell r="U918">
            <v>0</v>
          </cell>
          <cell r="W918">
            <v>36.203299999999999</v>
          </cell>
          <cell r="X918">
            <v>0</v>
          </cell>
        </row>
        <row r="919">
          <cell r="A919">
            <v>37962</v>
          </cell>
          <cell r="B919" t="str">
            <v>Sortation</v>
          </cell>
          <cell r="E919">
            <v>1015.7666397095001</v>
          </cell>
          <cell r="F919">
            <v>0</v>
          </cell>
          <cell r="G919">
            <v>0</v>
          </cell>
          <cell r="H919">
            <v>0</v>
          </cell>
          <cell r="I919">
            <v>0</v>
          </cell>
          <cell r="L919">
            <v>0</v>
          </cell>
          <cell r="M919">
            <v>0</v>
          </cell>
          <cell r="N919">
            <v>0</v>
          </cell>
          <cell r="S919">
            <v>0</v>
          </cell>
          <cell r="T919">
            <v>0</v>
          </cell>
          <cell r="U919">
            <v>0</v>
          </cell>
          <cell r="W919">
            <v>-126.883</v>
          </cell>
          <cell r="X919">
            <v>0</v>
          </cell>
        </row>
        <row r="920">
          <cell r="A920">
            <v>37962</v>
          </cell>
          <cell r="B920" t="str">
            <v>Rebin</v>
          </cell>
          <cell r="E920">
            <v>467.5</v>
          </cell>
          <cell r="F920">
            <v>60</v>
          </cell>
          <cell r="G920">
            <v>77975</v>
          </cell>
          <cell r="H920">
            <v>0</v>
          </cell>
          <cell r="I920">
            <v>0</v>
          </cell>
          <cell r="L920">
            <v>0</v>
          </cell>
          <cell r="M920">
            <v>0</v>
          </cell>
          <cell r="N920">
            <v>0</v>
          </cell>
          <cell r="S920">
            <v>0</v>
          </cell>
          <cell r="T920">
            <v>0</v>
          </cell>
          <cell r="U920">
            <v>0</v>
          </cell>
          <cell r="W920">
            <v>0</v>
          </cell>
          <cell r="X920">
            <v>0</v>
          </cell>
        </row>
        <row r="921">
          <cell r="A921">
            <v>37962</v>
          </cell>
          <cell r="B921" t="str">
            <v>Stack</v>
          </cell>
          <cell r="E921">
            <v>672</v>
          </cell>
          <cell r="F921">
            <v>0</v>
          </cell>
          <cell r="G921">
            <v>59697</v>
          </cell>
          <cell r="H921">
            <v>0</v>
          </cell>
          <cell r="I921">
            <v>0</v>
          </cell>
          <cell r="L921">
            <v>0</v>
          </cell>
          <cell r="M921">
            <v>0</v>
          </cell>
          <cell r="N921">
            <v>0</v>
          </cell>
          <cell r="S921">
            <v>7326</v>
          </cell>
          <cell r="T921">
            <v>0</v>
          </cell>
          <cell r="U921">
            <v>0</v>
          </cell>
          <cell r="W921">
            <v>0</v>
          </cell>
          <cell r="X921">
            <v>0</v>
          </cell>
        </row>
        <row r="922">
          <cell r="A922">
            <v>37962</v>
          </cell>
          <cell r="B922" t="str">
            <v>Bundler</v>
          </cell>
          <cell r="E922">
            <v>-123.7330031395</v>
          </cell>
          <cell r="F922">
            <v>12</v>
          </cell>
          <cell r="G922">
            <v>59697</v>
          </cell>
          <cell r="H922">
            <v>0</v>
          </cell>
          <cell r="I922">
            <v>0</v>
          </cell>
          <cell r="L922">
            <v>0</v>
          </cell>
          <cell r="M922">
            <v>0</v>
          </cell>
          <cell r="N922">
            <v>0</v>
          </cell>
          <cell r="S922">
            <v>0</v>
          </cell>
          <cell r="T922">
            <v>0</v>
          </cell>
          <cell r="U922">
            <v>0</v>
          </cell>
          <cell r="W922">
            <v>-126.883</v>
          </cell>
          <cell r="X922">
            <v>22426</v>
          </cell>
        </row>
        <row r="923">
          <cell r="A923">
            <v>37962</v>
          </cell>
          <cell r="B923" t="str">
            <v>Training</v>
          </cell>
          <cell r="E923">
            <v>0</v>
          </cell>
          <cell r="F923">
            <v>0</v>
          </cell>
          <cell r="G923">
            <v>0</v>
          </cell>
          <cell r="H923">
            <v>0</v>
          </cell>
          <cell r="I923">
            <v>0</v>
          </cell>
          <cell r="L923">
            <v>0</v>
          </cell>
          <cell r="M923">
            <v>0</v>
          </cell>
          <cell r="N923">
            <v>0</v>
          </cell>
          <cell r="S923">
            <v>0</v>
          </cell>
          <cell r="T923">
            <v>0</v>
          </cell>
          <cell r="U923">
            <v>0</v>
          </cell>
          <cell r="W923">
            <v>0</v>
          </cell>
          <cell r="X923">
            <v>0</v>
          </cell>
        </row>
        <row r="924">
          <cell r="A924">
            <v>37962</v>
          </cell>
          <cell r="B924" t="str">
            <v>Replenishment</v>
          </cell>
          <cell r="E924">
            <v>0</v>
          </cell>
          <cell r="F924">
            <v>0</v>
          </cell>
          <cell r="G924">
            <v>26627</v>
          </cell>
          <cell r="H924">
            <v>0</v>
          </cell>
          <cell r="I924">
            <v>0</v>
          </cell>
          <cell r="L924">
            <v>0</v>
          </cell>
          <cell r="M924">
            <v>0</v>
          </cell>
          <cell r="N924">
            <v>0</v>
          </cell>
          <cell r="S924">
            <v>0</v>
          </cell>
          <cell r="T924">
            <v>0</v>
          </cell>
          <cell r="U924">
            <v>0</v>
          </cell>
          <cell r="W924">
            <v>0</v>
          </cell>
          <cell r="X924">
            <v>0</v>
          </cell>
        </row>
        <row r="925">
          <cell r="A925">
            <v>37962</v>
          </cell>
          <cell r="B925" t="str">
            <v>ManualVDF</v>
          </cell>
          <cell r="E925">
            <v>145</v>
          </cell>
          <cell r="F925">
            <v>0</v>
          </cell>
          <cell r="G925">
            <v>5373</v>
          </cell>
          <cell r="H925">
            <v>0</v>
          </cell>
          <cell r="I925">
            <v>0</v>
          </cell>
          <cell r="L925">
            <v>0</v>
          </cell>
          <cell r="M925">
            <v>0</v>
          </cell>
          <cell r="N925">
            <v>0</v>
          </cell>
          <cell r="S925">
            <v>0</v>
          </cell>
          <cell r="T925">
            <v>0</v>
          </cell>
          <cell r="U925">
            <v>0</v>
          </cell>
          <cell r="W925">
            <v>0</v>
          </cell>
          <cell r="X925">
            <v>0</v>
          </cell>
        </row>
        <row r="926">
          <cell r="A926">
            <v>37962</v>
          </cell>
          <cell r="B926" t="str">
            <v>QA</v>
          </cell>
          <cell r="E926">
            <v>60.650001525878999</v>
          </cell>
          <cell r="F926">
            <v>0</v>
          </cell>
          <cell r="G926">
            <v>0</v>
          </cell>
          <cell r="H926">
            <v>0</v>
          </cell>
          <cell r="I926">
            <v>0</v>
          </cell>
          <cell r="L926">
            <v>0</v>
          </cell>
          <cell r="M926">
            <v>0</v>
          </cell>
          <cell r="N926">
            <v>0</v>
          </cell>
          <cell r="S926">
            <v>0</v>
          </cell>
          <cell r="T926">
            <v>0</v>
          </cell>
          <cell r="U926">
            <v>0</v>
          </cell>
          <cell r="W926">
            <v>84.65</v>
          </cell>
          <cell r="X926">
            <v>0</v>
          </cell>
        </row>
        <row r="927">
          <cell r="A927">
            <v>37962</v>
          </cell>
          <cell r="B927" t="str">
            <v>Offsite1Receive</v>
          </cell>
          <cell r="E927">
            <v>-91.079956054687997</v>
          </cell>
          <cell r="F927">
            <v>0</v>
          </cell>
          <cell r="G927">
            <v>0</v>
          </cell>
          <cell r="H927">
            <v>0</v>
          </cell>
          <cell r="I927">
            <v>0</v>
          </cell>
          <cell r="L927">
            <v>0</v>
          </cell>
          <cell r="M927">
            <v>0</v>
          </cell>
          <cell r="N927">
            <v>0</v>
          </cell>
          <cell r="S927">
            <v>0</v>
          </cell>
          <cell r="T927">
            <v>0</v>
          </cell>
          <cell r="U927">
            <v>0</v>
          </cell>
          <cell r="W927">
            <v>-91.08</v>
          </cell>
          <cell r="X927">
            <v>0</v>
          </cell>
        </row>
        <row r="928">
          <cell r="A928">
            <v>37962</v>
          </cell>
          <cell r="B928" t="str">
            <v>Offsite1Ship</v>
          </cell>
          <cell r="E928">
            <v>1813.4799804688</v>
          </cell>
          <cell r="F928">
            <v>132</v>
          </cell>
          <cell r="G928">
            <v>15219</v>
          </cell>
          <cell r="H928">
            <v>15219</v>
          </cell>
          <cell r="I928">
            <v>0</v>
          </cell>
          <cell r="L928">
            <v>612</v>
          </cell>
          <cell r="M928">
            <v>0</v>
          </cell>
          <cell r="N928">
            <v>0</v>
          </cell>
          <cell r="S928">
            <v>0</v>
          </cell>
          <cell r="T928">
            <v>0</v>
          </cell>
          <cell r="U928">
            <v>0</v>
          </cell>
          <cell r="W928">
            <v>0</v>
          </cell>
          <cell r="X928">
            <v>0</v>
          </cell>
        </row>
        <row r="929">
          <cell r="A929">
            <v>37962</v>
          </cell>
          <cell r="B929" t="str">
            <v>InventoryControl</v>
          </cell>
          <cell r="E929">
            <v>8</v>
          </cell>
          <cell r="F929">
            <v>0</v>
          </cell>
          <cell r="G929">
            <v>0</v>
          </cell>
          <cell r="H929">
            <v>0</v>
          </cell>
          <cell r="I929">
            <v>0</v>
          </cell>
          <cell r="L929">
            <v>0</v>
          </cell>
          <cell r="M929">
            <v>0</v>
          </cell>
          <cell r="N929">
            <v>0</v>
          </cell>
          <cell r="S929">
            <v>0</v>
          </cell>
          <cell r="T929">
            <v>0</v>
          </cell>
          <cell r="U929">
            <v>0</v>
          </cell>
          <cell r="W929">
            <v>8</v>
          </cell>
          <cell r="X929">
            <v>0</v>
          </cell>
        </row>
        <row r="930">
          <cell r="A930">
            <v>37962</v>
          </cell>
          <cell r="B930" t="str">
            <v>Office</v>
          </cell>
          <cell r="E930">
            <v>44.216667175292997</v>
          </cell>
          <cell r="F930">
            <v>0</v>
          </cell>
          <cell r="G930">
            <v>0</v>
          </cell>
          <cell r="H930">
            <v>0</v>
          </cell>
          <cell r="I930">
            <v>0</v>
          </cell>
          <cell r="L930">
            <v>0</v>
          </cell>
          <cell r="M930">
            <v>0</v>
          </cell>
          <cell r="N930">
            <v>0</v>
          </cell>
          <cell r="S930">
            <v>0</v>
          </cell>
          <cell r="T930">
            <v>0</v>
          </cell>
          <cell r="U930">
            <v>0</v>
          </cell>
          <cell r="W930">
            <v>44.216700000000003</v>
          </cell>
          <cell r="X930">
            <v>0</v>
          </cell>
        </row>
        <row r="931">
          <cell r="A931">
            <v>37962</v>
          </cell>
          <cell r="B931" t="str">
            <v>Office</v>
          </cell>
          <cell r="E931">
            <v>0</v>
          </cell>
          <cell r="F931">
            <v>0</v>
          </cell>
          <cell r="G931">
            <v>0</v>
          </cell>
          <cell r="H931">
            <v>0</v>
          </cell>
          <cell r="I931">
            <v>0</v>
          </cell>
          <cell r="L931">
            <v>0</v>
          </cell>
          <cell r="M931">
            <v>0</v>
          </cell>
          <cell r="N931">
            <v>0</v>
          </cell>
          <cell r="S931">
            <v>0</v>
          </cell>
          <cell r="T931">
            <v>0</v>
          </cell>
          <cell r="U931">
            <v>0</v>
          </cell>
          <cell r="W931">
            <v>0</v>
          </cell>
          <cell r="X931">
            <v>0</v>
          </cell>
        </row>
        <row r="932">
          <cell r="A932">
            <v>37962</v>
          </cell>
          <cell r="B932" t="str">
            <v>BMV Receive</v>
          </cell>
          <cell r="E932">
            <v>0</v>
          </cell>
          <cell r="F932">
            <v>0</v>
          </cell>
          <cell r="G932">
            <v>0</v>
          </cell>
          <cell r="H932">
            <v>0</v>
          </cell>
          <cell r="I932">
            <v>0</v>
          </cell>
          <cell r="L932">
            <v>0</v>
          </cell>
          <cell r="M932">
            <v>0</v>
          </cell>
          <cell r="N932">
            <v>0</v>
          </cell>
          <cell r="S932">
            <v>0</v>
          </cell>
          <cell r="T932">
            <v>0</v>
          </cell>
          <cell r="U932">
            <v>0</v>
          </cell>
          <cell r="W932">
            <v>0</v>
          </cell>
          <cell r="X932">
            <v>0</v>
          </cell>
        </row>
        <row r="933">
          <cell r="A933">
            <v>37962</v>
          </cell>
          <cell r="B933" t="str">
            <v>BMV Receive</v>
          </cell>
          <cell r="E933">
            <v>43.083332061767997</v>
          </cell>
          <cell r="F933">
            <v>0</v>
          </cell>
          <cell r="G933">
            <v>0</v>
          </cell>
          <cell r="H933">
            <v>0</v>
          </cell>
          <cell r="I933">
            <v>0</v>
          </cell>
          <cell r="L933">
            <v>0</v>
          </cell>
          <cell r="M933">
            <v>0</v>
          </cell>
          <cell r="N933">
            <v>0</v>
          </cell>
          <cell r="S933">
            <v>0</v>
          </cell>
          <cell r="T933">
            <v>0</v>
          </cell>
          <cell r="U933">
            <v>0</v>
          </cell>
          <cell r="W933">
            <v>43.083300000000001</v>
          </cell>
          <cell r="X933">
            <v>0</v>
          </cell>
        </row>
        <row r="934">
          <cell r="A934">
            <v>37962</v>
          </cell>
          <cell r="B934" t="str">
            <v>Picking</v>
          </cell>
          <cell r="E934">
            <v>20.16667175293</v>
          </cell>
          <cell r="F934">
            <v>0</v>
          </cell>
          <cell r="G934">
            <v>0</v>
          </cell>
          <cell r="H934">
            <v>0</v>
          </cell>
          <cell r="I934">
            <v>0</v>
          </cell>
          <cell r="L934">
            <v>0</v>
          </cell>
          <cell r="M934">
            <v>0</v>
          </cell>
          <cell r="N934">
            <v>0</v>
          </cell>
          <cell r="S934">
            <v>0</v>
          </cell>
          <cell r="T934">
            <v>0</v>
          </cell>
          <cell r="U934">
            <v>0</v>
          </cell>
          <cell r="W934">
            <v>20.166699999999999</v>
          </cell>
          <cell r="X934">
            <v>0</v>
          </cell>
        </row>
        <row r="935">
          <cell r="A935">
            <v>37962</v>
          </cell>
          <cell r="B935" t="str">
            <v>QA</v>
          </cell>
          <cell r="E935">
            <v>7.5</v>
          </cell>
          <cell r="F935">
            <v>0</v>
          </cell>
          <cell r="G935">
            <v>0</v>
          </cell>
          <cell r="H935">
            <v>0</v>
          </cell>
          <cell r="I935">
            <v>0</v>
          </cell>
          <cell r="L935">
            <v>0</v>
          </cell>
          <cell r="M935">
            <v>0</v>
          </cell>
          <cell r="N935">
            <v>0</v>
          </cell>
          <cell r="S935">
            <v>0</v>
          </cell>
          <cell r="T935">
            <v>0</v>
          </cell>
          <cell r="U935">
            <v>0</v>
          </cell>
          <cell r="W935">
            <v>7.5</v>
          </cell>
          <cell r="X935">
            <v>0</v>
          </cell>
        </row>
        <row r="936">
          <cell r="A936">
            <v>37962</v>
          </cell>
          <cell r="B936" t="str">
            <v>Vreturns</v>
          </cell>
          <cell r="E936">
            <v>0</v>
          </cell>
          <cell r="F936">
            <v>0</v>
          </cell>
          <cell r="G936">
            <v>0</v>
          </cell>
          <cell r="H936">
            <v>0</v>
          </cell>
          <cell r="I936">
            <v>0</v>
          </cell>
          <cell r="L936">
            <v>0</v>
          </cell>
          <cell r="M936">
            <v>0</v>
          </cell>
          <cell r="N936">
            <v>0</v>
          </cell>
          <cell r="S936">
            <v>0</v>
          </cell>
          <cell r="T936">
            <v>0</v>
          </cell>
          <cell r="U936">
            <v>0</v>
          </cell>
          <cell r="W936">
            <v>0</v>
          </cell>
          <cell r="X936">
            <v>0</v>
          </cell>
        </row>
        <row r="937">
          <cell r="A937">
            <v>37962</v>
          </cell>
          <cell r="B937" t="str">
            <v>Vreturns</v>
          </cell>
          <cell r="E937">
            <v>0</v>
          </cell>
          <cell r="F937">
            <v>0</v>
          </cell>
          <cell r="G937">
            <v>0</v>
          </cell>
          <cell r="H937">
            <v>0</v>
          </cell>
          <cell r="I937">
            <v>0</v>
          </cell>
          <cell r="L937">
            <v>0</v>
          </cell>
          <cell r="M937">
            <v>0</v>
          </cell>
          <cell r="N937">
            <v>0</v>
          </cell>
          <cell r="S937">
            <v>0</v>
          </cell>
          <cell r="T937">
            <v>0</v>
          </cell>
          <cell r="U937">
            <v>0</v>
          </cell>
          <cell r="W937">
            <v>0</v>
          </cell>
          <cell r="X937">
            <v>0</v>
          </cell>
        </row>
        <row r="938">
          <cell r="A938">
            <v>37962</v>
          </cell>
          <cell r="B938" t="str">
            <v>Facilities</v>
          </cell>
          <cell r="E938">
            <v>150.06666564941</v>
          </cell>
          <cell r="F938">
            <v>0</v>
          </cell>
          <cell r="G938">
            <v>0</v>
          </cell>
          <cell r="H938">
            <v>0</v>
          </cell>
          <cell r="I938">
            <v>0</v>
          </cell>
          <cell r="L938">
            <v>0</v>
          </cell>
          <cell r="M938">
            <v>0</v>
          </cell>
          <cell r="N938">
            <v>0</v>
          </cell>
          <cell r="S938">
            <v>0</v>
          </cell>
          <cell r="T938">
            <v>0</v>
          </cell>
          <cell r="U938">
            <v>0</v>
          </cell>
          <cell r="W938">
            <v>150.06700000000001</v>
          </cell>
          <cell r="X938">
            <v>0</v>
          </cell>
        </row>
        <row r="939">
          <cell r="A939">
            <v>37962</v>
          </cell>
          <cell r="B939" t="str">
            <v>Facilities</v>
          </cell>
          <cell r="E939">
            <v>0</v>
          </cell>
          <cell r="F939">
            <v>0</v>
          </cell>
          <cell r="G939">
            <v>0</v>
          </cell>
          <cell r="H939">
            <v>0</v>
          </cell>
          <cell r="I939">
            <v>0</v>
          </cell>
          <cell r="L939">
            <v>0</v>
          </cell>
          <cell r="M939">
            <v>0</v>
          </cell>
          <cell r="N939">
            <v>0</v>
          </cell>
          <cell r="S939">
            <v>0</v>
          </cell>
          <cell r="T939">
            <v>0</v>
          </cell>
          <cell r="U939">
            <v>0</v>
          </cell>
          <cell r="W939">
            <v>0</v>
          </cell>
          <cell r="X939">
            <v>0</v>
          </cell>
        </row>
        <row r="940">
          <cell r="A940">
            <v>37962</v>
          </cell>
          <cell r="B940" t="str">
            <v>SNOC</v>
          </cell>
          <cell r="E940">
            <v>12</v>
          </cell>
          <cell r="F940">
            <v>0</v>
          </cell>
          <cell r="G940">
            <v>0</v>
          </cell>
          <cell r="H940">
            <v>0</v>
          </cell>
          <cell r="I940">
            <v>0</v>
          </cell>
          <cell r="L940">
            <v>0</v>
          </cell>
          <cell r="M940">
            <v>0</v>
          </cell>
          <cell r="N940">
            <v>0</v>
          </cell>
          <cell r="S940">
            <v>0</v>
          </cell>
          <cell r="T940">
            <v>0</v>
          </cell>
          <cell r="U940">
            <v>0</v>
          </cell>
          <cell r="W940">
            <v>12</v>
          </cell>
          <cell r="X940">
            <v>0</v>
          </cell>
        </row>
        <row r="941">
          <cell r="A941">
            <v>37962</v>
          </cell>
          <cell r="B941" t="str">
            <v>Sortation</v>
          </cell>
          <cell r="E941">
            <v>-20.166656494141002</v>
          </cell>
          <cell r="F941">
            <v>0</v>
          </cell>
          <cell r="G941">
            <v>0</v>
          </cell>
          <cell r="H941">
            <v>0</v>
          </cell>
          <cell r="I941">
            <v>0</v>
          </cell>
          <cell r="L941">
            <v>0</v>
          </cell>
          <cell r="M941">
            <v>0</v>
          </cell>
          <cell r="N941">
            <v>0</v>
          </cell>
          <cell r="S941">
            <v>0</v>
          </cell>
          <cell r="T941">
            <v>0</v>
          </cell>
          <cell r="U941">
            <v>0</v>
          </cell>
          <cell r="W941">
            <v>-20.166699999999999</v>
          </cell>
          <cell r="X941">
            <v>0</v>
          </cell>
        </row>
        <row r="942">
          <cell r="A942">
            <v>37962</v>
          </cell>
          <cell r="B942" t="str">
            <v>Shipping</v>
          </cell>
          <cell r="E942">
            <v>-58.599998474121001</v>
          </cell>
          <cell r="F942">
            <v>0</v>
          </cell>
          <cell r="G942">
            <v>0</v>
          </cell>
          <cell r="H942">
            <v>0</v>
          </cell>
          <cell r="I942">
            <v>0</v>
          </cell>
          <cell r="L942">
            <v>0</v>
          </cell>
          <cell r="M942">
            <v>0</v>
          </cell>
          <cell r="N942">
            <v>0</v>
          </cell>
          <cell r="S942">
            <v>0</v>
          </cell>
          <cell r="T942">
            <v>0</v>
          </cell>
          <cell r="U942">
            <v>0</v>
          </cell>
          <cell r="W942">
            <v>-58.6</v>
          </cell>
          <cell r="X942">
            <v>0</v>
          </cell>
        </row>
        <row r="943">
          <cell r="A943">
            <v>37962</v>
          </cell>
          <cell r="B943" t="str">
            <v>CustomerService</v>
          </cell>
          <cell r="E943">
            <v>12</v>
          </cell>
          <cell r="F943">
            <v>0</v>
          </cell>
          <cell r="G943">
            <v>0</v>
          </cell>
          <cell r="H943">
            <v>0</v>
          </cell>
          <cell r="I943">
            <v>0</v>
          </cell>
          <cell r="L943">
            <v>0</v>
          </cell>
          <cell r="M943">
            <v>0</v>
          </cell>
          <cell r="N943">
            <v>0</v>
          </cell>
          <cell r="S943">
            <v>0</v>
          </cell>
          <cell r="T943">
            <v>0</v>
          </cell>
          <cell r="U943">
            <v>0</v>
          </cell>
          <cell r="W943">
            <v>12</v>
          </cell>
          <cell r="X943">
            <v>0</v>
          </cell>
        </row>
        <row r="944">
          <cell r="A944">
            <v>37962</v>
          </cell>
          <cell r="B944" t="str">
            <v>CustomerService</v>
          </cell>
          <cell r="E944">
            <v>0</v>
          </cell>
          <cell r="F944">
            <v>0</v>
          </cell>
          <cell r="G944">
            <v>0</v>
          </cell>
          <cell r="H944">
            <v>0</v>
          </cell>
          <cell r="I944">
            <v>0</v>
          </cell>
          <cell r="L944">
            <v>0</v>
          </cell>
          <cell r="M944">
            <v>0</v>
          </cell>
          <cell r="N944">
            <v>0</v>
          </cell>
          <cell r="S944">
            <v>0</v>
          </cell>
          <cell r="T944">
            <v>0</v>
          </cell>
          <cell r="U944">
            <v>0</v>
          </cell>
          <cell r="W944">
            <v>0</v>
          </cell>
          <cell r="X944">
            <v>0</v>
          </cell>
        </row>
        <row r="945">
          <cell r="A945">
            <v>37962</v>
          </cell>
          <cell r="B945" t="str">
            <v>Swat</v>
          </cell>
          <cell r="E945">
            <v>0</v>
          </cell>
          <cell r="F945">
            <v>0</v>
          </cell>
          <cell r="G945">
            <v>0</v>
          </cell>
          <cell r="H945">
            <v>0</v>
          </cell>
          <cell r="I945">
            <v>0</v>
          </cell>
          <cell r="L945">
            <v>0</v>
          </cell>
          <cell r="M945">
            <v>0</v>
          </cell>
          <cell r="N945">
            <v>0</v>
          </cell>
          <cell r="S945">
            <v>0</v>
          </cell>
          <cell r="T945">
            <v>0</v>
          </cell>
          <cell r="U945">
            <v>0</v>
          </cell>
          <cell r="W945">
            <v>0</v>
          </cell>
          <cell r="X945">
            <v>0</v>
          </cell>
        </row>
        <row r="946">
          <cell r="A946">
            <v>37962</v>
          </cell>
          <cell r="B946" t="str">
            <v>Offsite1Receive</v>
          </cell>
          <cell r="E946">
            <v>81.800003051757997</v>
          </cell>
          <cell r="F946">
            <v>0</v>
          </cell>
          <cell r="G946">
            <v>0</v>
          </cell>
          <cell r="H946">
            <v>0</v>
          </cell>
          <cell r="I946">
            <v>0</v>
          </cell>
          <cell r="L946">
            <v>0</v>
          </cell>
          <cell r="M946">
            <v>0</v>
          </cell>
          <cell r="N946">
            <v>0</v>
          </cell>
          <cell r="S946">
            <v>0</v>
          </cell>
          <cell r="T946">
            <v>0</v>
          </cell>
          <cell r="U946">
            <v>0</v>
          </cell>
          <cell r="W946">
            <v>81.8</v>
          </cell>
          <cell r="X946">
            <v>0</v>
          </cell>
        </row>
        <row r="947">
          <cell r="A947">
            <v>37962</v>
          </cell>
          <cell r="B947" t="str">
            <v>Bundler</v>
          </cell>
          <cell r="E947">
            <v>-20.166700363158998</v>
          </cell>
          <cell r="F947">
            <v>0</v>
          </cell>
          <cell r="G947">
            <v>0</v>
          </cell>
          <cell r="H947">
            <v>0</v>
          </cell>
          <cell r="I947">
            <v>0</v>
          </cell>
          <cell r="L947">
            <v>0</v>
          </cell>
          <cell r="M947">
            <v>0</v>
          </cell>
          <cell r="N947">
            <v>0</v>
          </cell>
          <cell r="S947">
            <v>0</v>
          </cell>
          <cell r="T947">
            <v>0</v>
          </cell>
          <cell r="U947">
            <v>0</v>
          </cell>
          <cell r="W947">
            <v>-20.166699999999999</v>
          </cell>
          <cell r="X947">
            <v>0</v>
          </cell>
        </row>
        <row r="948">
          <cell r="A948">
            <v>37961</v>
          </cell>
          <cell r="B948" t="str">
            <v>Picking</v>
          </cell>
          <cell r="E948">
            <v>29.10000038147</v>
          </cell>
          <cell r="F948">
            <v>0</v>
          </cell>
          <cell r="G948">
            <v>0</v>
          </cell>
          <cell r="H948">
            <v>0</v>
          </cell>
          <cell r="I948">
            <v>0</v>
          </cell>
          <cell r="L948">
            <v>0</v>
          </cell>
          <cell r="M948">
            <v>0</v>
          </cell>
          <cell r="N948">
            <v>0</v>
          </cell>
          <cell r="S948">
            <v>0</v>
          </cell>
          <cell r="T948">
            <v>0</v>
          </cell>
          <cell r="U948">
            <v>0</v>
          </cell>
          <cell r="W948">
            <v>29.1</v>
          </cell>
          <cell r="X948">
            <v>0</v>
          </cell>
        </row>
        <row r="949">
          <cell r="A949">
            <v>37961</v>
          </cell>
          <cell r="B949" t="str">
            <v>Sortation</v>
          </cell>
          <cell r="E949">
            <v>7.0999999046326003</v>
          </cell>
          <cell r="F949">
            <v>0</v>
          </cell>
          <cell r="G949">
            <v>0</v>
          </cell>
          <cell r="H949">
            <v>0</v>
          </cell>
          <cell r="I949">
            <v>0</v>
          </cell>
          <cell r="L949">
            <v>0</v>
          </cell>
          <cell r="M949">
            <v>0</v>
          </cell>
          <cell r="N949">
            <v>0</v>
          </cell>
          <cell r="S949">
            <v>0</v>
          </cell>
          <cell r="T949">
            <v>0</v>
          </cell>
          <cell r="U949">
            <v>0</v>
          </cell>
          <cell r="W949">
            <v>7.1</v>
          </cell>
          <cell r="X949">
            <v>0</v>
          </cell>
        </row>
        <row r="950">
          <cell r="A950">
            <v>37961</v>
          </cell>
          <cell r="B950" t="str">
            <v>Rebin</v>
          </cell>
          <cell r="E950">
            <v>0</v>
          </cell>
          <cell r="F950">
            <v>0</v>
          </cell>
          <cell r="G950">
            <v>0</v>
          </cell>
          <cell r="H950">
            <v>0</v>
          </cell>
          <cell r="I950">
            <v>0</v>
          </cell>
          <cell r="L950">
            <v>0</v>
          </cell>
          <cell r="M950">
            <v>0</v>
          </cell>
          <cell r="N950">
            <v>0</v>
          </cell>
          <cell r="S950">
            <v>0</v>
          </cell>
          <cell r="T950">
            <v>0</v>
          </cell>
          <cell r="U950">
            <v>0</v>
          </cell>
          <cell r="W950">
            <v>0</v>
          </cell>
          <cell r="X950">
            <v>0</v>
          </cell>
        </row>
        <row r="951">
          <cell r="A951">
            <v>37961</v>
          </cell>
          <cell r="B951" t="str">
            <v>Stack</v>
          </cell>
          <cell r="E951">
            <v>0</v>
          </cell>
          <cell r="F951">
            <v>0</v>
          </cell>
          <cell r="G951">
            <v>0</v>
          </cell>
          <cell r="H951">
            <v>0</v>
          </cell>
          <cell r="I951">
            <v>0</v>
          </cell>
          <cell r="L951">
            <v>0</v>
          </cell>
          <cell r="M951">
            <v>0</v>
          </cell>
          <cell r="N951">
            <v>0</v>
          </cell>
          <cell r="S951">
            <v>0</v>
          </cell>
          <cell r="T951">
            <v>0</v>
          </cell>
          <cell r="U951">
            <v>0</v>
          </cell>
          <cell r="W951">
            <v>0</v>
          </cell>
          <cell r="X951">
            <v>0</v>
          </cell>
        </row>
        <row r="952">
          <cell r="A952">
            <v>37961</v>
          </cell>
          <cell r="B952" t="str">
            <v>Bundler</v>
          </cell>
          <cell r="E952">
            <v>7.0999999046326003</v>
          </cell>
          <cell r="F952">
            <v>0</v>
          </cell>
          <cell r="G952">
            <v>0</v>
          </cell>
          <cell r="H952">
            <v>0</v>
          </cell>
          <cell r="I952">
            <v>0</v>
          </cell>
          <cell r="L952">
            <v>0</v>
          </cell>
          <cell r="M952">
            <v>0</v>
          </cell>
          <cell r="N952">
            <v>0</v>
          </cell>
          <cell r="S952">
            <v>0</v>
          </cell>
          <cell r="T952">
            <v>0</v>
          </cell>
          <cell r="U952">
            <v>0</v>
          </cell>
          <cell r="W952">
            <v>7.1</v>
          </cell>
          <cell r="X952">
            <v>0</v>
          </cell>
        </row>
        <row r="953">
          <cell r="A953">
            <v>37961</v>
          </cell>
          <cell r="B953" t="str">
            <v>CReturns</v>
          </cell>
          <cell r="E953">
            <v>10.599999904633</v>
          </cell>
          <cell r="F953">
            <v>0</v>
          </cell>
          <cell r="G953">
            <v>451</v>
          </cell>
          <cell r="H953">
            <v>0</v>
          </cell>
          <cell r="I953">
            <v>0</v>
          </cell>
          <cell r="L953">
            <v>0</v>
          </cell>
          <cell r="M953">
            <v>0</v>
          </cell>
          <cell r="N953">
            <v>0</v>
          </cell>
          <cell r="S953">
            <v>0</v>
          </cell>
          <cell r="T953">
            <v>0</v>
          </cell>
          <cell r="U953">
            <v>0</v>
          </cell>
          <cell r="W953">
            <v>0.6</v>
          </cell>
          <cell r="X953">
            <v>0</v>
          </cell>
        </row>
        <row r="954">
          <cell r="A954">
            <v>37961</v>
          </cell>
          <cell r="B954" t="str">
            <v>Vreturns</v>
          </cell>
          <cell r="E954">
            <v>18.5</v>
          </cell>
          <cell r="F954">
            <v>0</v>
          </cell>
          <cell r="G954">
            <v>0</v>
          </cell>
          <cell r="H954">
            <v>0</v>
          </cell>
          <cell r="I954">
            <v>0</v>
          </cell>
          <cell r="L954">
            <v>0</v>
          </cell>
          <cell r="M954">
            <v>0</v>
          </cell>
          <cell r="N954">
            <v>0</v>
          </cell>
          <cell r="S954">
            <v>0</v>
          </cell>
          <cell r="T954">
            <v>0</v>
          </cell>
          <cell r="U954">
            <v>0</v>
          </cell>
          <cell r="W954">
            <v>-3.5</v>
          </cell>
          <cell r="X954">
            <v>0</v>
          </cell>
        </row>
        <row r="955">
          <cell r="A955">
            <v>37961</v>
          </cell>
          <cell r="B955" t="str">
            <v>Picking</v>
          </cell>
          <cell r="E955">
            <v>1044.8000488281</v>
          </cell>
          <cell r="F955">
            <v>0</v>
          </cell>
          <cell r="G955">
            <v>81559</v>
          </cell>
          <cell r="H955">
            <v>0</v>
          </cell>
          <cell r="I955">
            <v>0</v>
          </cell>
          <cell r="L955">
            <v>0</v>
          </cell>
          <cell r="M955">
            <v>0</v>
          </cell>
          <cell r="N955">
            <v>0</v>
          </cell>
          <cell r="S955">
            <v>0</v>
          </cell>
          <cell r="T955">
            <v>0</v>
          </cell>
          <cell r="U955">
            <v>0</v>
          </cell>
          <cell r="W955">
            <v>143.30000000000001</v>
          </cell>
          <cell r="X955">
            <v>0</v>
          </cell>
        </row>
        <row r="956">
          <cell r="A956">
            <v>37961</v>
          </cell>
          <cell r="B956" t="str">
            <v>Shipping</v>
          </cell>
          <cell r="E956">
            <v>907.46667480469</v>
          </cell>
          <cell r="F956">
            <v>0</v>
          </cell>
          <cell r="G956">
            <v>0</v>
          </cell>
          <cell r="H956">
            <v>0</v>
          </cell>
          <cell r="I956">
            <v>0</v>
          </cell>
          <cell r="L956">
            <v>0</v>
          </cell>
          <cell r="M956">
            <v>0</v>
          </cell>
          <cell r="N956">
            <v>0</v>
          </cell>
          <cell r="S956">
            <v>0</v>
          </cell>
          <cell r="T956">
            <v>0</v>
          </cell>
          <cell r="U956">
            <v>0</v>
          </cell>
          <cell r="W956">
            <v>67.216700000000003</v>
          </cell>
          <cell r="X956">
            <v>14889</v>
          </cell>
        </row>
        <row r="957">
          <cell r="A957">
            <v>37961</v>
          </cell>
          <cell r="B957" t="str">
            <v>Autobox</v>
          </cell>
          <cell r="E957">
            <v>360</v>
          </cell>
          <cell r="F957">
            <v>141.5</v>
          </cell>
          <cell r="G957">
            <v>26144</v>
          </cell>
          <cell r="H957">
            <v>0</v>
          </cell>
          <cell r="I957">
            <v>0</v>
          </cell>
          <cell r="L957">
            <v>0</v>
          </cell>
          <cell r="M957">
            <v>0</v>
          </cell>
          <cell r="N957">
            <v>0</v>
          </cell>
          <cell r="S957">
            <v>0</v>
          </cell>
          <cell r="T957">
            <v>0</v>
          </cell>
          <cell r="U957">
            <v>0</v>
          </cell>
          <cell r="W957">
            <v>0</v>
          </cell>
          <cell r="X957">
            <v>0</v>
          </cell>
        </row>
        <row r="958">
          <cell r="A958">
            <v>37961</v>
          </cell>
          <cell r="B958" t="str">
            <v>Levimatic</v>
          </cell>
          <cell r="E958">
            <v>37.5</v>
          </cell>
          <cell r="F958">
            <v>25.5</v>
          </cell>
          <cell r="G958">
            <v>5057</v>
          </cell>
          <cell r="H958">
            <v>0</v>
          </cell>
          <cell r="I958">
            <v>0</v>
          </cell>
          <cell r="L958">
            <v>0</v>
          </cell>
          <cell r="M958">
            <v>0</v>
          </cell>
          <cell r="N958">
            <v>0</v>
          </cell>
          <cell r="S958">
            <v>0</v>
          </cell>
          <cell r="T958">
            <v>0</v>
          </cell>
          <cell r="U958">
            <v>0</v>
          </cell>
          <cell r="W958">
            <v>0</v>
          </cell>
          <cell r="X958">
            <v>0</v>
          </cell>
        </row>
        <row r="959">
          <cell r="A959">
            <v>37961</v>
          </cell>
          <cell r="B959" t="str">
            <v>Giftwrap</v>
          </cell>
          <cell r="E959">
            <v>225</v>
          </cell>
          <cell r="F959">
            <v>0</v>
          </cell>
          <cell r="G959">
            <v>3095</v>
          </cell>
          <cell r="H959">
            <v>0</v>
          </cell>
          <cell r="I959">
            <v>0</v>
          </cell>
          <cell r="L959">
            <v>0</v>
          </cell>
          <cell r="M959">
            <v>0</v>
          </cell>
          <cell r="N959">
            <v>0</v>
          </cell>
          <cell r="S959">
            <v>0</v>
          </cell>
          <cell r="T959">
            <v>0</v>
          </cell>
          <cell r="U959">
            <v>0</v>
          </cell>
          <cell r="W959">
            <v>0</v>
          </cell>
          <cell r="X959">
            <v>0</v>
          </cell>
        </row>
        <row r="960">
          <cell r="A960">
            <v>37961</v>
          </cell>
          <cell r="B960" t="str">
            <v>ShipSupport</v>
          </cell>
          <cell r="E960">
            <v>284.96669769287001</v>
          </cell>
          <cell r="F960">
            <v>48</v>
          </cell>
          <cell r="G960">
            <v>0</v>
          </cell>
          <cell r="H960">
            <v>0</v>
          </cell>
          <cell r="I960">
            <v>0</v>
          </cell>
          <cell r="L960">
            <v>0</v>
          </cell>
          <cell r="M960">
            <v>0</v>
          </cell>
          <cell r="N960">
            <v>0</v>
          </cell>
          <cell r="S960">
            <v>0</v>
          </cell>
          <cell r="T960">
            <v>0</v>
          </cell>
          <cell r="U960">
            <v>0</v>
          </cell>
          <cell r="W960">
            <v>67.216700000000003</v>
          </cell>
          <cell r="X960">
            <v>0</v>
          </cell>
        </row>
        <row r="961">
          <cell r="A961">
            <v>37961</v>
          </cell>
          <cell r="B961" t="str">
            <v>Offsite1Ship</v>
          </cell>
          <cell r="E961">
            <v>0</v>
          </cell>
          <cell r="F961">
            <v>0</v>
          </cell>
          <cell r="G961">
            <v>0</v>
          </cell>
          <cell r="H961">
            <v>0</v>
          </cell>
          <cell r="I961">
            <v>0</v>
          </cell>
          <cell r="L961">
            <v>0</v>
          </cell>
          <cell r="M961">
            <v>0</v>
          </cell>
          <cell r="N961">
            <v>0</v>
          </cell>
          <cell r="S961">
            <v>0</v>
          </cell>
          <cell r="T961">
            <v>0</v>
          </cell>
          <cell r="U961">
            <v>0</v>
          </cell>
          <cell r="W961">
            <v>0</v>
          </cell>
          <cell r="X961">
            <v>0</v>
          </cell>
        </row>
        <row r="962">
          <cell r="A962">
            <v>37961</v>
          </cell>
          <cell r="B962" t="str">
            <v>InventoryControl</v>
          </cell>
          <cell r="E962">
            <v>137.01667022705001</v>
          </cell>
          <cell r="F962">
            <v>0</v>
          </cell>
          <cell r="G962">
            <v>0</v>
          </cell>
          <cell r="H962">
            <v>0</v>
          </cell>
          <cell r="I962">
            <v>0</v>
          </cell>
          <cell r="L962">
            <v>0</v>
          </cell>
          <cell r="M962">
            <v>0</v>
          </cell>
          <cell r="N962">
            <v>0</v>
          </cell>
          <cell r="S962">
            <v>0</v>
          </cell>
          <cell r="T962">
            <v>0</v>
          </cell>
          <cell r="U962">
            <v>0</v>
          </cell>
          <cell r="W962">
            <v>108.517</v>
          </cell>
          <cell r="X962">
            <v>0</v>
          </cell>
        </row>
        <row r="963">
          <cell r="A963">
            <v>37961</v>
          </cell>
          <cell r="B963" t="str">
            <v>BMV Receive</v>
          </cell>
          <cell r="E963">
            <v>192.83334350586</v>
          </cell>
          <cell r="F963">
            <v>22.84</v>
          </cell>
          <cell r="G963">
            <v>51471</v>
          </cell>
          <cell r="H963">
            <v>28261</v>
          </cell>
          <cell r="I963">
            <v>0</v>
          </cell>
          <cell r="L963">
            <v>110.5</v>
          </cell>
          <cell r="M963">
            <v>0</v>
          </cell>
          <cell r="N963">
            <v>10</v>
          </cell>
          <cell r="S963">
            <v>0</v>
          </cell>
          <cell r="T963">
            <v>20.5</v>
          </cell>
          <cell r="U963">
            <v>0</v>
          </cell>
          <cell r="W963">
            <v>49.493299999999998</v>
          </cell>
          <cell r="X963">
            <v>0</v>
          </cell>
        </row>
        <row r="964">
          <cell r="A964">
            <v>37961</v>
          </cell>
          <cell r="B964" t="str">
            <v>BMV Stow</v>
          </cell>
          <cell r="E964">
            <v>59.5</v>
          </cell>
          <cell r="F964">
            <v>14</v>
          </cell>
          <cell r="G964">
            <v>44939</v>
          </cell>
          <cell r="H964">
            <v>36315</v>
          </cell>
          <cell r="I964">
            <v>8624</v>
          </cell>
          <cell r="L964">
            <v>45.5</v>
          </cell>
          <cell r="M964">
            <v>14</v>
          </cell>
          <cell r="N964">
            <v>0</v>
          </cell>
          <cell r="S964">
            <v>0</v>
          </cell>
          <cell r="T964">
            <v>0</v>
          </cell>
          <cell r="U964">
            <v>0</v>
          </cell>
          <cell r="W964">
            <v>-14</v>
          </cell>
          <cell r="X964">
            <v>0</v>
          </cell>
        </row>
        <row r="965">
          <cell r="A965">
            <v>37961</v>
          </cell>
          <cell r="B965" t="str">
            <v>Offsite1Ship</v>
          </cell>
          <cell r="E965">
            <v>1432.9899902344</v>
          </cell>
          <cell r="F965">
            <v>132</v>
          </cell>
          <cell r="G965">
            <v>12619</v>
          </cell>
          <cell r="H965">
            <v>12619</v>
          </cell>
          <cell r="I965">
            <v>0</v>
          </cell>
          <cell r="L965">
            <v>0</v>
          </cell>
          <cell r="M965">
            <v>0</v>
          </cell>
          <cell r="N965">
            <v>0</v>
          </cell>
          <cell r="S965">
            <v>0</v>
          </cell>
          <cell r="T965">
            <v>0</v>
          </cell>
          <cell r="U965">
            <v>0</v>
          </cell>
          <cell r="W965">
            <v>0</v>
          </cell>
          <cell r="X965">
            <v>0</v>
          </cell>
        </row>
        <row r="966">
          <cell r="A966">
            <v>37961</v>
          </cell>
          <cell r="B966" t="str">
            <v>Sortation</v>
          </cell>
          <cell r="E966">
            <v>1098.8666992188</v>
          </cell>
          <cell r="F966">
            <v>0</v>
          </cell>
          <cell r="G966">
            <v>0</v>
          </cell>
          <cell r="H966">
            <v>0</v>
          </cell>
          <cell r="I966">
            <v>0</v>
          </cell>
          <cell r="L966">
            <v>0</v>
          </cell>
          <cell r="M966">
            <v>0</v>
          </cell>
          <cell r="N966">
            <v>0</v>
          </cell>
          <cell r="S966">
            <v>0</v>
          </cell>
          <cell r="T966">
            <v>0</v>
          </cell>
          <cell r="U966">
            <v>0</v>
          </cell>
          <cell r="W966">
            <v>134.36699999999999</v>
          </cell>
          <cell r="X966">
            <v>0</v>
          </cell>
        </row>
        <row r="967">
          <cell r="A967">
            <v>37961</v>
          </cell>
          <cell r="B967" t="str">
            <v>Rebin</v>
          </cell>
          <cell r="E967">
            <v>373</v>
          </cell>
          <cell r="F967">
            <v>48</v>
          </cell>
          <cell r="G967">
            <v>53344</v>
          </cell>
          <cell r="H967">
            <v>0</v>
          </cell>
          <cell r="I967">
            <v>0</v>
          </cell>
          <cell r="L967">
            <v>0</v>
          </cell>
          <cell r="M967">
            <v>0</v>
          </cell>
          <cell r="N967">
            <v>0</v>
          </cell>
          <cell r="S967">
            <v>0</v>
          </cell>
          <cell r="T967">
            <v>0</v>
          </cell>
          <cell r="U967">
            <v>0</v>
          </cell>
          <cell r="W967">
            <v>0</v>
          </cell>
          <cell r="X967">
            <v>0</v>
          </cell>
        </row>
        <row r="968">
          <cell r="A968">
            <v>37961</v>
          </cell>
          <cell r="B968" t="str">
            <v>Stack</v>
          </cell>
          <cell r="E968">
            <v>344.5</v>
          </cell>
          <cell r="F968">
            <v>0</v>
          </cell>
          <cell r="G968">
            <v>41493</v>
          </cell>
          <cell r="H968">
            <v>0</v>
          </cell>
          <cell r="I968">
            <v>0</v>
          </cell>
          <cell r="L968">
            <v>0</v>
          </cell>
          <cell r="M968">
            <v>0</v>
          </cell>
          <cell r="N968">
            <v>0</v>
          </cell>
          <cell r="S968">
            <v>1339</v>
          </cell>
          <cell r="T968">
            <v>0</v>
          </cell>
          <cell r="U968">
            <v>0</v>
          </cell>
          <cell r="W968">
            <v>0</v>
          </cell>
          <cell r="X968">
            <v>0</v>
          </cell>
        </row>
        <row r="969">
          <cell r="A969">
            <v>37961</v>
          </cell>
          <cell r="B969" t="str">
            <v>Bundler</v>
          </cell>
          <cell r="E969">
            <v>381.36700439453</v>
          </cell>
          <cell r="F969">
            <v>0</v>
          </cell>
          <cell r="G969">
            <v>41493</v>
          </cell>
          <cell r="H969">
            <v>0</v>
          </cell>
          <cell r="I969">
            <v>0</v>
          </cell>
          <cell r="L969">
            <v>0</v>
          </cell>
          <cell r="M969">
            <v>0</v>
          </cell>
          <cell r="N969">
            <v>0</v>
          </cell>
          <cell r="S969">
            <v>0</v>
          </cell>
          <cell r="T969">
            <v>0</v>
          </cell>
          <cell r="U969">
            <v>0</v>
          </cell>
          <cell r="W969">
            <v>134.36699999999999</v>
          </cell>
          <cell r="X969">
            <v>12973</v>
          </cell>
        </row>
        <row r="970">
          <cell r="A970">
            <v>37961</v>
          </cell>
          <cell r="B970" t="str">
            <v>Offsite1Receive</v>
          </cell>
          <cell r="E970">
            <v>137.64331054688</v>
          </cell>
          <cell r="F970">
            <v>0</v>
          </cell>
          <cell r="G970">
            <v>0</v>
          </cell>
          <cell r="H970">
            <v>0</v>
          </cell>
          <cell r="I970">
            <v>0</v>
          </cell>
          <cell r="L970">
            <v>0</v>
          </cell>
          <cell r="M970">
            <v>0</v>
          </cell>
          <cell r="N970">
            <v>0</v>
          </cell>
          <cell r="S970">
            <v>0</v>
          </cell>
          <cell r="T970">
            <v>0</v>
          </cell>
          <cell r="U970">
            <v>0</v>
          </cell>
          <cell r="W970">
            <v>137.643</v>
          </cell>
          <cell r="X970">
            <v>0</v>
          </cell>
        </row>
        <row r="971">
          <cell r="A971">
            <v>37961</v>
          </cell>
          <cell r="B971" t="str">
            <v>InventoryControl</v>
          </cell>
          <cell r="E971">
            <v>0</v>
          </cell>
          <cell r="F971">
            <v>0</v>
          </cell>
          <cell r="G971">
            <v>0</v>
          </cell>
          <cell r="H971">
            <v>0</v>
          </cell>
          <cell r="I971">
            <v>0</v>
          </cell>
          <cell r="L971">
            <v>0</v>
          </cell>
          <cell r="M971">
            <v>0</v>
          </cell>
          <cell r="N971">
            <v>0</v>
          </cell>
          <cell r="S971">
            <v>0</v>
          </cell>
          <cell r="T971">
            <v>0</v>
          </cell>
          <cell r="U971">
            <v>0</v>
          </cell>
          <cell r="W971">
            <v>0</v>
          </cell>
          <cell r="X971">
            <v>0</v>
          </cell>
        </row>
        <row r="972">
          <cell r="A972">
            <v>37961</v>
          </cell>
          <cell r="B972" t="str">
            <v>Office</v>
          </cell>
          <cell r="E972">
            <v>57.549999237061002</v>
          </cell>
          <cell r="F972">
            <v>0</v>
          </cell>
          <cell r="G972">
            <v>0</v>
          </cell>
          <cell r="H972">
            <v>0</v>
          </cell>
          <cell r="I972">
            <v>0</v>
          </cell>
          <cell r="L972">
            <v>0</v>
          </cell>
          <cell r="M972">
            <v>0</v>
          </cell>
          <cell r="N972">
            <v>0</v>
          </cell>
          <cell r="S972">
            <v>0</v>
          </cell>
          <cell r="T972">
            <v>0</v>
          </cell>
          <cell r="U972">
            <v>0</v>
          </cell>
          <cell r="W972">
            <v>57.55</v>
          </cell>
          <cell r="X972">
            <v>0</v>
          </cell>
        </row>
        <row r="973">
          <cell r="A973">
            <v>37961</v>
          </cell>
          <cell r="B973" t="str">
            <v>Office</v>
          </cell>
          <cell r="E973">
            <v>0</v>
          </cell>
          <cell r="F973">
            <v>0</v>
          </cell>
          <cell r="G973">
            <v>0</v>
          </cell>
          <cell r="H973">
            <v>0</v>
          </cell>
          <cell r="I973">
            <v>0</v>
          </cell>
          <cell r="L973">
            <v>0</v>
          </cell>
          <cell r="M973">
            <v>0</v>
          </cell>
          <cell r="N973">
            <v>0</v>
          </cell>
          <cell r="S973">
            <v>0</v>
          </cell>
          <cell r="T973">
            <v>0</v>
          </cell>
          <cell r="U973">
            <v>0</v>
          </cell>
          <cell r="W973">
            <v>0</v>
          </cell>
          <cell r="X973">
            <v>0</v>
          </cell>
        </row>
        <row r="974">
          <cell r="A974">
            <v>37961</v>
          </cell>
          <cell r="B974" t="str">
            <v>BMV Receive</v>
          </cell>
          <cell r="E974">
            <v>0</v>
          </cell>
          <cell r="F974">
            <v>0</v>
          </cell>
          <cell r="G974">
            <v>0</v>
          </cell>
          <cell r="H974">
            <v>0</v>
          </cell>
          <cell r="I974">
            <v>0</v>
          </cell>
          <cell r="L974">
            <v>0</v>
          </cell>
          <cell r="M974">
            <v>0</v>
          </cell>
          <cell r="N974">
            <v>0</v>
          </cell>
          <cell r="S974">
            <v>0</v>
          </cell>
          <cell r="T974">
            <v>0</v>
          </cell>
          <cell r="U974">
            <v>0</v>
          </cell>
          <cell r="W974">
            <v>0</v>
          </cell>
          <cell r="X974">
            <v>0</v>
          </cell>
        </row>
        <row r="975">
          <cell r="A975">
            <v>37961</v>
          </cell>
          <cell r="B975" t="str">
            <v>QA</v>
          </cell>
          <cell r="E975">
            <v>126.63333129883</v>
          </cell>
          <cell r="F975">
            <v>0</v>
          </cell>
          <cell r="G975">
            <v>0</v>
          </cell>
          <cell r="H975">
            <v>0</v>
          </cell>
          <cell r="I975">
            <v>0</v>
          </cell>
          <cell r="L975">
            <v>0</v>
          </cell>
          <cell r="M975">
            <v>0</v>
          </cell>
          <cell r="N975">
            <v>0</v>
          </cell>
          <cell r="S975">
            <v>0</v>
          </cell>
          <cell r="T975">
            <v>0</v>
          </cell>
          <cell r="U975">
            <v>0</v>
          </cell>
          <cell r="W975">
            <v>114.633</v>
          </cell>
          <cell r="X975">
            <v>0</v>
          </cell>
        </row>
        <row r="976">
          <cell r="A976">
            <v>37961</v>
          </cell>
          <cell r="B976" t="str">
            <v>QA</v>
          </cell>
          <cell r="E976">
            <v>0</v>
          </cell>
          <cell r="F976">
            <v>0</v>
          </cell>
          <cell r="G976">
            <v>0</v>
          </cell>
          <cell r="H976">
            <v>0</v>
          </cell>
          <cell r="I976">
            <v>0</v>
          </cell>
          <cell r="L976">
            <v>0</v>
          </cell>
          <cell r="M976">
            <v>0</v>
          </cell>
          <cell r="N976">
            <v>0</v>
          </cell>
          <cell r="S976">
            <v>0</v>
          </cell>
          <cell r="T976">
            <v>0</v>
          </cell>
          <cell r="U976">
            <v>0</v>
          </cell>
          <cell r="W976">
            <v>0</v>
          </cell>
          <cell r="X976">
            <v>0</v>
          </cell>
        </row>
        <row r="977">
          <cell r="A977">
            <v>37961</v>
          </cell>
          <cell r="B977" t="str">
            <v>Facilities</v>
          </cell>
          <cell r="E977">
            <v>76.266666412353999</v>
          </cell>
          <cell r="F977">
            <v>0</v>
          </cell>
          <cell r="G977">
            <v>0</v>
          </cell>
          <cell r="H977">
            <v>0</v>
          </cell>
          <cell r="I977">
            <v>0</v>
          </cell>
          <cell r="L977">
            <v>0</v>
          </cell>
          <cell r="M977">
            <v>0</v>
          </cell>
          <cell r="N977">
            <v>0</v>
          </cell>
          <cell r="S977">
            <v>0</v>
          </cell>
          <cell r="T977">
            <v>0</v>
          </cell>
          <cell r="U977">
            <v>0</v>
          </cell>
          <cell r="W977">
            <v>40.2667</v>
          </cell>
          <cell r="X977">
            <v>0</v>
          </cell>
        </row>
        <row r="978">
          <cell r="A978">
            <v>37961</v>
          </cell>
          <cell r="B978" t="str">
            <v>Facilities</v>
          </cell>
          <cell r="E978">
            <v>0</v>
          </cell>
          <cell r="F978">
            <v>0</v>
          </cell>
          <cell r="G978">
            <v>0</v>
          </cell>
          <cell r="H978">
            <v>0</v>
          </cell>
          <cell r="I978">
            <v>0</v>
          </cell>
          <cell r="L978">
            <v>0</v>
          </cell>
          <cell r="M978">
            <v>0</v>
          </cell>
          <cell r="N978">
            <v>0</v>
          </cell>
          <cell r="S978">
            <v>0</v>
          </cell>
          <cell r="T978">
            <v>0</v>
          </cell>
          <cell r="U978">
            <v>0</v>
          </cell>
          <cell r="W978">
            <v>0</v>
          </cell>
          <cell r="X978">
            <v>0</v>
          </cell>
        </row>
        <row r="979">
          <cell r="A979">
            <v>37961</v>
          </cell>
          <cell r="B979" t="str">
            <v>SNOC</v>
          </cell>
          <cell r="E979">
            <v>11.616666793823001</v>
          </cell>
          <cell r="F979">
            <v>0</v>
          </cell>
          <cell r="G979">
            <v>0</v>
          </cell>
          <cell r="H979">
            <v>0</v>
          </cell>
          <cell r="I979">
            <v>0</v>
          </cell>
          <cell r="L979">
            <v>0</v>
          </cell>
          <cell r="M979">
            <v>0</v>
          </cell>
          <cell r="N979">
            <v>0</v>
          </cell>
          <cell r="S979">
            <v>0</v>
          </cell>
          <cell r="T979">
            <v>0</v>
          </cell>
          <cell r="U979">
            <v>0</v>
          </cell>
          <cell r="W979">
            <v>11.6167</v>
          </cell>
          <cell r="X979">
            <v>0</v>
          </cell>
        </row>
        <row r="980">
          <cell r="A980">
            <v>37961</v>
          </cell>
          <cell r="B980" t="str">
            <v>Shipping</v>
          </cell>
          <cell r="E980">
            <v>0</v>
          </cell>
          <cell r="F980">
            <v>0</v>
          </cell>
          <cell r="G980">
            <v>0</v>
          </cell>
          <cell r="H980">
            <v>0</v>
          </cell>
          <cell r="I980">
            <v>0</v>
          </cell>
          <cell r="L980">
            <v>0</v>
          </cell>
          <cell r="M980">
            <v>0</v>
          </cell>
          <cell r="N980">
            <v>0</v>
          </cell>
          <cell r="S980">
            <v>0</v>
          </cell>
          <cell r="T980">
            <v>0</v>
          </cell>
          <cell r="U980">
            <v>0</v>
          </cell>
          <cell r="W980">
            <v>0</v>
          </cell>
          <cell r="X980">
            <v>0</v>
          </cell>
        </row>
        <row r="981">
          <cell r="A981">
            <v>37961</v>
          </cell>
          <cell r="B981" t="str">
            <v>CustomerService</v>
          </cell>
          <cell r="E981">
            <v>3.5</v>
          </cell>
          <cell r="F981">
            <v>0</v>
          </cell>
          <cell r="G981">
            <v>0</v>
          </cell>
          <cell r="H981">
            <v>0</v>
          </cell>
          <cell r="I981">
            <v>0</v>
          </cell>
          <cell r="L981">
            <v>0</v>
          </cell>
          <cell r="M981">
            <v>0</v>
          </cell>
          <cell r="N981">
            <v>0</v>
          </cell>
          <cell r="S981">
            <v>0</v>
          </cell>
          <cell r="T981">
            <v>0</v>
          </cell>
          <cell r="U981">
            <v>0</v>
          </cell>
          <cell r="W981">
            <v>3.5</v>
          </cell>
          <cell r="X981">
            <v>0</v>
          </cell>
        </row>
        <row r="982">
          <cell r="A982">
            <v>37961</v>
          </cell>
          <cell r="B982" t="str">
            <v>CustomerService</v>
          </cell>
          <cell r="E982">
            <v>0</v>
          </cell>
          <cell r="F982">
            <v>0</v>
          </cell>
          <cell r="G982">
            <v>0</v>
          </cell>
          <cell r="H982">
            <v>0</v>
          </cell>
          <cell r="I982">
            <v>0</v>
          </cell>
          <cell r="L982">
            <v>0</v>
          </cell>
          <cell r="M982">
            <v>0</v>
          </cell>
          <cell r="N982">
            <v>0</v>
          </cell>
          <cell r="S982">
            <v>0</v>
          </cell>
          <cell r="T982">
            <v>0</v>
          </cell>
          <cell r="U982">
            <v>0</v>
          </cell>
          <cell r="W982">
            <v>0</v>
          </cell>
          <cell r="X982">
            <v>0</v>
          </cell>
        </row>
        <row r="983">
          <cell r="A983">
            <v>37961</v>
          </cell>
          <cell r="B983" t="str">
            <v>Swat</v>
          </cell>
          <cell r="E983">
            <v>0</v>
          </cell>
          <cell r="F983">
            <v>0</v>
          </cell>
          <cell r="G983">
            <v>0</v>
          </cell>
          <cell r="H983">
            <v>0</v>
          </cell>
          <cell r="I983">
            <v>0</v>
          </cell>
          <cell r="L983">
            <v>0</v>
          </cell>
          <cell r="M983">
            <v>0</v>
          </cell>
          <cell r="N983">
            <v>0</v>
          </cell>
          <cell r="S983">
            <v>0</v>
          </cell>
          <cell r="T983">
            <v>0</v>
          </cell>
          <cell r="U983">
            <v>0</v>
          </cell>
          <cell r="W983">
            <v>0</v>
          </cell>
          <cell r="X983">
            <v>0</v>
          </cell>
        </row>
        <row r="984">
          <cell r="A984">
            <v>37961</v>
          </cell>
          <cell r="B984" t="str">
            <v>Training</v>
          </cell>
          <cell r="E984">
            <v>232.5</v>
          </cell>
          <cell r="F984">
            <v>0</v>
          </cell>
          <cell r="G984">
            <v>0</v>
          </cell>
          <cell r="H984">
            <v>0</v>
          </cell>
          <cell r="I984">
            <v>0</v>
          </cell>
          <cell r="L984">
            <v>0</v>
          </cell>
          <cell r="M984">
            <v>0</v>
          </cell>
          <cell r="N984">
            <v>0</v>
          </cell>
          <cell r="S984">
            <v>0</v>
          </cell>
          <cell r="T984">
            <v>0</v>
          </cell>
          <cell r="U984">
            <v>0</v>
          </cell>
          <cell r="W984">
            <v>0</v>
          </cell>
          <cell r="X984">
            <v>0</v>
          </cell>
        </row>
        <row r="985">
          <cell r="A985">
            <v>37961</v>
          </cell>
          <cell r="B985" t="str">
            <v>Replenishment</v>
          </cell>
          <cell r="E985">
            <v>55</v>
          </cell>
          <cell r="F985">
            <v>0</v>
          </cell>
          <cell r="G985">
            <v>12518</v>
          </cell>
          <cell r="H985">
            <v>0</v>
          </cell>
          <cell r="I985">
            <v>0</v>
          </cell>
          <cell r="L985">
            <v>0</v>
          </cell>
          <cell r="M985">
            <v>0</v>
          </cell>
          <cell r="N985">
            <v>0</v>
          </cell>
          <cell r="S985">
            <v>0</v>
          </cell>
          <cell r="T985">
            <v>0</v>
          </cell>
          <cell r="U985">
            <v>0</v>
          </cell>
          <cell r="W985">
            <v>0</v>
          </cell>
          <cell r="X985">
            <v>0</v>
          </cell>
        </row>
        <row r="986">
          <cell r="A986">
            <v>37961</v>
          </cell>
          <cell r="B986" t="str">
            <v>Offsite1Receive</v>
          </cell>
          <cell r="E986">
            <v>30.25</v>
          </cell>
          <cell r="F986">
            <v>0</v>
          </cell>
          <cell r="G986">
            <v>0</v>
          </cell>
          <cell r="H986">
            <v>0</v>
          </cell>
          <cell r="I986">
            <v>0</v>
          </cell>
          <cell r="L986">
            <v>0</v>
          </cell>
          <cell r="M986">
            <v>0</v>
          </cell>
          <cell r="N986">
            <v>0</v>
          </cell>
          <cell r="S986">
            <v>0</v>
          </cell>
          <cell r="T986">
            <v>0</v>
          </cell>
          <cell r="U986">
            <v>0</v>
          </cell>
          <cell r="W986">
            <v>30.25</v>
          </cell>
          <cell r="X986">
            <v>0</v>
          </cell>
        </row>
        <row r="987">
          <cell r="A987">
            <v>37960</v>
          </cell>
          <cell r="B987" t="str">
            <v>Picking</v>
          </cell>
          <cell r="E987">
            <v>482.96667480469</v>
          </cell>
          <cell r="F987">
            <v>0</v>
          </cell>
          <cell r="G987">
            <v>44828</v>
          </cell>
          <cell r="H987">
            <v>0</v>
          </cell>
          <cell r="I987">
            <v>0</v>
          </cell>
          <cell r="L987">
            <v>0</v>
          </cell>
          <cell r="M987">
            <v>0</v>
          </cell>
          <cell r="N987">
            <v>0</v>
          </cell>
          <cell r="S987">
            <v>0</v>
          </cell>
          <cell r="T987">
            <v>0</v>
          </cell>
          <cell r="U987">
            <v>0</v>
          </cell>
          <cell r="W987">
            <v>35.966700000000003</v>
          </cell>
          <cell r="X987">
            <v>0</v>
          </cell>
        </row>
        <row r="988">
          <cell r="A988">
            <v>37960</v>
          </cell>
          <cell r="B988" t="str">
            <v>Sortation</v>
          </cell>
          <cell r="E988">
            <v>451.06665039062</v>
          </cell>
          <cell r="F988">
            <v>0</v>
          </cell>
          <cell r="G988">
            <v>0</v>
          </cell>
          <cell r="H988">
            <v>0</v>
          </cell>
          <cell r="I988">
            <v>0</v>
          </cell>
          <cell r="L988">
            <v>0</v>
          </cell>
          <cell r="M988">
            <v>0</v>
          </cell>
          <cell r="N988">
            <v>0</v>
          </cell>
          <cell r="S988">
            <v>0</v>
          </cell>
          <cell r="T988">
            <v>0</v>
          </cell>
          <cell r="U988">
            <v>0</v>
          </cell>
          <cell r="W988">
            <v>-34.433300000000003</v>
          </cell>
          <cell r="X988">
            <v>0</v>
          </cell>
        </row>
        <row r="989">
          <cell r="A989">
            <v>37960</v>
          </cell>
          <cell r="B989" t="str">
            <v>Rebin</v>
          </cell>
          <cell r="E989">
            <v>202.5</v>
          </cell>
          <cell r="F989">
            <v>61</v>
          </cell>
          <cell r="G989">
            <v>32446</v>
          </cell>
          <cell r="H989">
            <v>0</v>
          </cell>
          <cell r="I989">
            <v>0</v>
          </cell>
          <cell r="L989">
            <v>0</v>
          </cell>
          <cell r="M989">
            <v>0</v>
          </cell>
          <cell r="N989">
            <v>0</v>
          </cell>
          <cell r="S989">
            <v>0</v>
          </cell>
          <cell r="T989">
            <v>0</v>
          </cell>
          <cell r="U989">
            <v>0</v>
          </cell>
          <cell r="W989">
            <v>0</v>
          </cell>
          <cell r="X989">
            <v>0</v>
          </cell>
        </row>
        <row r="990">
          <cell r="A990">
            <v>37960</v>
          </cell>
          <cell r="B990" t="str">
            <v>Stack</v>
          </cell>
          <cell r="E990">
            <v>146</v>
          </cell>
          <cell r="F990">
            <v>0</v>
          </cell>
          <cell r="G990">
            <v>27244</v>
          </cell>
          <cell r="H990">
            <v>0</v>
          </cell>
          <cell r="I990">
            <v>0</v>
          </cell>
          <cell r="L990">
            <v>0</v>
          </cell>
          <cell r="M990">
            <v>0</v>
          </cell>
          <cell r="N990">
            <v>0</v>
          </cell>
          <cell r="S990">
            <v>2765</v>
          </cell>
          <cell r="T990">
            <v>0</v>
          </cell>
          <cell r="U990">
            <v>0</v>
          </cell>
          <cell r="W990">
            <v>0</v>
          </cell>
          <cell r="X990">
            <v>0</v>
          </cell>
        </row>
        <row r="991">
          <cell r="A991">
            <v>37960</v>
          </cell>
          <cell r="B991" t="str">
            <v>Bundler</v>
          </cell>
          <cell r="E991">
            <v>102.56669998168999</v>
          </cell>
          <cell r="F991">
            <v>0</v>
          </cell>
          <cell r="G991">
            <v>27244</v>
          </cell>
          <cell r="H991">
            <v>0</v>
          </cell>
          <cell r="I991">
            <v>0</v>
          </cell>
          <cell r="L991">
            <v>0</v>
          </cell>
          <cell r="M991">
            <v>0</v>
          </cell>
          <cell r="N991">
            <v>0</v>
          </cell>
          <cell r="S991">
            <v>0</v>
          </cell>
          <cell r="T991">
            <v>0</v>
          </cell>
          <cell r="U991">
            <v>0</v>
          </cell>
          <cell r="W991">
            <v>-34.433300000000003</v>
          </cell>
          <cell r="X991">
            <v>8718</v>
          </cell>
        </row>
        <row r="992">
          <cell r="A992">
            <v>37960</v>
          </cell>
          <cell r="B992" t="str">
            <v>InventoryControl</v>
          </cell>
          <cell r="E992">
            <v>140.54999542236001</v>
          </cell>
          <cell r="F992">
            <v>0</v>
          </cell>
          <cell r="G992">
            <v>0</v>
          </cell>
          <cell r="H992">
            <v>0</v>
          </cell>
          <cell r="I992">
            <v>0</v>
          </cell>
          <cell r="L992">
            <v>0</v>
          </cell>
          <cell r="M992">
            <v>0</v>
          </cell>
          <cell r="N992">
            <v>0</v>
          </cell>
          <cell r="S992">
            <v>0</v>
          </cell>
          <cell r="T992">
            <v>0</v>
          </cell>
          <cell r="U992">
            <v>0</v>
          </cell>
          <cell r="W992">
            <v>4.9995400000000002E-2</v>
          </cell>
          <cell r="X992">
            <v>0</v>
          </cell>
        </row>
        <row r="993">
          <cell r="A993">
            <v>37960</v>
          </cell>
          <cell r="B993" t="str">
            <v>Shipping</v>
          </cell>
          <cell r="E993">
            <v>847.16668701172</v>
          </cell>
          <cell r="F993">
            <v>0</v>
          </cell>
          <cell r="G993">
            <v>0</v>
          </cell>
          <cell r="H993">
            <v>0</v>
          </cell>
          <cell r="I993">
            <v>0</v>
          </cell>
          <cell r="L993">
            <v>0</v>
          </cell>
          <cell r="M993">
            <v>0</v>
          </cell>
          <cell r="N993">
            <v>0</v>
          </cell>
          <cell r="S993">
            <v>0</v>
          </cell>
          <cell r="T993">
            <v>0</v>
          </cell>
          <cell r="U993">
            <v>0</v>
          </cell>
          <cell r="W993">
            <v>29.666699999999999</v>
          </cell>
          <cell r="X993">
            <v>15764</v>
          </cell>
        </row>
        <row r="994">
          <cell r="A994">
            <v>37960</v>
          </cell>
          <cell r="B994" t="str">
            <v>Autobox</v>
          </cell>
          <cell r="E994">
            <v>302</v>
          </cell>
          <cell r="F994">
            <v>23</v>
          </cell>
          <cell r="G994">
            <v>28014</v>
          </cell>
          <cell r="H994">
            <v>0</v>
          </cell>
          <cell r="I994">
            <v>0</v>
          </cell>
          <cell r="L994">
            <v>0</v>
          </cell>
          <cell r="M994">
            <v>0</v>
          </cell>
          <cell r="N994">
            <v>0</v>
          </cell>
          <cell r="S994">
            <v>0</v>
          </cell>
          <cell r="T994">
            <v>0</v>
          </cell>
          <cell r="U994">
            <v>0</v>
          </cell>
          <cell r="W994">
            <v>0</v>
          </cell>
          <cell r="X994">
            <v>0</v>
          </cell>
        </row>
        <row r="995">
          <cell r="A995">
            <v>37960</v>
          </cell>
          <cell r="B995" t="str">
            <v>Levimatic</v>
          </cell>
          <cell r="E995">
            <v>30.5</v>
          </cell>
          <cell r="F995">
            <v>0</v>
          </cell>
          <cell r="G995">
            <v>5718</v>
          </cell>
          <cell r="H995">
            <v>0</v>
          </cell>
          <cell r="I995">
            <v>0</v>
          </cell>
          <cell r="L995">
            <v>0</v>
          </cell>
          <cell r="M995">
            <v>0</v>
          </cell>
          <cell r="N995">
            <v>0</v>
          </cell>
          <cell r="S995">
            <v>0</v>
          </cell>
          <cell r="T995">
            <v>0</v>
          </cell>
          <cell r="U995">
            <v>0</v>
          </cell>
          <cell r="W995">
            <v>0</v>
          </cell>
          <cell r="X995">
            <v>0</v>
          </cell>
        </row>
        <row r="996">
          <cell r="A996">
            <v>37960</v>
          </cell>
          <cell r="B996" t="str">
            <v>Giftwrap</v>
          </cell>
          <cell r="E996">
            <v>169.5</v>
          </cell>
          <cell r="F996">
            <v>0</v>
          </cell>
          <cell r="G996">
            <v>2767</v>
          </cell>
          <cell r="H996">
            <v>0</v>
          </cell>
          <cell r="I996">
            <v>0</v>
          </cell>
          <cell r="L996">
            <v>0</v>
          </cell>
          <cell r="M996">
            <v>0</v>
          </cell>
          <cell r="N996">
            <v>0</v>
          </cell>
          <cell r="S996">
            <v>0</v>
          </cell>
          <cell r="T996">
            <v>0</v>
          </cell>
          <cell r="U996">
            <v>0</v>
          </cell>
          <cell r="W996">
            <v>0</v>
          </cell>
          <cell r="X996">
            <v>2767</v>
          </cell>
        </row>
        <row r="997">
          <cell r="A997">
            <v>37960</v>
          </cell>
          <cell r="B997" t="str">
            <v>ShipSupport</v>
          </cell>
          <cell r="E997">
            <v>345.16670036315998</v>
          </cell>
          <cell r="F997">
            <v>57</v>
          </cell>
          <cell r="G997">
            <v>0</v>
          </cell>
          <cell r="H997">
            <v>0</v>
          </cell>
          <cell r="I997">
            <v>0</v>
          </cell>
          <cell r="L997">
            <v>0</v>
          </cell>
          <cell r="M997">
            <v>0</v>
          </cell>
          <cell r="N997">
            <v>0</v>
          </cell>
          <cell r="S997">
            <v>0</v>
          </cell>
          <cell r="T997">
            <v>0</v>
          </cell>
          <cell r="U997">
            <v>0</v>
          </cell>
          <cell r="W997">
            <v>29.666699999999999</v>
          </cell>
          <cell r="X997">
            <v>0</v>
          </cell>
        </row>
        <row r="998">
          <cell r="A998">
            <v>37960</v>
          </cell>
          <cell r="B998" t="str">
            <v>CReturns</v>
          </cell>
          <cell r="E998">
            <v>10.300000190735</v>
          </cell>
          <cell r="F998">
            <v>0</v>
          </cell>
          <cell r="G998">
            <v>472</v>
          </cell>
          <cell r="H998">
            <v>472</v>
          </cell>
          <cell r="I998">
            <v>0</v>
          </cell>
          <cell r="L998">
            <v>10</v>
          </cell>
          <cell r="M998">
            <v>0</v>
          </cell>
          <cell r="N998">
            <v>0</v>
          </cell>
          <cell r="S998">
            <v>0</v>
          </cell>
          <cell r="T998">
            <v>0</v>
          </cell>
          <cell r="U998">
            <v>0</v>
          </cell>
          <cell r="W998">
            <v>-0.2</v>
          </cell>
          <cell r="X998">
            <v>0</v>
          </cell>
        </row>
        <row r="999">
          <cell r="A999">
            <v>37960</v>
          </cell>
          <cell r="B999" t="str">
            <v>Vreturns</v>
          </cell>
          <cell r="E999">
            <v>16.700000762938998</v>
          </cell>
          <cell r="F999">
            <v>0</v>
          </cell>
          <cell r="G999">
            <v>1212</v>
          </cell>
          <cell r="H999">
            <v>0</v>
          </cell>
          <cell r="I999">
            <v>0</v>
          </cell>
          <cell r="L999">
            <v>0</v>
          </cell>
          <cell r="M999">
            <v>0</v>
          </cell>
          <cell r="N999">
            <v>0</v>
          </cell>
          <cell r="S999">
            <v>0</v>
          </cell>
          <cell r="T999">
            <v>0</v>
          </cell>
          <cell r="U999">
            <v>0</v>
          </cell>
          <cell r="W999">
            <v>0.95000099999999998</v>
          </cell>
          <cell r="X999">
            <v>0</v>
          </cell>
        </row>
        <row r="1000">
          <cell r="A1000">
            <v>37960</v>
          </cell>
          <cell r="B1000" t="str">
            <v>Offsite1Ship</v>
          </cell>
          <cell r="E1000">
            <v>1871.1700439453</v>
          </cell>
          <cell r="F1000">
            <v>144</v>
          </cell>
          <cell r="G1000">
            <v>16652</v>
          </cell>
          <cell r="H1000">
            <v>16854</v>
          </cell>
          <cell r="I1000">
            <v>0</v>
          </cell>
          <cell r="L1000">
            <v>780</v>
          </cell>
          <cell r="M1000">
            <v>0</v>
          </cell>
          <cell r="N1000">
            <v>0</v>
          </cell>
          <cell r="S1000">
            <v>0</v>
          </cell>
          <cell r="T1000">
            <v>0</v>
          </cell>
          <cell r="U1000">
            <v>0</v>
          </cell>
          <cell r="W1000">
            <v>0</v>
          </cell>
          <cell r="X1000">
            <v>0</v>
          </cell>
        </row>
        <row r="1001">
          <cell r="A1001">
            <v>37960</v>
          </cell>
          <cell r="B1001" t="str">
            <v>BMV Receive</v>
          </cell>
          <cell r="E1001">
            <v>369.84997558594</v>
          </cell>
          <cell r="F1001">
            <v>80.150000000000006</v>
          </cell>
          <cell r="G1001">
            <v>64793</v>
          </cell>
          <cell r="H1001">
            <v>42283</v>
          </cell>
          <cell r="I1001">
            <v>0</v>
          </cell>
          <cell r="L1001">
            <v>213.5</v>
          </cell>
          <cell r="M1001">
            <v>0</v>
          </cell>
          <cell r="N1001">
            <v>30</v>
          </cell>
          <cell r="S1001">
            <v>0</v>
          </cell>
          <cell r="T1001">
            <v>24</v>
          </cell>
          <cell r="U1001">
            <v>0</v>
          </cell>
          <cell r="W1001">
            <v>46.2</v>
          </cell>
          <cell r="X1001">
            <v>0</v>
          </cell>
        </row>
        <row r="1002">
          <cell r="A1002">
            <v>37960</v>
          </cell>
          <cell r="B1002" t="str">
            <v>BMV Stow</v>
          </cell>
          <cell r="E1002">
            <v>187</v>
          </cell>
          <cell r="F1002">
            <v>0</v>
          </cell>
          <cell r="G1002">
            <v>61863</v>
          </cell>
          <cell r="H1002">
            <v>45687</v>
          </cell>
          <cell r="I1002">
            <v>16176</v>
          </cell>
          <cell r="L1002">
            <v>127</v>
          </cell>
          <cell r="M1002">
            <v>23</v>
          </cell>
          <cell r="N1002">
            <v>0</v>
          </cell>
          <cell r="S1002">
            <v>0</v>
          </cell>
          <cell r="T1002">
            <v>0</v>
          </cell>
          <cell r="U1002">
            <v>0</v>
          </cell>
          <cell r="W1002">
            <v>0</v>
          </cell>
          <cell r="X1002">
            <v>0</v>
          </cell>
        </row>
        <row r="1003">
          <cell r="A1003">
            <v>37960</v>
          </cell>
          <cell r="B1003" t="str">
            <v>Sortation</v>
          </cell>
          <cell r="E1003">
            <v>999.94995117188</v>
          </cell>
          <cell r="F1003">
            <v>0</v>
          </cell>
          <cell r="G1003">
            <v>0</v>
          </cell>
          <cell r="H1003">
            <v>0</v>
          </cell>
          <cell r="I1003">
            <v>0</v>
          </cell>
          <cell r="L1003">
            <v>0</v>
          </cell>
          <cell r="M1003">
            <v>0</v>
          </cell>
          <cell r="N1003">
            <v>0</v>
          </cell>
          <cell r="S1003">
            <v>0</v>
          </cell>
          <cell r="T1003">
            <v>0</v>
          </cell>
          <cell r="U1003">
            <v>0</v>
          </cell>
          <cell r="W1003">
            <v>69.900000000000006</v>
          </cell>
          <cell r="X1003">
            <v>0</v>
          </cell>
        </row>
        <row r="1004">
          <cell r="A1004">
            <v>37960</v>
          </cell>
          <cell r="B1004" t="str">
            <v>Rebin</v>
          </cell>
          <cell r="E1004">
            <v>353.5</v>
          </cell>
          <cell r="F1004">
            <v>75.5</v>
          </cell>
          <cell r="G1004">
            <v>60279</v>
          </cell>
          <cell r="H1004">
            <v>0</v>
          </cell>
          <cell r="I1004">
            <v>0</v>
          </cell>
          <cell r="L1004">
            <v>0</v>
          </cell>
          <cell r="M1004">
            <v>0</v>
          </cell>
          <cell r="N1004">
            <v>0</v>
          </cell>
          <cell r="S1004">
            <v>0</v>
          </cell>
          <cell r="T1004">
            <v>0</v>
          </cell>
          <cell r="U1004">
            <v>0</v>
          </cell>
          <cell r="W1004">
            <v>0</v>
          </cell>
          <cell r="X1004">
            <v>0</v>
          </cell>
        </row>
        <row r="1005">
          <cell r="A1005">
            <v>37960</v>
          </cell>
          <cell r="B1005" t="str">
            <v>Stack</v>
          </cell>
          <cell r="E1005">
            <v>380</v>
          </cell>
          <cell r="F1005">
            <v>0</v>
          </cell>
          <cell r="G1005">
            <v>55110</v>
          </cell>
          <cell r="H1005">
            <v>0</v>
          </cell>
          <cell r="I1005">
            <v>0</v>
          </cell>
          <cell r="L1005">
            <v>0</v>
          </cell>
          <cell r="M1005">
            <v>0</v>
          </cell>
          <cell r="N1005">
            <v>0</v>
          </cell>
          <cell r="S1005">
            <v>1284</v>
          </cell>
          <cell r="T1005">
            <v>0</v>
          </cell>
          <cell r="U1005">
            <v>0</v>
          </cell>
          <cell r="W1005">
            <v>0</v>
          </cell>
          <cell r="X1005">
            <v>0</v>
          </cell>
        </row>
        <row r="1006">
          <cell r="A1006">
            <v>37960</v>
          </cell>
          <cell r="B1006" t="str">
            <v>Bundler</v>
          </cell>
          <cell r="E1006">
            <v>266.45000457764002</v>
          </cell>
          <cell r="F1006">
            <v>0</v>
          </cell>
          <cell r="G1006">
            <v>55110</v>
          </cell>
          <cell r="H1006">
            <v>0</v>
          </cell>
          <cell r="I1006">
            <v>0</v>
          </cell>
          <cell r="L1006">
            <v>0</v>
          </cell>
          <cell r="M1006">
            <v>0</v>
          </cell>
          <cell r="N1006">
            <v>0</v>
          </cell>
          <cell r="S1006">
            <v>0</v>
          </cell>
          <cell r="T1006">
            <v>0</v>
          </cell>
          <cell r="U1006">
            <v>0</v>
          </cell>
          <cell r="W1006">
            <v>69.900000000000006</v>
          </cell>
          <cell r="X1006">
            <v>13641</v>
          </cell>
        </row>
        <row r="1007">
          <cell r="A1007">
            <v>37960</v>
          </cell>
          <cell r="B1007" t="str">
            <v>Picking</v>
          </cell>
          <cell r="E1007">
            <v>889.89996337891</v>
          </cell>
          <cell r="F1007">
            <v>0</v>
          </cell>
          <cell r="G1007">
            <v>72505</v>
          </cell>
          <cell r="H1007">
            <v>0</v>
          </cell>
          <cell r="I1007">
            <v>0</v>
          </cell>
          <cell r="L1007">
            <v>0</v>
          </cell>
          <cell r="M1007">
            <v>0</v>
          </cell>
          <cell r="N1007">
            <v>0</v>
          </cell>
          <cell r="S1007">
            <v>0</v>
          </cell>
          <cell r="T1007">
            <v>0</v>
          </cell>
          <cell r="U1007">
            <v>0</v>
          </cell>
          <cell r="W1007">
            <v>54.15</v>
          </cell>
          <cell r="X1007">
            <v>0</v>
          </cell>
        </row>
        <row r="1008">
          <cell r="A1008">
            <v>37960</v>
          </cell>
          <cell r="B1008" t="str">
            <v>ManualVDF</v>
          </cell>
          <cell r="E1008">
            <v>49.5</v>
          </cell>
          <cell r="F1008">
            <v>0</v>
          </cell>
          <cell r="G1008">
            <v>1932</v>
          </cell>
          <cell r="H1008">
            <v>0</v>
          </cell>
          <cell r="I1008">
            <v>0</v>
          </cell>
          <cell r="L1008">
            <v>0</v>
          </cell>
          <cell r="M1008">
            <v>0</v>
          </cell>
          <cell r="N1008">
            <v>0</v>
          </cell>
          <cell r="S1008">
            <v>0</v>
          </cell>
          <cell r="T1008">
            <v>0</v>
          </cell>
          <cell r="U1008">
            <v>0</v>
          </cell>
          <cell r="W1008">
            <v>0</v>
          </cell>
          <cell r="X1008">
            <v>1932</v>
          </cell>
        </row>
        <row r="1009">
          <cell r="A1009">
            <v>37960</v>
          </cell>
          <cell r="B1009" t="str">
            <v>Offsite1Receive</v>
          </cell>
          <cell r="E1009">
            <v>529.96325683594</v>
          </cell>
          <cell r="F1009">
            <v>12</v>
          </cell>
          <cell r="G1009">
            <v>5819</v>
          </cell>
          <cell r="H1009">
            <v>0</v>
          </cell>
          <cell r="I1009">
            <v>0</v>
          </cell>
          <cell r="L1009">
            <v>0</v>
          </cell>
          <cell r="M1009">
            <v>0</v>
          </cell>
          <cell r="N1009">
            <v>0</v>
          </cell>
          <cell r="S1009">
            <v>0</v>
          </cell>
          <cell r="T1009">
            <v>0</v>
          </cell>
          <cell r="U1009">
            <v>0</v>
          </cell>
          <cell r="W1009">
            <v>459.96300000000002</v>
          </cell>
          <cell r="X1009">
            <v>0</v>
          </cell>
        </row>
        <row r="1010">
          <cell r="A1010">
            <v>37960</v>
          </cell>
          <cell r="B1010" t="str">
            <v>BMV Receive</v>
          </cell>
          <cell r="E1010">
            <v>143.86000061035</v>
          </cell>
          <cell r="F1010">
            <v>0</v>
          </cell>
          <cell r="G1010">
            <v>22285</v>
          </cell>
          <cell r="H1010">
            <v>22285</v>
          </cell>
          <cell r="I1010">
            <v>0</v>
          </cell>
          <cell r="L1010">
            <v>153</v>
          </cell>
          <cell r="M1010">
            <v>0</v>
          </cell>
          <cell r="N1010">
            <v>0</v>
          </cell>
          <cell r="S1010">
            <v>0</v>
          </cell>
          <cell r="T1010">
            <v>47.5</v>
          </cell>
          <cell r="U1010">
            <v>0</v>
          </cell>
          <cell r="W1010">
            <v>-9.14</v>
          </cell>
          <cell r="X1010">
            <v>0</v>
          </cell>
        </row>
        <row r="1011">
          <cell r="A1011">
            <v>37960</v>
          </cell>
          <cell r="B1011" t="str">
            <v>BMV Stow</v>
          </cell>
          <cell r="E1011">
            <v>85.5</v>
          </cell>
          <cell r="F1011">
            <v>0</v>
          </cell>
          <cell r="G1011">
            <v>38823</v>
          </cell>
          <cell r="H1011">
            <v>30233</v>
          </cell>
          <cell r="I1011">
            <v>8590</v>
          </cell>
          <cell r="L1011">
            <v>86.5</v>
          </cell>
          <cell r="M1011">
            <v>3.5</v>
          </cell>
          <cell r="N1011">
            <v>0</v>
          </cell>
          <cell r="S1011">
            <v>0</v>
          </cell>
          <cell r="T1011">
            <v>0</v>
          </cell>
          <cell r="U1011">
            <v>0</v>
          </cell>
          <cell r="W1011">
            <v>0</v>
          </cell>
          <cell r="X1011">
            <v>0</v>
          </cell>
        </row>
        <row r="1012">
          <cell r="A1012">
            <v>37960</v>
          </cell>
          <cell r="B1012" t="str">
            <v>Replenishment</v>
          </cell>
          <cell r="E1012">
            <v>119.04000091553</v>
          </cell>
          <cell r="F1012">
            <v>0</v>
          </cell>
          <cell r="G1012">
            <v>31700</v>
          </cell>
          <cell r="H1012">
            <v>0</v>
          </cell>
          <cell r="I1012">
            <v>0</v>
          </cell>
          <cell r="L1012">
            <v>0</v>
          </cell>
          <cell r="M1012">
            <v>0</v>
          </cell>
          <cell r="N1012">
            <v>0</v>
          </cell>
          <cell r="S1012">
            <v>0</v>
          </cell>
          <cell r="T1012">
            <v>0</v>
          </cell>
          <cell r="U1012">
            <v>0</v>
          </cell>
          <cell r="W1012">
            <v>0</v>
          </cell>
          <cell r="X1012">
            <v>0</v>
          </cell>
        </row>
        <row r="1013">
          <cell r="A1013">
            <v>37960</v>
          </cell>
          <cell r="B1013" t="str">
            <v>Shipping</v>
          </cell>
          <cell r="E1013">
            <v>478.45001220703</v>
          </cell>
          <cell r="F1013">
            <v>0</v>
          </cell>
          <cell r="G1013">
            <v>0</v>
          </cell>
          <cell r="H1013">
            <v>0</v>
          </cell>
          <cell r="I1013">
            <v>0</v>
          </cell>
          <cell r="L1013">
            <v>0</v>
          </cell>
          <cell r="M1013">
            <v>0</v>
          </cell>
          <cell r="N1013">
            <v>0</v>
          </cell>
          <cell r="S1013">
            <v>0</v>
          </cell>
          <cell r="T1013">
            <v>0</v>
          </cell>
          <cell r="U1013">
            <v>0</v>
          </cell>
          <cell r="W1013">
            <v>32.450000000000003</v>
          </cell>
          <cell r="X1013">
            <v>0</v>
          </cell>
        </row>
        <row r="1014">
          <cell r="A1014">
            <v>37960</v>
          </cell>
          <cell r="B1014" t="str">
            <v>Autobox</v>
          </cell>
          <cell r="E1014">
            <v>142</v>
          </cell>
          <cell r="F1014">
            <v>30</v>
          </cell>
          <cell r="G1014">
            <v>13141</v>
          </cell>
          <cell r="H1014">
            <v>0</v>
          </cell>
          <cell r="I1014">
            <v>0</v>
          </cell>
          <cell r="L1014">
            <v>0</v>
          </cell>
          <cell r="M1014">
            <v>0</v>
          </cell>
          <cell r="N1014">
            <v>0</v>
          </cell>
          <cell r="S1014">
            <v>0</v>
          </cell>
          <cell r="T1014">
            <v>0</v>
          </cell>
          <cell r="U1014">
            <v>0</v>
          </cell>
          <cell r="W1014">
            <v>0</v>
          </cell>
          <cell r="X1014">
            <v>0</v>
          </cell>
        </row>
        <row r="1015">
          <cell r="A1015">
            <v>37960</v>
          </cell>
          <cell r="B1015" t="str">
            <v>Levimatic</v>
          </cell>
          <cell r="E1015">
            <v>26</v>
          </cell>
          <cell r="F1015">
            <v>9</v>
          </cell>
          <cell r="G1015">
            <v>1619</v>
          </cell>
          <cell r="H1015">
            <v>0</v>
          </cell>
          <cell r="I1015">
            <v>0</v>
          </cell>
          <cell r="L1015">
            <v>0</v>
          </cell>
          <cell r="M1015">
            <v>0</v>
          </cell>
          <cell r="N1015">
            <v>0</v>
          </cell>
          <cell r="S1015">
            <v>0</v>
          </cell>
          <cell r="T1015">
            <v>0</v>
          </cell>
          <cell r="U1015">
            <v>0</v>
          </cell>
          <cell r="W1015">
            <v>0</v>
          </cell>
          <cell r="X1015">
            <v>0</v>
          </cell>
        </row>
        <row r="1016">
          <cell r="A1016">
            <v>37960</v>
          </cell>
          <cell r="B1016" t="str">
            <v>Giftwrap</v>
          </cell>
          <cell r="E1016">
            <v>87.5</v>
          </cell>
          <cell r="F1016">
            <v>0</v>
          </cell>
          <cell r="G1016">
            <v>1467</v>
          </cell>
          <cell r="H1016">
            <v>0</v>
          </cell>
          <cell r="I1016">
            <v>0</v>
          </cell>
          <cell r="L1016">
            <v>0</v>
          </cell>
          <cell r="M1016">
            <v>0</v>
          </cell>
          <cell r="N1016">
            <v>0</v>
          </cell>
          <cell r="S1016">
            <v>0</v>
          </cell>
          <cell r="T1016">
            <v>0</v>
          </cell>
          <cell r="U1016">
            <v>0</v>
          </cell>
          <cell r="W1016">
            <v>0</v>
          </cell>
          <cell r="X1016">
            <v>0</v>
          </cell>
        </row>
        <row r="1017">
          <cell r="A1017">
            <v>37960</v>
          </cell>
          <cell r="B1017" t="str">
            <v>ShipSupport</v>
          </cell>
          <cell r="E1017">
            <v>222.95000076293999</v>
          </cell>
          <cell r="F1017">
            <v>107</v>
          </cell>
          <cell r="G1017">
            <v>0</v>
          </cell>
          <cell r="H1017">
            <v>0</v>
          </cell>
          <cell r="I1017">
            <v>0</v>
          </cell>
          <cell r="L1017">
            <v>0</v>
          </cell>
          <cell r="M1017">
            <v>0</v>
          </cell>
          <cell r="N1017">
            <v>0</v>
          </cell>
          <cell r="S1017">
            <v>0</v>
          </cell>
          <cell r="T1017">
            <v>0</v>
          </cell>
          <cell r="U1017">
            <v>0</v>
          </cell>
          <cell r="W1017">
            <v>32.450000000000003</v>
          </cell>
          <cell r="X1017">
            <v>0</v>
          </cell>
        </row>
        <row r="1018">
          <cell r="A1018">
            <v>37960</v>
          </cell>
          <cell r="B1018" t="str">
            <v>QA</v>
          </cell>
          <cell r="E1018">
            <v>160.88333129883</v>
          </cell>
          <cell r="F1018">
            <v>0</v>
          </cell>
          <cell r="G1018">
            <v>0</v>
          </cell>
          <cell r="H1018">
            <v>0</v>
          </cell>
          <cell r="I1018">
            <v>0</v>
          </cell>
          <cell r="L1018">
            <v>0</v>
          </cell>
          <cell r="M1018">
            <v>0</v>
          </cell>
          <cell r="N1018">
            <v>0</v>
          </cell>
          <cell r="S1018">
            <v>0</v>
          </cell>
          <cell r="T1018">
            <v>0</v>
          </cell>
          <cell r="U1018">
            <v>0</v>
          </cell>
          <cell r="W1018">
            <v>36.383299999999998</v>
          </cell>
          <cell r="X1018">
            <v>0</v>
          </cell>
        </row>
        <row r="1019">
          <cell r="A1019">
            <v>37960</v>
          </cell>
          <cell r="B1019" t="str">
            <v>Offsite1Receive</v>
          </cell>
          <cell r="E1019">
            <v>77.183319091797003</v>
          </cell>
          <cell r="F1019">
            <v>0</v>
          </cell>
          <cell r="G1019">
            <v>0</v>
          </cell>
          <cell r="H1019">
            <v>0</v>
          </cell>
          <cell r="I1019">
            <v>0</v>
          </cell>
          <cell r="L1019">
            <v>0</v>
          </cell>
          <cell r="M1019">
            <v>0</v>
          </cell>
          <cell r="N1019">
            <v>0</v>
          </cell>
          <cell r="S1019">
            <v>0</v>
          </cell>
          <cell r="T1019">
            <v>0</v>
          </cell>
          <cell r="U1019">
            <v>0</v>
          </cell>
          <cell r="W1019">
            <v>77.183300000000003</v>
          </cell>
          <cell r="X1019">
            <v>0</v>
          </cell>
        </row>
        <row r="1020">
          <cell r="A1020">
            <v>37960</v>
          </cell>
          <cell r="B1020" t="str">
            <v>Offsite1Ship</v>
          </cell>
          <cell r="E1020">
            <v>200</v>
          </cell>
          <cell r="F1020">
            <v>0</v>
          </cell>
          <cell r="G1020">
            <v>1682</v>
          </cell>
          <cell r="H1020">
            <v>0</v>
          </cell>
          <cell r="I1020">
            <v>0</v>
          </cell>
          <cell r="L1020">
            <v>0</v>
          </cell>
          <cell r="M1020">
            <v>0</v>
          </cell>
          <cell r="N1020">
            <v>0</v>
          </cell>
          <cell r="S1020">
            <v>0</v>
          </cell>
          <cell r="T1020">
            <v>0</v>
          </cell>
          <cell r="U1020">
            <v>0</v>
          </cell>
          <cell r="W1020">
            <v>0</v>
          </cell>
          <cell r="X1020">
            <v>0</v>
          </cell>
        </row>
        <row r="1021">
          <cell r="A1021">
            <v>37960</v>
          </cell>
          <cell r="B1021" t="str">
            <v>InventoryControl</v>
          </cell>
          <cell r="E1021">
            <v>0</v>
          </cell>
          <cell r="F1021">
            <v>0</v>
          </cell>
          <cell r="G1021">
            <v>0</v>
          </cell>
          <cell r="H1021">
            <v>0</v>
          </cell>
          <cell r="I1021">
            <v>0</v>
          </cell>
          <cell r="L1021">
            <v>0</v>
          </cell>
          <cell r="M1021">
            <v>0</v>
          </cell>
          <cell r="N1021">
            <v>0</v>
          </cell>
          <cell r="S1021">
            <v>0</v>
          </cell>
          <cell r="T1021">
            <v>0</v>
          </cell>
          <cell r="U1021">
            <v>0</v>
          </cell>
          <cell r="W1021">
            <v>0</v>
          </cell>
          <cell r="X1021">
            <v>0</v>
          </cell>
        </row>
        <row r="1022">
          <cell r="A1022">
            <v>37960</v>
          </cell>
          <cell r="B1022" t="str">
            <v>Office</v>
          </cell>
          <cell r="E1022">
            <v>129.93333435059</v>
          </cell>
          <cell r="F1022">
            <v>0</v>
          </cell>
          <cell r="G1022">
            <v>0</v>
          </cell>
          <cell r="H1022">
            <v>0</v>
          </cell>
          <cell r="I1022">
            <v>0</v>
          </cell>
          <cell r="L1022">
            <v>0</v>
          </cell>
          <cell r="M1022">
            <v>0</v>
          </cell>
          <cell r="N1022">
            <v>0</v>
          </cell>
          <cell r="S1022">
            <v>0</v>
          </cell>
          <cell r="T1022">
            <v>0</v>
          </cell>
          <cell r="U1022">
            <v>0</v>
          </cell>
          <cell r="W1022">
            <v>129.93299999999999</v>
          </cell>
          <cell r="X1022">
            <v>0</v>
          </cell>
        </row>
        <row r="1023">
          <cell r="A1023">
            <v>37960</v>
          </cell>
          <cell r="B1023" t="str">
            <v>Office</v>
          </cell>
          <cell r="E1023">
            <v>30.866666793823001</v>
          </cell>
          <cell r="F1023">
            <v>0</v>
          </cell>
          <cell r="G1023">
            <v>0</v>
          </cell>
          <cell r="H1023">
            <v>0</v>
          </cell>
          <cell r="I1023">
            <v>0</v>
          </cell>
          <cell r="L1023">
            <v>0</v>
          </cell>
          <cell r="M1023">
            <v>0</v>
          </cell>
          <cell r="N1023">
            <v>0</v>
          </cell>
          <cell r="S1023">
            <v>0</v>
          </cell>
          <cell r="T1023">
            <v>0</v>
          </cell>
          <cell r="U1023">
            <v>0</v>
          </cell>
          <cell r="W1023">
            <v>30.866700000000002</v>
          </cell>
          <cell r="X1023">
            <v>0</v>
          </cell>
        </row>
        <row r="1024">
          <cell r="A1024">
            <v>37960</v>
          </cell>
          <cell r="B1024" t="str">
            <v>QA</v>
          </cell>
          <cell r="E1024">
            <v>30.299999237061002</v>
          </cell>
          <cell r="F1024">
            <v>0</v>
          </cell>
          <cell r="G1024">
            <v>0</v>
          </cell>
          <cell r="H1024">
            <v>0</v>
          </cell>
          <cell r="I1024">
            <v>0</v>
          </cell>
          <cell r="L1024">
            <v>0</v>
          </cell>
          <cell r="M1024">
            <v>0</v>
          </cell>
          <cell r="N1024">
            <v>0</v>
          </cell>
          <cell r="S1024">
            <v>0</v>
          </cell>
          <cell r="T1024">
            <v>0</v>
          </cell>
          <cell r="U1024">
            <v>0</v>
          </cell>
          <cell r="W1024">
            <v>30.3</v>
          </cell>
          <cell r="X1024">
            <v>0</v>
          </cell>
        </row>
        <row r="1025">
          <cell r="A1025">
            <v>37960</v>
          </cell>
          <cell r="B1025" t="str">
            <v>Facilities</v>
          </cell>
          <cell r="E1025">
            <v>170.36666870117</v>
          </cell>
          <cell r="F1025">
            <v>0</v>
          </cell>
          <cell r="G1025">
            <v>0</v>
          </cell>
          <cell r="H1025">
            <v>0</v>
          </cell>
          <cell r="I1025">
            <v>0</v>
          </cell>
          <cell r="L1025">
            <v>0</v>
          </cell>
          <cell r="M1025">
            <v>0</v>
          </cell>
          <cell r="N1025">
            <v>0</v>
          </cell>
          <cell r="S1025">
            <v>0</v>
          </cell>
          <cell r="T1025">
            <v>0</v>
          </cell>
          <cell r="U1025">
            <v>0</v>
          </cell>
          <cell r="W1025">
            <v>110.367</v>
          </cell>
          <cell r="X1025">
            <v>0</v>
          </cell>
        </row>
        <row r="1026">
          <cell r="A1026">
            <v>37960</v>
          </cell>
          <cell r="B1026" t="str">
            <v>Facilities</v>
          </cell>
          <cell r="E1026">
            <v>9.8000001907349006</v>
          </cell>
          <cell r="F1026">
            <v>0</v>
          </cell>
          <cell r="G1026">
            <v>0</v>
          </cell>
          <cell r="H1026">
            <v>0</v>
          </cell>
          <cell r="I1026">
            <v>0</v>
          </cell>
          <cell r="L1026">
            <v>0</v>
          </cell>
          <cell r="M1026">
            <v>0</v>
          </cell>
          <cell r="N1026">
            <v>0</v>
          </cell>
          <cell r="S1026">
            <v>0</v>
          </cell>
          <cell r="T1026">
            <v>0</v>
          </cell>
          <cell r="U1026">
            <v>0</v>
          </cell>
          <cell r="W1026">
            <v>9.8000000000000007</v>
          </cell>
          <cell r="X1026">
            <v>0</v>
          </cell>
        </row>
        <row r="1027">
          <cell r="A1027">
            <v>37960</v>
          </cell>
          <cell r="B1027" t="str">
            <v>SNOC</v>
          </cell>
          <cell r="E1027">
            <v>19.716667175293001</v>
          </cell>
          <cell r="F1027">
            <v>0</v>
          </cell>
          <cell r="G1027">
            <v>0</v>
          </cell>
          <cell r="H1027">
            <v>0</v>
          </cell>
          <cell r="I1027">
            <v>0</v>
          </cell>
          <cell r="L1027">
            <v>0</v>
          </cell>
          <cell r="M1027">
            <v>0</v>
          </cell>
          <cell r="N1027">
            <v>0</v>
          </cell>
          <cell r="S1027">
            <v>0</v>
          </cell>
          <cell r="T1027">
            <v>0</v>
          </cell>
          <cell r="U1027">
            <v>0</v>
          </cell>
          <cell r="W1027">
            <v>19.716699999999999</v>
          </cell>
          <cell r="X1027">
            <v>0</v>
          </cell>
        </row>
        <row r="1028">
          <cell r="A1028">
            <v>37960</v>
          </cell>
          <cell r="B1028" t="str">
            <v>Swat</v>
          </cell>
          <cell r="E1028">
            <v>8</v>
          </cell>
          <cell r="F1028">
            <v>0</v>
          </cell>
          <cell r="G1028">
            <v>0</v>
          </cell>
          <cell r="H1028">
            <v>0</v>
          </cell>
          <cell r="I1028">
            <v>0</v>
          </cell>
          <cell r="L1028">
            <v>0</v>
          </cell>
          <cell r="M1028">
            <v>0</v>
          </cell>
          <cell r="N1028">
            <v>0</v>
          </cell>
          <cell r="S1028">
            <v>0</v>
          </cell>
          <cell r="T1028">
            <v>0</v>
          </cell>
          <cell r="U1028">
            <v>0</v>
          </cell>
          <cell r="W1028">
            <v>8</v>
          </cell>
          <cell r="X1028">
            <v>0</v>
          </cell>
        </row>
        <row r="1029">
          <cell r="A1029">
            <v>37960</v>
          </cell>
          <cell r="B1029" t="str">
            <v>CustomerService</v>
          </cell>
          <cell r="E1029">
            <v>21.766666412353999</v>
          </cell>
          <cell r="F1029">
            <v>0</v>
          </cell>
          <cell r="G1029">
            <v>0</v>
          </cell>
          <cell r="H1029">
            <v>0</v>
          </cell>
          <cell r="I1029">
            <v>0</v>
          </cell>
          <cell r="L1029">
            <v>0</v>
          </cell>
          <cell r="M1029">
            <v>0</v>
          </cell>
          <cell r="N1029">
            <v>0</v>
          </cell>
          <cell r="S1029">
            <v>0</v>
          </cell>
          <cell r="T1029">
            <v>0</v>
          </cell>
          <cell r="U1029">
            <v>0</v>
          </cell>
          <cell r="W1029">
            <v>21.7667</v>
          </cell>
          <cell r="X1029">
            <v>0</v>
          </cell>
        </row>
        <row r="1030">
          <cell r="A1030">
            <v>37960</v>
          </cell>
          <cell r="B1030" t="str">
            <v>CustomerService</v>
          </cell>
          <cell r="E1030">
            <v>11.699999809265</v>
          </cell>
          <cell r="F1030">
            <v>0</v>
          </cell>
          <cell r="G1030">
            <v>0</v>
          </cell>
          <cell r="H1030">
            <v>0</v>
          </cell>
          <cell r="I1030">
            <v>0</v>
          </cell>
          <cell r="L1030">
            <v>0</v>
          </cell>
          <cell r="M1030">
            <v>0</v>
          </cell>
          <cell r="N1030">
            <v>0</v>
          </cell>
          <cell r="S1030">
            <v>0</v>
          </cell>
          <cell r="T1030">
            <v>0</v>
          </cell>
          <cell r="U1030">
            <v>0</v>
          </cell>
          <cell r="W1030">
            <v>11.7</v>
          </cell>
          <cell r="X1030">
            <v>0</v>
          </cell>
        </row>
        <row r="1031">
          <cell r="A1031">
            <v>37960</v>
          </cell>
          <cell r="B1031" t="str">
            <v>Training</v>
          </cell>
          <cell r="E1031">
            <v>4.25</v>
          </cell>
          <cell r="F1031">
            <v>0</v>
          </cell>
          <cell r="G1031">
            <v>0</v>
          </cell>
          <cell r="H1031">
            <v>0</v>
          </cell>
          <cell r="I1031">
            <v>0</v>
          </cell>
          <cell r="L1031">
            <v>0</v>
          </cell>
          <cell r="M1031">
            <v>0</v>
          </cell>
          <cell r="N1031">
            <v>0</v>
          </cell>
          <cell r="S1031">
            <v>0</v>
          </cell>
          <cell r="T1031">
            <v>0</v>
          </cell>
          <cell r="U1031">
            <v>0</v>
          </cell>
          <cell r="W1031">
            <v>0</v>
          </cell>
          <cell r="X1031">
            <v>0</v>
          </cell>
        </row>
        <row r="1032">
          <cell r="A1032">
            <v>37960</v>
          </cell>
          <cell r="B1032" t="str">
            <v>Training</v>
          </cell>
          <cell r="E1032">
            <v>0</v>
          </cell>
          <cell r="F1032">
            <v>0</v>
          </cell>
          <cell r="G1032">
            <v>0</v>
          </cell>
          <cell r="H1032">
            <v>0</v>
          </cell>
          <cell r="I1032">
            <v>0</v>
          </cell>
          <cell r="L1032">
            <v>0</v>
          </cell>
          <cell r="M1032">
            <v>0</v>
          </cell>
          <cell r="N1032">
            <v>0</v>
          </cell>
          <cell r="S1032">
            <v>0</v>
          </cell>
          <cell r="T1032">
            <v>0</v>
          </cell>
          <cell r="U1032">
            <v>0</v>
          </cell>
          <cell r="W1032">
            <v>0</v>
          </cell>
          <cell r="X1032">
            <v>0</v>
          </cell>
        </row>
        <row r="1033">
          <cell r="A1033">
            <v>37960</v>
          </cell>
          <cell r="B1033" t="str">
            <v>Replenishment</v>
          </cell>
          <cell r="E1033">
            <v>151</v>
          </cell>
          <cell r="F1033">
            <v>0</v>
          </cell>
          <cell r="G1033">
            <v>0</v>
          </cell>
          <cell r="H1033">
            <v>0</v>
          </cell>
          <cell r="I1033">
            <v>0</v>
          </cell>
          <cell r="L1033">
            <v>0</v>
          </cell>
          <cell r="M1033">
            <v>0</v>
          </cell>
          <cell r="N1033">
            <v>0</v>
          </cell>
          <cell r="S1033">
            <v>0</v>
          </cell>
          <cell r="T1033">
            <v>0</v>
          </cell>
          <cell r="U1033">
            <v>0</v>
          </cell>
          <cell r="W1033">
            <v>0</v>
          </cell>
          <cell r="X1033">
            <v>0</v>
          </cell>
        </row>
        <row r="1034">
          <cell r="A1034">
            <v>37959</v>
          </cell>
          <cell r="B1034" t="str">
            <v>BMV Stow</v>
          </cell>
          <cell r="E1034">
            <v>155.5</v>
          </cell>
          <cell r="F1034">
            <v>0</v>
          </cell>
          <cell r="G1034">
            <v>57731</v>
          </cell>
          <cell r="H1034">
            <v>36274</v>
          </cell>
          <cell r="I1034">
            <v>21457</v>
          </cell>
          <cell r="L1034">
            <v>142.5</v>
          </cell>
          <cell r="M1034">
            <v>13</v>
          </cell>
          <cell r="N1034">
            <v>0</v>
          </cell>
          <cell r="S1034">
            <v>0</v>
          </cell>
          <cell r="T1034">
            <v>0</v>
          </cell>
          <cell r="U1034">
            <v>0</v>
          </cell>
          <cell r="W1034">
            <v>0</v>
          </cell>
          <cell r="X1034">
            <v>0</v>
          </cell>
        </row>
        <row r="1035">
          <cell r="A1035">
            <v>37959</v>
          </cell>
          <cell r="B1035" t="str">
            <v>Shipping</v>
          </cell>
          <cell r="E1035">
            <v>810.20001220703</v>
          </cell>
          <cell r="F1035">
            <v>0</v>
          </cell>
          <cell r="G1035">
            <v>0</v>
          </cell>
          <cell r="H1035">
            <v>0</v>
          </cell>
          <cell r="I1035">
            <v>0</v>
          </cell>
          <cell r="L1035">
            <v>0</v>
          </cell>
          <cell r="M1035">
            <v>0</v>
          </cell>
          <cell r="N1035">
            <v>0</v>
          </cell>
          <cell r="S1035">
            <v>0</v>
          </cell>
          <cell r="T1035">
            <v>0</v>
          </cell>
          <cell r="U1035">
            <v>0</v>
          </cell>
          <cell r="W1035">
            <v>-170.3</v>
          </cell>
          <cell r="X1035">
            <v>0</v>
          </cell>
        </row>
        <row r="1036">
          <cell r="A1036">
            <v>37959</v>
          </cell>
          <cell r="B1036" t="str">
            <v>Autobox</v>
          </cell>
          <cell r="E1036">
            <v>330.75</v>
          </cell>
          <cell r="F1036">
            <v>43</v>
          </cell>
          <cell r="G1036">
            <v>25036</v>
          </cell>
          <cell r="H1036">
            <v>0</v>
          </cell>
          <cell r="I1036">
            <v>0</v>
          </cell>
          <cell r="L1036">
            <v>0</v>
          </cell>
          <cell r="M1036">
            <v>0</v>
          </cell>
          <cell r="N1036">
            <v>0</v>
          </cell>
          <cell r="S1036">
            <v>0</v>
          </cell>
          <cell r="T1036">
            <v>0</v>
          </cell>
          <cell r="U1036">
            <v>0</v>
          </cell>
          <cell r="W1036">
            <v>0</v>
          </cell>
          <cell r="X1036">
            <v>0</v>
          </cell>
        </row>
        <row r="1037">
          <cell r="A1037">
            <v>37959</v>
          </cell>
          <cell r="B1037" t="str">
            <v>Levimatic</v>
          </cell>
          <cell r="E1037">
            <v>40</v>
          </cell>
          <cell r="F1037">
            <v>0</v>
          </cell>
          <cell r="G1037">
            <v>3945</v>
          </cell>
          <cell r="H1037">
            <v>0</v>
          </cell>
          <cell r="I1037">
            <v>0</v>
          </cell>
          <cell r="L1037">
            <v>0</v>
          </cell>
          <cell r="M1037">
            <v>0</v>
          </cell>
          <cell r="N1037">
            <v>0</v>
          </cell>
          <cell r="S1037">
            <v>0</v>
          </cell>
          <cell r="T1037">
            <v>0</v>
          </cell>
          <cell r="U1037">
            <v>0</v>
          </cell>
          <cell r="W1037">
            <v>0</v>
          </cell>
          <cell r="X1037">
            <v>0</v>
          </cell>
        </row>
        <row r="1038">
          <cell r="A1038">
            <v>37959</v>
          </cell>
          <cell r="B1038" t="str">
            <v>Giftwrap</v>
          </cell>
          <cell r="E1038">
            <v>136.5</v>
          </cell>
          <cell r="F1038">
            <v>0</v>
          </cell>
          <cell r="G1038">
            <v>2474</v>
          </cell>
          <cell r="H1038">
            <v>0</v>
          </cell>
          <cell r="I1038">
            <v>0</v>
          </cell>
          <cell r="L1038">
            <v>0</v>
          </cell>
          <cell r="M1038">
            <v>0</v>
          </cell>
          <cell r="N1038">
            <v>0</v>
          </cell>
          <cell r="S1038">
            <v>0</v>
          </cell>
          <cell r="T1038">
            <v>0</v>
          </cell>
          <cell r="U1038">
            <v>0</v>
          </cell>
          <cell r="W1038">
            <v>0</v>
          </cell>
          <cell r="X1038">
            <v>2474</v>
          </cell>
        </row>
        <row r="1039">
          <cell r="A1039">
            <v>37959</v>
          </cell>
          <cell r="B1039" t="str">
            <v>ShipSupport</v>
          </cell>
          <cell r="E1039">
            <v>302.94999694824003</v>
          </cell>
          <cell r="F1039">
            <v>66</v>
          </cell>
          <cell r="G1039">
            <v>0</v>
          </cell>
          <cell r="H1039">
            <v>0</v>
          </cell>
          <cell r="I1039">
            <v>0</v>
          </cell>
          <cell r="L1039">
            <v>0</v>
          </cell>
          <cell r="M1039">
            <v>0</v>
          </cell>
          <cell r="N1039">
            <v>0</v>
          </cell>
          <cell r="S1039">
            <v>0</v>
          </cell>
          <cell r="T1039">
            <v>0</v>
          </cell>
          <cell r="U1039">
            <v>0</v>
          </cell>
          <cell r="W1039">
            <v>-170.3</v>
          </cell>
          <cell r="X1039">
            <v>0</v>
          </cell>
        </row>
        <row r="1040">
          <cell r="A1040">
            <v>37959</v>
          </cell>
          <cell r="B1040" t="str">
            <v>Sortation</v>
          </cell>
          <cell r="E1040">
            <v>816.06666564940997</v>
          </cell>
          <cell r="F1040">
            <v>0</v>
          </cell>
          <cell r="G1040">
            <v>0</v>
          </cell>
          <cell r="H1040">
            <v>0</v>
          </cell>
          <cell r="I1040">
            <v>0</v>
          </cell>
          <cell r="L1040">
            <v>0</v>
          </cell>
          <cell r="M1040">
            <v>0</v>
          </cell>
          <cell r="N1040">
            <v>0</v>
          </cell>
          <cell r="S1040">
            <v>0</v>
          </cell>
          <cell r="T1040">
            <v>0</v>
          </cell>
          <cell r="U1040">
            <v>0</v>
          </cell>
          <cell r="W1040">
            <v>91.7667</v>
          </cell>
          <cell r="X1040">
            <v>0</v>
          </cell>
        </row>
        <row r="1041">
          <cell r="A1041">
            <v>37959</v>
          </cell>
          <cell r="B1041" t="str">
            <v>Rebin</v>
          </cell>
          <cell r="E1041">
            <v>339.75</v>
          </cell>
          <cell r="F1041">
            <v>80</v>
          </cell>
          <cell r="G1041">
            <v>60262</v>
          </cell>
          <cell r="H1041">
            <v>0</v>
          </cell>
          <cell r="I1041">
            <v>0</v>
          </cell>
          <cell r="L1041">
            <v>0</v>
          </cell>
          <cell r="M1041">
            <v>0</v>
          </cell>
          <cell r="N1041">
            <v>0</v>
          </cell>
          <cell r="S1041">
            <v>0</v>
          </cell>
          <cell r="T1041">
            <v>0</v>
          </cell>
          <cell r="U1041">
            <v>0</v>
          </cell>
          <cell r="W1041">
            <v>0</v>
          </cell>
          <cell r="X1041">
            <v>0</v>
          </cell>
        </row>
        <row r="1042">
          <cell r="A1042">
            <v>37959</v>
          </cell>
          <cell r="B1042" t="str">
            <v>Stack</v>
          </cell>
          <cell r="E1042">
            <v>219</v>
          </cell>
          <cell r="F1042">
            <v>0</v>
          </cell>
          <cell r="G1042">
            <v>38893</v>
          </cell>
          <cell r="H1042">
            <v>0</v>
          </cell>
          <cell r="I1042">
            <v>0</v>
          </cell>
          <cell r="L1042">
            <v>0</v>
          </cell>
          <cell r="M1042">
            <v>0</v>
          </cell>
          <cell r="N1042">
            <v>0</v>
          </cell>
          <cell r="S1042">
            <v>2882</v>
          </cell>
          <cell r="T1042">
            <v>0</v>
          </cell>
          <cell r="U1042">
            <v>0</v>
          </cell>
          <cell r="W1042">
            <v>0</v>
          </cell>
          <cell r="X1042">
            <v>0</v>
          </cell>
        </row>
        <row r="1043">
          <cell r="A1043">
            <v>37959</v>
          </cell>
          <cell r="B1043" t="str">
            <v>Bundler</v>
          </cell>
          <cell r="E1043">
            <v>257.31670379639002</v>
          </cell>
          <cell r="F1043">
            <v>0</v>
          </cell>
          <cell r="G1043">
            <v>38893</v>
          </cell>
          <cell r="H1043">
            <v>0</v>
          </cell>
          <cell r="I1043">
            <v>0</v>
          </cell>
          <cell r="L1043">
            <v>0</v>
          </cell>
          <cell r="M1043">
            <v>0</v>
          </cell>
          <cell r="N1043">
            <v>0</v>
          </cell>
          <cell r="S1043">
            <v>0</v>
          </cell>
          <cell r="T1043">
            <v>0</v>
          </cell>
          <cell r="U1043">
            <v>0</v>
          </cell>
          <cell r="W1043">
            <v>91.7667</v>
          </cell>
          <cell r="X1043">
            <v>12964</v>
          </cell>
        </row>
        <row r="1044">
          <cell r="A1044">
            <v>37959</v>
          </cell>
          <cell r="B1044" t="str">
            <v>InventoryControl</v>
          </cell>
          <cell r="E1044">
            <v>227.81666564941</v>
          </cell>
          <cell r="F1044">
            <v>0</v>
          </cell>
          <cell r="G1044">
            <v>0</v>
          </cell>
          <cell r="H1044">
            <v>0</v>
          </cell>
          <cell r="I1044">
            <v>0</v>
          </cell>
          <cell r="L1044">
            <v>0</v>
          </cell>
          <cell r="M1044">
            <v>0</v>
          </cell>
          <cell r="N1044">
            <v>0</v>
          </cell>
          <cell r="S1044">
            <v>0</v>
          </cell>
          <cell r="T1044">
            <v>0</v>
          </cell>
          <cell r="U1044">
            <v>0</v>
          </cell>
          <cell r="W1044">
            <v>-1.6033299999999999</v>
          </cell>
          <cell r="X1044">
            <v>0</v>
          </cell>
        </row>
        <row r="1045">
          <cell r="A1045">
            <v>37959</v>
          </cell>
          <cell r="B1045" t="str">
            <v>Shipping</v>
          </cell>
          <cell r="E1045">
            <v>812.39996337891</v>
          </cell>
          <cell r="F1045">
            <v>0</v>
          </cell>
          <cell r="G1045">
            <v>0</v>
          </cell>
          <cell r="H1045">
            <v>0</v>
          </cell>
          <cell r="I1045">
            <v>0</v>
          </cell>
          <cell r="L1045">
            <v>0</v>
          </cell>
          <cell r="M1045">
            <v>0</v>
          </cell>
          <cell r="N1045">
            <v>0</v>
          </cell>
          <cell r="S1045">
            <v>0</v>
          </cell>
          <cell r="T1045">
            <v>0</v>
          </cell>
          <cell r="U1045">
            <v>0</v>
          </cell>
          <cell r="W1045">
            <v>-158.35</v>
          </cell>
          <cell r="X1045">
            <v>0</v>
          </cell>
        </row>
        <row r="1046">
          <cell r="A1046">
            <v>37959</v>
          </cell>
          <cell r="B1046" t="str">
            <v>Autobox</v>
          </cell>
          <cell r="E1046">
            <v>558.75</v>
          </cell>
          <cell r="F1046">
            <v>0</v>
          </cell>
          <cell r="G1046">
            <v>28182</v>
          </cell>
          <cell r="H1046">
            <v>0</v>
          </cell>
          <cell r="I1046">
            <v>0</v>
          </cell>
          <cell r="L1046">
            <v>0</v>
          </cell>
          <cell r="M1046">
            <v>0</v>
          </cell>
          <cell r="N1046">
            <v>0</v>
          </cell>
          <cell r="S1046">
            <v>0</v>
          </cell>
          <cell r="T1046">
            <v>0</v>
          </cell>
          <cell r="U1046">
            <v>0</v>
          </cell>
          <cell r="W1046">
            <v>0</v>
          </cell>
          <cell r="X1046">
            <v>0</v>
          </cell>
        </row>
        <row r="1047">
          <cell r="A1047">
            <v>37959</v>
          </cell>
          <cell r="B1047" t="str">
            <v>Levimatic</v>
          </cell>
          <cell r="E1047">
            <v>27</v>
          </cell>
          <cell r="F1047">
            <v>0</v>
          </cell>
          <cell r="G1047">
            <v>4263</v>
          </cell>
          <cell r="H1047">
            <v>0</v>
          </cell>
          <cell r="I1047">
            <v>0</v>
          </cell>
          <cell r="L1047">
            <v>0</v>
          </cell>
          <cell r="M1047">
            <v>0</v>
          </cell>
          <cell r="N1047">
            <v>0</v>
          </cell>
          <cell r="S1047">
            <v>0</v>
          </cell>
          <cell r="T1047">
            <v>0</v>
          </cell>
          <cell r="U1047">
            <v>0</v>
          </cell>
          <cell r="W1047">
            <v>0</v>
          </cell>
          <cell r="X1047">
            <v>0</v>
          </cell>
        </row>
        <row r="1048">
          <cell r="A1048">
            <v>37959</v>
          </cell>
          <cell r="B1048" t="str">
            <v>Giftwrap</v>
          </cell>
          <cell r="E1048">
            <v>101.5</v>
          </cell>
          <cell r="F1048">
            <v>0</v>
          </cell>
          <cell r="G1048">
            <v>1901</v>
          </cell>
          <cell r="H1048">
            <v>0</v>
          </cell>
          <cell r="I1048">
            <v>0</v>
          </cell>
          <cell r="L1048">
            <v>0</v>
          </cell>
          <cell r="M1048">
            <v>0</v>
          </cell>
          <cell r="N1048">
            <v>0</v>
          </cell>
          <cell r="S1048">
            <v>0</v>
          </cell>
          <cell r="T1048">
            <v>0</v>
          </cell>
          <cell r="U1048">
            <v>0</v>
          </cell>
          <cell r="W1048">
            <v>0</v>
          </cell>
          <cell r="X1048">
            <v>0</v>
          </cell>
        </row>
        <row r="1049">
          <cell r="A1049">
            <v>37959</v>
          </cell>
          <cell r="B1049" t="str">
            <v>ShipSupport</v>
          </cell>
          <cell r="E1049">
            <v>125.14999389648</v>
          </cell>
          <cell r="F1049">
            <v>0</v>
          </cell>
          <cell r="G1049">
            <v>0</v>
          </cell>
          <cell r="H1049">
            <v>0</v>
          </cell>
          <cell r="I1049">
            <v>0</v>
          </cell>
          <cell r="L1049">
            <v>0</v>
          </cell>
          <cell r="M1049">
            <v>0</v>
          </cell>
          <cell r="N1049">
            <v>0</v>
          </cell>
          <cell r="S1049">
            <v>0</v>
          </cell>
          <cell r="T1049">
            <v>0</v>
          </cell>
          <cell r="U1049">
            <v>0</v>
          </cell>
          <cell r="W1049">
            <v>-158.35</v>
          </cell>
          <cell r="X1049">
            <v>0</v>
          </cell>
        </row>
        <row r="1050">
          <cell r="A1050">
            <v>37959</v>
          </cell>
          <cell r="B1050" t="str">
            <v>QA</v>
          </cell>
          <cell r="E1050">
            <v>134.5</v>
          </cell>
          <cell r="F1050">
            <v>0</v>
          </cell>
          <cell r="G1050">
            <v>0</v>
          </cell>
          <cell r="H1050">
            <v>0</v>
          </cell>
          <cell r="I1050">
            <v>0</v>
          </cell>
          <cell r="L1050">
            <v>0</v>
          </cell>
          <cell r="M1050">
            <v>0</v>
          </cell>
          <cell r="N1050">
            <v>0</v>
          </cell>
          <cell r="S1050">
            <v>0</v>
          </cell>
          <cell r="T1050">
            <v>0</v>
          </cell>
          <cell r="U1050">
            <v>0</v>
          </cell>
          <cell r="W1050">
            <v>56.5</v>
          </cell>
          <cell r="X1050">
            <v>0</v>
          </cell>
        </row>
        <row r="1051">
          <cell r="A1051">
            <v>37959</v>
          </cell>
          <cell r="B1051" t="str">
            <v>BMV Stow</v>
          </cell>
          <cell r="E1051">
            <v>205</v>
          </cell>
          <cell r="F1051">
            <v>0</v>
          </cell>
          <cell r="G1051">
            <v>65685</v>
          </cell>
          <cell r="H1051">
            <v>48267</v>
          </cell>
          <cell r="I1051">
            <v>17418</v>
          </cell>
          <cell r="L1051">
            <v>153</v>
          </cell>
          <cell r="M1051">
            <v>52</v>
          </cell>
          <cell r="N1051">
            <v>0</v>
          </cell>
          <cell r="S1051">
            <v>0</v>
          </cell>
          <cell r="T1051">
            <v>0</v>
          </cell>
          <cell r="U1051">
            <v>0</v>
          </cell>
          <cell r="W1051">
            <v>0</v>
          </cell>
          <cell r="X1051">
            <v>0</v>
          </cell>
        </row>
        <row r="1052">
          <cell r="A1052">
            <v>37959</v>
          </cell>
          <cell r="B1052" t="str">
            <v>Vreturns</v>
          </cell>
          <cell r="E1052">
            <v>46.75</v>
          </cell>
          <cell r="F1052">
            <v>0</v>
          </cell>
          <cell r="G1052">
            <v>7688</v>
          </cell>
          <cell r="H1052">
            <v>0</v>
          </cell>
          <cell r="I1052">
            <v>0</v>
          </cell>
          <cell r="L1052">
            <v>0</v>
          </cell>
          <cell r="M1052">
            <v>0</v>
          </cell>
          <cell r="N1052">
            <v>0</v>
          </cell>
          <cell r="S1052">
            <v>0</v>
          </cell>
          <cell r="T1052">
            <v>0</v>
          </cell>
          <cell r="U1052">
            <v>0</v>
          </cell>
          <cell r="W1052">
            <v>2.75</v>
          </cell>
          <cell r="X1052">
            <v>0</v>
          </cell>
        </row>
        <row r="1053">
          <cell r="A1053">
            <v>37959</v>
          </cell>
          <cell r="B1053" t="str">
            <v>Sortation</v>
          </cell>
          <cell r="E1053">
            <v>1098.6334228516</v>
          </cell>
          <cell r="F1053">
            <v>0</v>
          </cell>
          <cell r="G1053">
            <v>0</v>
          </cell>
          <cell r="H1053">
            <v>0</v>
          </cell>
          <cell r="I1053">
            <v>0</v>
          </cell>
          <cell r="L1053">
            <v>0</v>
          </cell>
          <cell r="M1053">
            <v>0</v>
          </cell>
          <cell r="N1053">
            <v>0</v>
          </cell>
          <cell r="S1053">
            <v>0</v>
          </cell>
          <cell r="T1053">
            <v>0</v>
          </cell>
          <cell r="U1053">
            <v>0</v>
          </cell>
          <cell r="W1053">
            <v>67.733400000000003</v>
          </cell>
          <cell r="X1053">
            <v>0</v>
          </cell>
        </row>
        <row r="1054">
          <cell r="A1054">
            <v>37959</v>
          </cell>
          <cell r="B1054" t="str">
            <v>Rebin</v>
          </cell>
          <cell r="E1054">
            <v>415</v>
          </cell>
          <cell r="F1054">
            <v>77</v>
          </cell>
          <cell r="G1054">
            <v>65151</v>
          </cell>
          <cell r="H1054">
            <v>0</v>
          </cell>
          <cell r="I1054">
            <v>0</v>
          </cell>
          <cell r="L1054">
            <v>0</v>
          </cell>
          <cell r="M1054">
            <v>0</v>
          </cell>
          <cell r="N1054">
            <v>0</v>
          </cell>
          <cell r="S1054">
            <v>0</v>
          </cell>
          <cell r="T1054">
            <v>0</v>
          </cell>
          <cell r="U1054">
            <v>0</v>
          </cell>
          <cell r="W1054">
            <v>0</v>
          </cell>
          <cell r="X1054">
            <v>0</v>
          </cell>
        </row>
        <row r="1055">
          <cell r="A1055">
            <v>37959</v>
          </cell>
          <cell r="B1055" t="str">
            <v>Stack</v>
          </cell>
          <cell r="E1055">
            <v>379.5</v>
          </cell>
          <cell r="F1055">
            <v>0</v>
          </cell>
          <cell r="G1055">
            <v>52842</v>
          </cell>
          <cell r="H1055">
            <v>0</v>
          </cell>
          <cell r="I1055">
            <v>0</v>
          </cell>
          <cell r="L1055">
            <v>0</v>
          </cell>
          <cell r="M1055">
            <v>0</v>
          </cell>
          <cell r="N1055">
            <v>0</v>
          </cell>
          <cell r="S1055">
            <v>1097</v>
          </cell>
          <cell r="T1055">
            <v>0</v>
          </cell>
          <cell r="U1055">
            <v>0</v>
          </cell>
          <cell r="W1055">
            <v>0</v>
          </cell>
          <cell r="X1055">
            <v>0</v>
          </cell>
        </row>
        <row r="1056">
          <cell r="A1056">
            <v>37959</v>
          </cell>
          <cell r="B1056" t="str">
            <v>Bundler</v>
          </cell>
          <cell r="E1056">
            <v>304.13339233398</v>
          </cell>
          <cell r="F1056">
            <v>0</v>
          </cell>
          <cell r="G1056">
            <v>49808</v>
          </cell>
          <cell r="H1056">
            <v>0</v>
          </cell>
          <cell r="I1056">
            <v>0</v>
          </cell>
          <cell r="L1056">
            <v>0</v>
          </cell>
          <cell r="M1056">
            <v>0</v>
          </cell>
          <cell r="N1056">
            <v>0</v>
          </cell>
          <cell r="S1056">
            <v>0</v>
          </cell>
          <cell r="T1056">
            <v>0</v>
          </cell>
          <cell r="U1056">
            <v>0</v>
          </cell>
          <cell r="W1056">
            <v>67.733400000000003</v>
          </cell>
          <cell r="X1056">
            <v>14293</v>
          </cell>
        </row>
        <row r="1057">
          <cell r="A1057">
            <v>37959</v>
          </cell>
          <cell r="B1057" t="str">
            <v>CReturns</v>
          </cell>
          <cell r="E1057">
            <v>5</v>
          </cell>
          <cell r="F1057">
            <v>0</v>
          </cell>
          <cell r="G1057">
            <v>155</v>
          </cell>
          <cell r="H1057">
            <v>0</v>
          </cell>
          <cell r="I1057">
            <v>0</v>
          </cell>
          <cell r="L1057">
            <v>0</v>
          </cell>
          <cell r="M1057">
            <v>0</v>
          </cell>
          <cell r="N1057">
            <v>0</v>
          </cell>
          <cell r="S1057">
            <v>0</v>
          </cell>
          <cell r="T1057">
            <v>0</v>
          </cell>
          <cell r="U1057">
            <v>0</v>
          </cell>
          <cell r="W1057">
            <v>0</v>
          </cell>
          <cell r="X1057">
            <v>0</v>
          </cell>
        </row>
        <row r="1058">
          <cell r="A1058">
            <v>37959</v>
          </cell>
          <cell r="B1058" t="str">
            <v>Picking</v>
          </cell>
          <cell r="E1058">
            <v>1021.3833007812</v>
          </cell>
          <cell r="F1058">
            <v>0</v>
          </cell>
          <cell r="G1058">
            <v>84315</v>
          </cell>
          <cell r="H1058">
            <v>0</v>
          </cell>
          <cell r="I1058">
            <v>0</v>
          </cell>
          <cell r="L1058">
            <v>0</v>
          </cell>
          <cell r="M1058">
            <v>0</v>
          </cell>
          <cell r="N1058">
            <v>0</v>
          </cell>
          <cell r="S1058">
            <v>0</v>
          </cell>
          <cell r="T1058">
            <v>0</v>
          </cell>
          <cell r="U1058">
            <v>0</v>
          </cell>
          <cell r="W1058">
            <v>-18.116700000000002</v>
          </cell>
          <cell r="X1058">
            <v>0</v>
          </cell>
        </row>
        <row r="1059">
          <cell r="A1059">
            <v>37959</v>
          </cell>
          <cell r="B1059" t="str">
            <v>ManualVDF</v>
          </cell>
          <cell r="E1059">
            <v>57.5</v>
          </cell>
          <cell r="F1059">
            <v>0</v>
          </cell>
          <cell r="G1059">
            <v>2017</v>
          </cell>
          <cell r="H1059">
            <v>0</v>
          </cell>
          <cell r="I1059">
            <v>0</v>
          </cell>
          <cell r="L1059">
            <v>0</v>
          </cell>
          <cell r="M1059">
            <v>0</v>
          </cell>
          <cell r="N1059">
            <v>0</v>
          </cell>
          <cell r="S1059">
            <v>0</v>
          </cell>
          <cell r="T1059">
            <v>0</v>
          </cell>
          <cell r="U1059">
            <v>0</v>
          </cell>
          <cell r="W1059">
            <v>0</v>
          </cell>
          <cell r="X1059">
            <v>2017</v>
          </cell>
        </row>
        <row r="1060">
          <cell r="A1060">
            <v>37959</v>
          </cell>
          <cell r="B1060" t="str">
            <v>BMV Receive</v>
          </cell>
          <cell r="E1060">
            <v>445.71667480469</v>
          </cell>
          <cell r="F1060">
            <v>85.67</v>
          </cell>
          <cell r="G1060">
            <v>83692</v>
          </cell>
          <cell r="H1060">
            <v>58010</v>
          </cell>
          <cell r="I1060">
            <v>0</v>
          </cell>
          <cell r="L1060">
            <v>291</v>
          </cell>
          <cell r="M1060">
            <v>0</v>
          </cell>
          <cell r="N1060">
            <v>34</v>
          </cell>
          <cell r="S1060">
            <v>0</v>
          </cell>
          <cell r="T1060">
            <v>61</v>
          </cell>
          <cell r="U1060">
            <v>0</v>
          </cell>
          <cell r="W1060">
            <v>35.046700000000001</v>
          </cell>
          <cell r="X1060">
            <v>0</v>
          </cell>
        </row>
        <row r="1061">
          <cell r="A1061">
            <v>37959</v>
          </cell>
          <cell r="B1061" t="str">
            <v>Replenishment</v>
          </cell>
          <cell r="E1061">
            <v>155</v>
          </cell>
          <cell r="F1061">
            <v>0</v>
          </cell>
          <cell r="G1061">
            <v>25143</v>
          </cell>
          <cell r="H1061">
            <v>0</v>
          </cell>
          <cell r="I1061">
            <v>0</v>
          </cell>
          <cell r="L1061">
            <v>0</v>
          </cell>
          <cell r="M1061">
            <v>0</v>
          </cell>
          <cell r="N1061">
            <v>0</v>
          </cell>
          <cell r="S1061">
            <v>0</v>
          </cell>
          <cell r="T1061">
            <v>0</v>
          </cell>
          <cell r="U1061">
            <v>0</v>
          </cell>
          <cell r="W1061">
            <v>0</v>
          </cell>
          <cell r="X1061">
            <v>0</v>
          </cell>
        </row>
        <row r="1062">
          <cell r="A1062">
            <v>37959</v>
          </cell>
          <cell r="B1062" t="str">
            <v>Offsite1Receive</v>
          </cell>
          <cell r="E1062">
            <v>207.89990234375</v>
          </cell>
          <cell r="F1062">
            <v>30</v>
          </cell>
          <cell r="G1062">
            <v>10595</v>
          </cell>
          <cell r="H1062">
            <v>0</v>
          </cell>
          <cell r="I1062">
            <v>0</v>
          </cell>
          <cell r="L1062">
            <v>0</v>
          </cell>
          <cell r="M1062">
            <v>0</v>
          </cell>
          <cell r="N1062">
            <v>0</v>
          </cell>
          <cell r="S1062">
            <v>0</v>
          </cell>
          <cell r="T1062">
            <v>0</v>
          </cell>
          <cell r="U1062">
            <v>0</v>
          </cell>
          <cell r="W1062">
            <v>152.9</v>
          </cell>
          <cell r="X1062">
            <v>0</v>
          </cell>
        </row>
        <row r="1063">
          <cell r="A1063">
            <v>37959</v>
          </cell>
          <cell r="B1063" t="str">
            <v>Offsite1Ship</v>
          </cell>
          <cell r="E1063">
            <v>2080</v>
          </cell>
          <cell r="F1063">
            <v>132</v>
          </cell>
          <cell r="G1063">
            <v>15716</v>
          </cell>
          <cell r="H1063">
            <v>648</v>
          </cell>
          <cell r="I1063">
            <v>0</v>
          </cell>
          <cell r="L1063">
            <v>648</v>
          </cell>
          <cell r="M1063">
            <v>0</v>
          </cell>
          <cell r="N1063">
            <v>0</v>
          </cell>
          <cell r="S1063">
            <v>0</v>
          </cell>
          <cell r="T1063">
            <v>0</v>
          </cell>
          <cell r="U1063">
            <v>0</v>
          </cell>
          <cell r="W1063">
            <v>0</v>
          </cell>
          <cell r="X1063">
            <v>0</v>
          </cell>
        </row>
        <row r="1064">
          <cell r="A1064">
            <v>37959</v>
          </cell>
          <cell r="B1064" t="str">
            <v>BMV Receive</v>
          </cell>
          <cell r="E1064">
            <v>154.18334960938</v>
          </cell>
          <cell r="F1064">
            <v>1.5</v>
          </cell>
          <cell r="G1064">
            <v>46709</v>
          </cell>
          <cell r="H1064">
            <v>28164</v>
          </cell>
          <cell r="I1064">
            <v>0</v>
          </cell>
          <cell r="L1064">
            <v>136.5</v>
          </cell>
          <cell r="M1064">
            <v>0</v>
          </cell>
          <cell r="N1064">
            <v>7.5</v>
          </cell>
          <cell r="S1064">
            <v>0</v>
          </cell>
          <cell r="T1064">
            <v>55</v>
          </cell>
          <cell r="U1064">
            <v>0</v>
          </cell>
          <cell r="W1064">
            <v>8.6833500000000008</v>
          </cell>
          <cell r="X1064">
            <v>0</v>
          </cell>
        </row>
        <row r="1065">
          <cell r="A1065">
            <v>37959</v>
          </cell>
          <cell r="B1065" t="str">
            <v>Picking</v>
          </cell>
          <cell r="E1065">
            <v>819.84997558594</v>
          </cell>
          <cell r="F1065">
            <v>0</v>
          </cell>
          <cell r="G1065">
            <v>72743</v>
          </cell>
          <cell r="H1065">
            <v>0</v>
          </cell>
          <cell r="I1065">
            <v>0</v>
          </cell>
          <cell r="L1065">
            <v>0</v>
          </cell>
          <cell r="M1065">
            <v>0</v>
          </cell>
          <cell r="N1065">
            <v>0</v>
          </cell>
          <cell r="S1065">
            <v>0</v>
          </cell>
          <cell r="T1065">
            <v>0</v>
          </cell>
          <cell r="U1065">
            <v>0</v>
          </cell>
          <cell r="W1065">
            <v>-76.650000000000006</v>
          </cell>
          <cell r="X1065">
            <v>0</v>
          </cell>
        </row>
        <row r="1066">
          <cell r="A1066">
            <v>37959</v>
          </cell>
          <cell r="B1066" t="str">
            <v>Replenishment</v>
          </cell>
          <cell r="E1066">
            <v>135.25</v>
          </cell>
          <cell r="F1066">
            <v>0</v>
          </cell>
          <cell r="G1066">
            <v>24093</v>
          </cell>
          <cell r="H1066">
            <v>0</v>
          </cell>
          <cell r="I1066">
            <v>0</v>
          </cell>
          <cell r="L1066">
            <v>0</v>
          </cell>
          <cell r="M1066">
            <v>0</v>
          </cell>
          <cell r="N1066">
            <v>0</v>
          </cell>
          <cell r="S1066">
            <v>0</v>
          </cell>
          <cell r="T1066">
            <v>0</v>
          </cell>
          <cell r="U1066">
            <v>0</v>
          </cell>
          <cell r="W1066">
            <v>0</v>
          </cell>
          <cell r="X1066">
            <v>0</v>
          </cell>
        </row>
        <row r="1067">
          <cell r="A1067">
            <v>37959</v>
          </cell>
          <cell r="B1067" t="str">
            <v>Office</v>
          </cell>
          <cell r="E1067">
            <v>129.48333740234</v>
          </cell>
          <cell r="F1067">
            <v>0</v>
          </cell>
          <cell r="G1067">
            <v>0</v>
          </cell>
          <cell r="H1067">
            <v>0</v>
          </cell>
          <cell r="I1067">
            <v>0</v>
          </cell>
          <cell r="L1067">
            <v>0</v>
          </cell>
          <cell r="M1067">
            <v>0</v>
          </cell>
          <cell r="N1067">
            <v>0</v>
          </cell>
          <cell r="S1067">
            <v>0</v>
          </cell>
          <cell r="T1067">
            <v>0</v>
          </cell>
          <cell r="U1067">
            <v>0</v>
          </cell>
          <cell r="W1067">
            <v>129.483</v>
          </cell>
          <cell r="X1067">
            <v>0</v>
          </cell>
        </row>
        <row r="1068">
          <cell r="A1068">
            <v>37959</v>
          </cell>
          <cell r="B1068" t="str">
            <v>Office</v>
          </cell>
          <cell r="E1068">
            <v>32.299999237061002</v>
          </cell>
          <cell r="F1068">
            <v>0</v>
          </cell>
          <cell r="G1068">
            <v>0</v>
          </cell>
          <cell r="H1068">
            <v>0</v>
          </cell>
          <cell r="I1068">
            <v>0</v>
          </cell>
          <cell r="L1068">
            <v>0</v>
          </cell>
          <cell r="M1068">
            <v>0</v>
          </cell>
          <cell r="N1068">
            <v>0</v>
          </cell>
          <cell r="S1068">
            <v>0</v>
          </cell>
          <cell r="T1068">
            <v>0</v>
          </cell>
          <cell r="U1068">
            <v>0</v>
          </cell>
          <cell r="W1068">
            <v>32.299999999999997</v>
          </cell>
          <cell r="X1068">
            <v>0</v>
          </cell>
        </row>
        <row r="1069">
          <cell r="A1069">
            <v>37959</v>
          </cell>
          <cell r="B1069" t="str">
            <v>Offsite1Receive</v>
          </cell>
          <cell r="E1069">
            <v>334.29998779297</v>
          </cell>
          <cell r="F1069">
            <v>0</v>
          </cell>
          <cell r="G1069">
            <v>0</v>
          </cell>
          <cell r="H1069">
            <v>0</v>
          </cell>
          <cell r="I1069">
            <v>0</v>
          </cell>
          <cell r="L1069">
            <v>0</v>
          </cell>
          <cell r="M1069">
            <v>0</v>
          </cell>
          <cell r="N1069">
            <v>0</v>
          </cell>
          <cell r="S1069">
            <v>0</v>
          </cell>
          <cell r="T1069">
            <v>0</v>
          </cell>
          <cell r="U1069">
            <v>0</v>
          </cell>
          <cell r="W1069">
            <v>334.3</v>
          </cell>
          <cell r="X1069">
            <v>0</v>
          </cell>
        </row>
        <row r="1070">
          <cell r="A1070">
            <v>37959</v>
          </cell>
          <cell r="B1070" t="str">
            <v>QA</v>
          </cell>
          <cell r="E1070">
            <v>88.700004577637003</v>
          </cell>
          <cell r="F1070">
            <v>0</v>
          </cell>
          <cell r="G1070">
            <v>0</v>
          </cell>
          <cell r="H1070">
            <v>0</v>
          </cell>
          <cell r="I1070">
            <v>0</v>
          </cell>
          <cell r="L1070">
            <v>0</v>
          </cell>
          <cell r="M1070">
            <v>0</v>
          </cell>
          <cell r="N1070">
            <v>0</v>
          </cell>
          <cell r="S1070">
            <v>0</v>
          </cell>
          <cell r="T1070">
            <v>0</v>
          </cell>
          <cell r="U1070">
            <v>0</v>
          </cell>
          <cell r="W1070">
            <v>88.7</v>
          </cell>
          <cell r="X1070">
            <v>0</v>
          </cell>
        </row>
        <row r="1071">
          <cell r="A1071">
            <v>37959</v>
          </cell>
          <cell r="B1071" t="str">
            <v>Facilities</v>
          </cell>
          <cell r="E1071">
            <v>202.36666870117</v>
          </cell>
          <cell r="F1071">
            <v>0</v>
          </cell>
          <cell r="G1071">
            <v>0</v>
          </cell>
          <cell r="H1071">
            <v>0</v>
          </cell>
          <cell r="I1071">
            <v>0</v>
          </cell>
          <cell r="L1071">
            <v>0</v>
          </cell>
          <cell r="M1071">
            <v>0</v>
          </cell>
          <cell r="N1071">
            <v>0</v>
          </cell>
          <cell r="S1071">
            <v>0</v>
          </cell>
          <cell r="T1071">
            <v>0</v>
          </cell>
          <cell r="U1071">
            <v>0</v>
          </cell>
          <cell r="W1071">
            <v>142.36699999999999</v>
          </cell>
          <cell r="X1071">
            <v>0</v>
          </cell>
        </row>
        <row r="1072">
          <cell r="A1072">
            <v>37959</v>
          </cell>
          <cell r="B1072" t="str">
            <v>Facilities</v>
          </cell>
          <cell r="E1072">
            <v>20.116666793823001</v>
          </cell>
          <cell r="F1072">
            <v>0</v>
          </cell>
          <cell r="G1072">
            <v>0</v>
          </cell>
          <cell r="H1072">
            <v>0</v>
          </cell>
          <cell r="I1072">
            <v>0</v>
          </cell>
          <cell r="L1072">
            <v>0</v>
          </cell>
          <cell r="M1072">
            <v>0</v>
          </cell>
          <cell r="N1072">
            <v>0</v>
          </cell>
          <cell r="S1072">
            <v>0</v>
          </cell>
          <cell r="T1072">
            <v>0</v>
          </cell>
          <cell r="U1072">
            <v>0</v>
          </cell>
          <cell r="W1072">
            <v>20.116700000000002</v>
          </cell>
          <cell r="X1072">
            <v>0</v>
          </cell>
        </row>
        <row r="1073">
          <cell r="A1073">
            <v>37959</v>
          </cell>
          <cell r="B1073" t="str">
            <v>SNOC</v>
          </cell>
          <cell r="E1073">
            <v>21.166666030883999</v>
          </cell>
          <cell r="F1073">
            <v>0</v>
          </cell>
          <cell r="G1073">
            <v>0</v>
          </cell>
          <cell r="H1073">
            <v>0</v>
          </cell>
          <cell r="I1073">
            <v>0</v>
          </cell>
          <cell r="L1073">
            <v>0</v>
          </cell>
          <cell r="M1073">
            <v>0</v>
          </cell>
          <cell r="N1073">
            <v>0</v>
          </cell>
          <cell r="S1073">
            <v>0</v>
          </cell>
          <cell r="T1073">
            <v>0</v>
          </cell>
          <cell r="U1073">
            <v>0</v>
          </cell>
          <cell r="W1073">
            <v>21.166699999999999</v>
          </cell>
          <cell r="X1073">
            <v>0</v>
          </cell>
        </row>
        <row r="1074">
          <cell r="A1074">
            <v>37959</v>
          </cell>
          <cell r="B1074" t="str">
            <v>Swat</v>
          </cell>
          <cell r="E1074">
            <v>8.3333330154418999</v>
          </cell>
          <cell r="F1074">
            <v>0</v>
          </cell>
          <cell r="G1074">
            <v>0</v>
          </cell>
          <cell r="H1074">
            <v>0</v>
          </cell>
          <cell r="I1074">
            <v>0</v>
          </cell>
          <cell r="L1074">
            <v>0</v>
          </cell>
          <cell r="M1074">
            <v>0</v>
          </cell>
          <cell r="N1074">
            <v>0</v>
          </cell>
          <cell r="S1074">
            <v>0</v>
          </cell>
          <cell r="T1074">
            <v>0</v>
          </cell>
          <cell r="U1074">
            <v>0</v>
          </cell>
          <cell r="W1074">
            <v>8.3333300000000001</v>
          </cell>
          <cell r="X1074">
            <v>0</v>
          </cell>
        </row>
        <row r="1075">
          <cell r="A1075">
            <v>37959</v>
          </cell>
          <cell r="B1075" t="str">
            <v>CustomerService</v>
          </cell>
          <cell r="E1075">
            <v>11</v>
          </cell>
          <cell r="F1075">
            <v>0</v>
          </cell>
          <cell r="G1075">
            <v>0</v>
          </cell>
          <cell r="H1075">
            <v>0</v>
          </cell>
          <cell r="I1075">
            <v>0</v>
          </cell>
          <cell r="L1075">
            <v>0</v>
          </cell>
          <cell r="M1075">
            <v>0</v>
          </cell>
          <cell r="N1075">
            <v>0</v>
          </cell>
          <cell r="S1075">
            <v>0</v>
          </cell>
          <cell r="T1075">
            <v>0</v>
          </cell>
          <cell r="U1075">
            <v>0</v>
          </cell>
          <cell r="W1075">
            <v>11</v>
          </cell>
          <cell r="X1075">
            <v>0</v>
          </cell>
        </row>
        <row r="1076">
          <cell r="A1076">
            <v>37959</v>
          </cell>
          <cell r="B1076" t="str">
            <v>CustomerService</v>
          </cell>
          <cell r="E1076">
            <v>11</v>
          </cell>
          <cell r="F1076">
            <v>0</v>
          </cell>
          <cell r="G1076">
            <v>0</v>
          </cell>
          <cell r="H1076">
            <v>0</v>
          </cell>
          <cell r="I1076">
            <v>0</v>
          </cell>
          <cell r="L1076">
            <v>0</v>
          </cell>
          <cell r="M1076">
            <v>0</v>
          </cell>
          <cell r="N1076">
            <v>0</v>
          </cell>
          <cell r="S1076">
            <v>0</v>
          </cell>
          <cell r="T1076">
            <v>0</v>
          </cell>
          <cell r="U1076">
            <v>0</v>
          </cell>
          <cell r="W1076">
            <v>11</v>
          </cell>
          <cell r="X1076">
            <v>0</v>
          </cell>
        </row>
        <row r="1077">
          <cell r="A1077">
            <v>37959</v>
          </cell>
          <cell r="B1077" t="str">
            <v>InventoryControl</v>
          </cell>
          <cell r="E1077">
            <v>18.200000762938998</v>
          </cell>
          <cell r="F1077">
            <v>0</v>
          </cell>
          <cell r="G1077">
            <v>0</v>
          </cell>
          <cell r="H1077">
            <v>0</v>
          </cell>
          <cell r="I1077">
            <v>0</v>
          </cell>
          <cell r="L1077">
            <v>0</v>
          </cell>
          <cell r="M1077">
            <v>0</v>
          </cell>
          <cell r="N1077">
            <v>0</v>
          </cell>
          <cell r="S1077">
            <v>0</v>
          </cell>
          <cell r="T1077">
            <v>0</v>
          </cell>
          <cell r="U1077">
            <v>0</v>
          </cell>
          <cell r="W1077">
            <v>18.2</v>
          </cell>
          <cell r="X1077">
            <v>0</v>
          </cell>
        </row>
        <row r="1078">
          <cell r="A1078">
            <v>37959</v>
          </cell>
          <cell r="B1078" t="str">
            <v>Training</v>
          </cell>
          <cell r="E1078">
            <v>8</v>
          </cell>
          <cell r="F1078">
            <v>0</v>
          </cell>
          <cell r="G1078">
            <v>0</v>
          </cell>
          <cell r="H1078">
            <v>0</v>
          </cell>
          <cell r="I1078">
            <v>0</v>
          </cell>
          <cell r="L1078">
            <v>0</v>
          </cell>
          <cell r="M1078">
            <v>0</v>
          </cell>
          <cell r="N1078">
            <v>0</v>
          </cell>
          <cell r="S1078">
            <v>0</v>
          </cell>
          <cell r="T1078">
            <v>0</v>
          </cell>
          <cell r="U1078">
            <v>0</v>
          </cell>
          <cell r="W1078">
            <v>8</v>
          </cell>
          <cell r="X1078">
            <v>0</v>
          </cell>
        </row>
        <row r="1079">
          <cell r="A1079">
            <v>37959</v>
          </cell>
          <cell r="B1079" t="str">
            <v>Training</v>
          </cell>
          <cell r="E1079">
            <v>0</v>
          </cell>
          <cell r="F1079">
            <v>0</v>
          </cell>
          <cell r="G1079">
            <v>0</v>
          </cell>
          <cell r="H1079">
            <v>0</v>
          </cell>
          <cell r="I1079">
            <v>0</v>
          </cell>
          <cell r="L1079">
            <v>0</v>
          </cell>
          <cell r="M1079">
            <v>0</v>
          </cell>
          <cell r="N1079">
            <v>0</v>
          </cell>
          <cell r="S1079">
            <v>0</v>
          </cell>
          <cell r="T1079">
            <v>0</v>
          </cell>
          <cell r="U1079">
            <v>0</v>
          </cell>
          <cell r="W1079">
            <v>0</v>
          </cell>
          <cell r="X1079">
            <v>0</v>
          </cell>
        </row>
        <row r="1080">
          <cell r="A1080">
            <v>37959</v>
          </cell>
          <cell r="B1080" t="str">
            <v>Offsite1Ship</v>
          </cell>
          <cell r="E1080">
            <v>0</v>
          </cell>
          <cell r="F1080">
            <v>0</v>
          </cell>
          <cell r="G1080">
            <v>0</v>
          </cell>
          <cell r="H1080">
            <v>0</v>
          </cell>
          <cell r="I1080">
            <v>0</v>
          </cell>
          <cell r="L1080">
            <v>0</v>
          </cell>
          <cell r="M1080">
            <v>0</v>
          </cell>
          <cell r="N1080">
            <v>0</v>
          </cell>
          <cell r="S1080">
            <v>0</v>
          </cell>
          <cell r="T1080">
            <v>0</v>
          </cell>
          <cell r="U1080">
            <v>0</v>
          </cell>
          <cell r="W1080">
            <v>0</v>
          </cell>
          <cell r="X1080">
            <v>0</v>
          </cell>
        </row>
        <row r="1081">
          <cell r="A1081">
            <v>37958</v>
          </cell>
          <cell r="B1081" t="str">
            <v>Shipping</v>
          </cell>
          <cell r="E1081">
            <v>809.84997558594</v>
          </cell>
          <cell r="F1081">
            <v>0</v>
          </cell>
          <cell r="G1081">
            <v>0</v>
          </cell>
          <cell r="H1081">
            <v>0</v>
          </cell>
          <cell r="I1081">
            <v>0</v>
          </cell>
          <cell r="L1081">
            <v>0</v>
          </cell>
          <cell r="M1081">
            <v>0</v>
          </cell>
          <cell r="N1081">
            <v>0</v>
          </cell>
          <cell r="S1081">
            <v>0</v>
          </cell>
          <cell r="T1081">
            <v>0</v>
          </cell>
          <cell r="U1081">
            <v>0</v>
          </cell>
          <cell r="W1081">
            <v>73.849999999999994</v>
          </cell>
          <cell r="X1081">
            <v>0</v>
          </cell>
        </row>
        <row r="1082">
          <cell r="A1082">
            <v>37958</v>
          </cell>
          <cell r="B1082" t="str">
            <v>Autobox</v>
          </cell>
          <cell r="E1082">
            <v>321</v>
          </cell>
          <cell r="F1082">
            <v>24</v>
          </cell>
          <cell r="G1082">
            <v>38115</v>
          </cell>
          <cell r="H1082">
            <v>0</v>
          </cell>
          <cell r="I1082">
            <v>0</v>
          </cell>
          <cell r="L1082">
            <v>0</v>
          </cell>
          <cell r="M1082">
            <v>0</v>
          </cell>
          <cell r="N1082">
            <v>0</v>
          </cell>
          <cell r="S1082">
            <v>0</v>
          </cell>
          <cell r="T1082">
            <v>0</v>
          </cell>
          <cell r="U1082">
            <v>0</v>
          </cell>
          <cell r="W1082">
            <v>0</v>
          </cell>
          <cell r="X1082">
            <v>0</v>
          </cell>
        </row>
        <row r="1083">
          <cell r="A1083">
            <v>37958</v>
          </cell>
          <cell r="B1083" t="str">
            <v>Levimatic</v>
          </cell>
          <cell r="E1083">
            <v>34</v>
          </cell>
          <cell r="F1083">
            <v>0</v>
          </cell>
          <cell r="G1083">
            <v>6346</v>
          </cell>
          <cell r="H1083">
            <v>0</v>
          </cell>
          <cell r="I1083">
            <v>0</v>
          </cell>
          <cell r="L1083">
            <v>0</v>
          </cell>
          <cell r="M1083">
            <v>0</v>
          </cell>
          <cell r="N1083">
            <v>0</v>
          </cell>
          <cell r="S1083">
            <v>0</v>
          </cell>
          <cell r="T1083">
            <v>0</v>
          </cell>
          <cell r="U1083">
            <v>0</v>
          </cell>
          <cell r="W1083">
            <v>0</v>
          </cell>
          <cell r="X1083">
            <v>0</v>
          </cell>
        </row>
        <row r="1084">
          <cell r="A1084">
            <v>37958</v>
          </cell>
          <cell r="B1084" t="str">
            <v>Giftwrap</v>
          </cell>
          <cell r="E1084">
            <v>163.5</v>
          </cell>
          <cell r="F1084">
            <v>0</v>
          </cell>
          <cell r="G1084">
            <v>2431</v>
          </cell>
          <cell r="H1084">
            <v>0</v>
          </cell>
          <cell r="I1084">
            <v>0</v>
          </cell>
          <cell r="L1084">
            <v>0</v>
          </cell>
          <cell r="M1084">
            <v>0</v>
          </cell>
          <cell r="N1084">
            <v>0</v>
          </cell>
          <cell r="S1084">
            <v>0</v>
          </cell>
          <cell r="T1084">
            <v>0</v>
          </cell>
          <cell r="U1084">
            <v>0</v>
          </cell>
          <cell r="W1084">
            <v>0</v>
          </cell>
          <cell r="X1084">
            <v>2431</v>
          </cell>
        </row>
        <row r="1085">
          <cell r="A1085">
            <v>37958</v>
          </cell>
          <cell r="B1085" t="str">
            <v>ShipSupport</v>
          </cell>
          <cell r="E1085">
            <v>291.34999847412001</v>
          </cell>
          <cell r="F1085">
            <v>69.5</v>
          </cell>
          <cell r="G1085">
            <v>0</v>
          </cell>
          <cell r="H1085">
            <v>0</v>
          </cell>
          <cell r="I1085">
            <v>0</v>
          </cell>
          <cell r="L1085">
            <v>0</v>
          </cell>
          <cell r="M1085">
            <v>0</v>
          </cell>
          <cell r="N1085">
            <v>0</v>
          </cell>
          <cell r="S1085">
            <v>0</v>
          </cell>
          <cell r="T1085">
            <v>0</v>
          </cell>
          <cell r="U1085">
            <v>0</v>
          </cell>
          <cell r="W1085">
            <v>73.849999999999994</v>
          </cell>
          <cell r="X1085">
            <v>0</v>
          </cell>
        </row>
        <row r="1086">
          <cell r="A1086">
            <v>37958</v>
          </cell>
          <cell r="B1086" t="str">
            <v>Sortation</v>
          </cell>
          <cell r="E1086">
            <v>639.63336181641</v>
          </cell>
          <cell r="F1086">
            <v>0</v>
          </cell>
          <cell r="G1086">
            <v>0</v>
          </cell>
          <cell r="H1086">
            <v>0</v>
          </cell>
          <cell r="I1086">
            <v>0</v>
          </cell>
          <cell r="L1086">
            <v>0</v>
          </cell>
          <cell r="M1086">
            <v>0</v>
          </cell>
          <cell r="N1086">
            <v>0</v>
          </cell>
          <cell r="S1086">
            <v>0</v>
          </cell>
          <cell r="T1086">
            <v>0</v>
          </cell>
          <cell r="U1086">
            <v>0</v>
          </cell>
          <cell r="W1086">
            <v>1.6333599999999999</v>
          </cell>
          <cell r="X1086">
            <v>0</v>
          </cell>
        </row>
        <row r="1087">
          <cell r="A1087">
            <v>37958</v>
          </cell>
          <cell r="B1087" t="str">
            <v>Rebin</v>
          </cell>
          <cell r="E1087">
            <v>293</v>
          </cell>
          <cell r="F1087">
            <v>69</v>
          </cell>
          <cell r="G1087">
            <v>51796</v>
          </cell>
          <cell r="H1087">
            <v>0</v>
          </cell>
          <cell r="I1087">
            <v>0</v>
          </cell>
          <cell r="L1087">
            <v>0</v>
          </cell>
          <cell r="M1087">
            <v>0</v>
          </cell>
          <cell r="N1087">
            <v>0</v>
          </cell>
          <cell r="S1087">
            <v>0</v>
          </cell>
          <cell r="T1087">
            <v>0</v>
          </cell>
          <cell r="U1087">
            <v>0</v>
          </cell>
          <cell r="W1087">
            <v>0</v>
          </cell>
          <cell r="X1087">
            <v>0</v>
          </cell>
        </row>
        <row r="1088">
          <cell r="A1088">
            <v>37958</v>
          </cell>
          <cell r="B1088" t="str">
            <v>Stack</v>
          </cell>
          <cell r="E1088">
            <v>207</v>
          </cell>
          <cell r="F1088">
            <v>0</v>
          </cell>
          <cell r="G1088">
            <v>33526</v>
          </cell>
          <cell r="H1088">
            <v>0</v>
          </cell>
          <cell r="I1088">
            <v>0</v>
          </cell>
          <cell r="L1088">
            <v>0</v>
          </cell>
          <cell r="M1088">
            <v>0</v>
          </cell>
          <cell r="N1088">
            <v>0</v>
          </cell>
          <cell r="S1088">
            <v>5266</v>
          </cell>
          <cell r="T1088">
            <v>0</v>
          </cell>
          <cell r="U1088">
            <v>0</v>
          </cell>
          <cell r="W1088">
            <v>0</v>
          </cell>
          <cell r="X1088">
            <v>0</v>
          </cell>
        </row>
        <row r="1089">
          <cell r="A1089">
            <v>37958</v>
          </cell>
          <cell r="B1089" t="str">
            <v>Bundler</v>
          </cell>
          <cell r="E1089">
            <v>139.63336002827</v>
          </cell>
          <cell r="F1089">
            <v>0</v>
          </cell>
          <cell r="G1089">
            <v>33526</v>
          </cell>
          <cell r="H1089">
            <v>0</v>
          </cell>
          <cell r="I1089">
            <v>0</v>
          </cell>
          <cell r="L1089">
            <v>0</v>
          </cell>
          <cell r="M1089">
            <v>0</v>
          </cell>
          <cell r="N1089">
            <v>0</v>
          </cell>
          <cell r="S1089">
            <v>0</v>
          </cell>
          <cell r="T1089">
            <v>0</v>
          </cell>
          <cell r="U1089">
            <v>0</v>
          </cell>
          <cell r="W1089">
            <v>1.6333599999999999</v>
          </cell>
          <cell r="X1089">
            <v>11314</v>
          </cell>
        </row>
        <row r="1090">
          <cell r="A1090">
            <v>37958</v>
          </cell>
          <cell r="B1090" t="str">
            <v>Picking</v>
          </cell>
          <cell r="E1090">
            <v>885.09997558594</v>
          </cell>
          <cell r="F1090">
            <v>0</v>
          </cell>
          <cell r="G1090">
            <v>72658</v>
          </cell>
          <cell r="H1090">
            <v>0</v>
          </cell>
          <cell r="I1090">
            <v>0</v>
          </cell>
          <cell r="L1090">
            <v>0</v>
          </cell>
          <cell r="M1090">
            <v>0</v>
          </cell>
          <cell r="N1090">
            <v>0</v>
          </cell>
          <cell r="S1090">
            <v>0</v>
          </cell>
          <cell r="T1090">
            <v>0</v>
          </cell>
          <cell r="U1090">
            <v>0</v>
          </cell>
          <cell r="W1090">
            <v>-49.4</v>
          </cell>
          <cell r="X1090">
            <v>0</v>
          </cell>
        </row>
        <row r="1091">
          <cell r="A1091">
            <v>37958</v>
          </cell>
          <cell r="B1091" t="str">
            <v>CReturns</v>
          </cell>
          <cell r="E1091">
            <v>8.4500007629394993</v>
          </cell>
          <cell r="F1091">
            <v>0</v>
          </cell>
          <cell r="G1091">
            <v>223</v>
          </cell>
          <cell r="H1091">
            <v>0</v>
          </cell>
          <cell r="I1091">
            <v>0</v>
          </cell>
          <cell r="L1091">
            <v>0</v>
          </cell>
          <cell r="M1091">
            <v>0</v>
          </cell>
          <cell r="N1091">
            <v>0</v>
          </cell>
          <cell r="S1091">
            <v>0</v>
          </cell>
          <cell r="T1091">
            <v>0</v>
          </cell>
          <cell r="U1091">
            <v>0</v>
          </cell>
          <cell r="W1091">
            <v>1.1499999999999999</v>
          </cell>
          <cell r="X1091">
            <v>0</v>
          </cell>
        </row>
        <row r="1092">
          <cell r="A1092">
            <v>37958</v>
          </cell>
          <cell r="B1092" t="str">
            <v>Vreturns</v>
          </cell>
          <cell r="E1092">
            <v>51.799999237061002</v>
          </cell>
          <cell r="F1092">
            <v>0</v>
          </cell>
          <cell r="G1092">
            <v>5453</v>
          </cell>
          <cell r="H1092">
            <v>0</v>
          </cell>
          <cell r="I1092">
            <v>0</v>
          </cell>
          <cell r="L1092">
            <v>0</v>
          </cell>
          <cell r="M1092">
            <v>0</v>
          </cell>
          <cell r="N1092">
            <v>0</v>
          </cell>
          <cell r="S1092">
            <v>0</v>
          </cell>
          <cell r="T1092">
            <v>0</v>
          </cell>
          <cell r="U1092">
            <v>0</v>
          </cell>
          <cell r="W1092">
            <v>0.20000100000000001</v>
          </cell>
          <cell r="X1092">
            <v>0</v>
          </cell>
        </row>
        <row r="1093">
          <cell r="A1093">
            <v>37958</v>
          </cell>
          <cell r="B1093" t="str">
            <v>InventoryControl</v>
          </cell>
          <cell r="E1093">
            <v>206.93333435059</v>
          </cell>
          <cell r="F1093">
            <v>0</v>
          </cell>
          <cell r="G1093">
            <v>0</v>
          </cell>
          <cell r="H1093">
            <v>0</v>
          </cell>
          <cell r="I1093">
            <v>0</v>
          </cell>
          <cell r="L1093">
            <v>0</v>
          </cell>
          <cell r="M1093">
            <v>0</v>
          </cell>
          <cell r="N1093">
            <v>0</v>
          </cell>
          <cell r="S1093">
            <v>0</v>
          </cell>
          <cell r="T1093">
            <v>0</v>
          </cell>
          <cell r="U1093">
            <v>0</v>
          </cell>
          <cell r="W1093">
            <v>30.453299999999999</v>
          </cell>
          <cell r="X1093">
            <v>0</v>
          </cell>
        </row>
        <row r="1094">
          <cell r="A1094">
            <v>37958</v>
          </cell>
          <cell r="B1094" t="str">
            <v>QA</v>
          </cell>
          <cell r="E1094">
            <v>140.25</v>
          </cell>
          <cell r="F1094">
            <v>0</v>
          </cell>
          <cell r="G1094">
            <v>0</v>
          </cell>
          <cell r="H1094">
            <v>0</v>
          </cell>
          <cell r="I1094">
            <v>0</v>
          </cell>
          <cell r="L1094">
            <v>0</v>
          </cell>
          <cell r="M1094">
            <v>0</v>
          </cell>
          <cell r="N1094">
            <v>0</v>
          </cell>
          <cell r="S1094">
            <v>0</v>
          </cell>
          <cell r="T1094">
            <v>0</v>
          </cell>
          <cell r="U1094">
            <v>0</v>
          </cell>
          <cell r="W1094">
            <v>140.25</v>
          </cell>
          <cell r="X1094">
            <v>0</v>
          </cell>
        </row>
        <row r="1095">
          <cell r="A1095">
            <v>37958</v>
          </cell>
          <cell r="B1095" t="str">
            <v>Sortation</v>
          </cell>
          <cell r="E1095">
            <v>1187.2667236328</v>
          </cell>
          <cell r="F1095">
            <v>0</v>
          </cell>
          <cell r="G1095">
            <v>0</v>
          </cell>
          <cell r="H1095">
            <v>0</v>
          </cell>
          <cell r="I1095">
            <v>0</v>
          </cell>
          <cell r="L1095">
            <v>0</v>
          </cell>
          <cell r="M1095">
            <v>0</v>
          </cell>
          <cell r="N1095">
            <v>0</v>
          </cell>
          <cell r="S1095">
            <v>0</v>
          </cell>
          <cell r="T1095">
            <v>0</v>
          </cell>
          <cell r="U1095">
            <v>0</v>
          </cell>
          <cell r="W1095">
            <v>59.2667</v>
          </cell>
          <cell r="X1095">
            <v>0</v>
          </cell>
        </row>
        <row r="1096">
          <cell r="A1096">
            <v>37958</v>
          </cell>
          <cell r="B1096" t="str">
            <v>Rebin</v>
          </cell>
          <cell r="E1096">
            <v>450</v>
          </cell>
          <cell r="F1096">
            <v>86.5</v>
          </cell>
          <cell r="G1096">
            <v>83209</v>
          </cell>
          <cell r="H1096">
            <v>0</v>
          </cell>
          <cell r="I1096">
            <v>0</v>
          </cell>
          <cell r="L1096">
            <v>0</v>
          </cell>
          <cell r="M1096">
            <v>0</v>
          </cell>
          <cell r="N1096">
            <v>0</v>
          </cell>
          <cell r="S1096">
            <v>0</v>
          </cell>
          <cell r="T1096">
            <v>0</v>
          </cell>
          <cell r="U1096">
            <v>0</v>
          </cell>
          <cell r="W1096">
            <v>0</v>
          </cell>
          <cell r="X1096">
            <v>0</v>
          </cell>
        </row>
        <row r="1097">
          <cell r="A1097">
            <v>37958</v>
          </cell>
          <cell r="B1097" t="str">
            <v>Stack</v>
          </cell>
          <cell r="E1097">
            <v>400</v>
          </cell>
          <cell r="F1097">
            <v>0</v>
          </cell>
          <cell r="G1097">
            <v>57782</v>
          </cell>
          <cell r="H1097">
            <v>0</v>
          </cell>
          <cell r="I1097">
            <v>0</v>
          </cell>
          <cell r="L1097">
            <v>0</v>
          </cell>
          <cell r="M1097">
            <v>0</v>
          </cell>
          <cell r="N1097">
            <v>0</v>
          </cell>
          <cell r="S1097">
            <v>1189</v>
          </cell>
          <cell r="T1097">
            <v>0</v>
          </cell>
          <cell r="U1097">
            <v>0</v>
          </cell>
          <cell r="W1097">
            <v>0</v>
          </cell>
          <cell r="X1097">
            <v>0</v>
          </cell>
        </row>
        <row r="1098">
          <cell r="A1098">
            <v>37958</v>
          </cell>
          <cell r="B1098" t="str">
            <v>Bundler</v>
          </cell>
          <cell r="E1098">
            <v>337.26670074462999</v>
          </cell>
          <cell r="F1098">
            <v>0</v>
          </cell>
          <cell r="G1098">
            <v>57782</v>
          </cell>
          <cell r="H1098">
            <v>0</v>
          </cell>
          <cell r="I1098">
            <v>0</v>
          </cell>
          <cell r="L1098">
            <v>0</v>
          </cell>
          <cell r="M1098">
            <v>0</v>
          </cell>
          <cell r="N1098">
            <v>0</v>
          </cell>
          <cell r="S1098">
            <v>0</v>
          </cell>
          <cell r="T1098">
            <v>0</v>
          </cell>
          <cell r="U1098">
            <v>0</v>
          </cell>
          <cell r="W1098">
            <v>59.2667</v>
          </cell>
          <cell r="X1098">
            <v>16902</v>
          </cell>
        </row>
        <row r="1099">
          <cell r="A1099">
            <v>37958</v>
          </cell>
          <cell r="B1099" t="str">
            <v>Picking</v>
          </cell>
          <cell r="E1099">
            <v>1107.25</v>
          </cell>
          <cell r="F1099">
            <v>0</v>
          </cell>
          <cell r="G1099">
            <v>100991</v>
          </cell>
          <cell r="H1099">
            <v>0</v>
          </cell>
          <cell r="I1099">
            <v>0</v>
          </cell>
          <cell r="L1099">
            <v>0</v>
          </cell>
          <cell r="M1099">
            <v>0</v>
          </cell>
          <cell r="N1099">
            <v>0</v>
          </cell>
          <cell r="S1099">
            <v>0</v>
          </cell>
          <cell r="T1099">
            <v>0</v>
          </cell>
          <cell r="U1099">
            <v>0</v>
          </cell>
          <cell r="W1099">
            <v>12.25</v>
          </cell>
          <cell r="X1099">
            <v>0</v>
          </cell>
        </row>
        <row r="1100">
          <cell r="A1100">
            <v>37958</v>
          </cell>
          <cell r="B1100" t="str">
            <v>ManualVDF</v>
          </cell>
          <cell r="E1100">
            <v>83.5</v>
          </cell>
          <cell r="F1100">
            <v>0</v>
          </cell>
          <cell r="G1100">
            <v>3475</v>
          </cell>
          <cell r="H1100">
            <v>0</v>
          </cell>
          <cell r="I1100">
            <v>0</v>
          </cell>
          <cell r="L1100">
            <v>0</v>
          </cell>
          <cell r="M1100">
            <v>0</v>
          </cell>
          <cell r="N1100">
            <v>0</v>
          </cell>
          <cell r="S1100">
            <v>0</v>
          </cell>
          <cell r="T1100">
            <v>0</v>
          </cell>
          <cell r="U1100">
            <v>0</v>
          </cell>
          <cell r="W1100">
            <v>0</v>
          </cell>
          <cell r="X1100">
            <v>3475</v>
          </cell>
        </row>
        <row r="1101">
          <cell r="A1101">
            <v>37958</v>
          </cell>
          <cell r="B1101" t="str">
            <v>BMV Receive</v>
          </cell>
          <cell r="E1101">
            <v>389.68334960938</v>
          </cell>
          <cell r="F1101">
            <v>50.27</v>
          </cell>
          <cell r="G1101">
            <v>77066</v>
          </cell>
          <cell r="H1101">
            <v>49847</v>
          </cell>
          <cell r="I1101">
            <v>0</v>
          </cell>
          <cell r="L1101">
            <v>231.5</v>
          </cell>
          <cell r="M1101">
            <v>0</v>
          </cell>
          <cell r="N1101">
            <v>36</v>
          </cell>
          <cell r="S1101">
            <v>0</v>
          </cell>
          <cell r="T1101">
            <v>30.5</v>
          </cell>
          <cell r="U1101">
            <v>0</v>
          </cell>
          <cell r="W1101">
            <v>71.913399999999996</v>
          </cell>
          <cell r="X1101">
            <v>0</v>
          </cell>
        </row>
        <row r="1102">
          <cell r="A1102">
            <v>37958</v>
          </cell>
          <cell r="B1102" t="str">
            <v>BMV Stow</v>
          </cell>
          <cell r="E1102">
            <v>219</v>
          </cell>
          <cell r="F1102">
            <v>0</v>
          </cell>
          <cell r="G1102">
            <v>69171</v>
          </cell>
          <cell r="H1102">
            <v>55924</v>
          </cell>
          <cell r="I1102">
            <v>13247</v>
          </cell>
          <cell r="L1102">
            <v>203</v>
          </cell>
          <cell r="M1102">
            <v>16</v>
          </cell>
          <cell r="N1102">
            <v>0</v>
          </cell>
          <cell r="S1102">
            <v>0</v>
          </cell>
          <cell r="T1102">
            <v>0</v>
          </cell>
          <cell r="U1102">
            <v>0</v>
          </cell>
          <cell r="W1102">
            <v>0</v>
          </cell>
          <cell r="X1102">
            <v>0</v>
          </cell>
        </row>
        <row r="1103">
          <cell r="A1103">
            <v>37958</v>
          </cell>
          <cell r="B1103" t="str">
            <v>BMV Receive</v>
          </cell>
          <cell r="E1103">
            <v>154.39999389648</v>
          </cell>
          <cell r="F1103">
            <v>1.5</v>
          </cell>
          <cell r="G1103">
            <v>46724</v>
          </cell>
          <cell r="H1103">
            <v>33262</v>
          </cell>
          <cell r="I1103">
            <v>0</v>
          </cell>
          <cell r="L1103">
            <v>148.25</v>
          </cell>
          <cell r="M1103">
            <v>0</v>
          </cell>
          <cell r="N1103">
            <v>8</v>
          </cell>
          <cell r="S1103">
            <v>0</v>
          </cell>
          <cell r="T1103">
            <v>43.75</v>
          </cell>
          <cell r="U1103">
            <v>0</v>
          </cell>
          <cell r="W1103">
            <v>-3.3500100000000002</v>
          </cell>
          <cell r="X1103">
            <v>0</v>
          </cell>
        </row>
        <row r="1104">
          <cell r="A1104">
            <v>37958</v>
          </cell>
          <cell r="B1104" t="str">
            <v>Offsite1Receive</v>
          </cell>
          <cell r="E1104">
            <v>138.58349609375</v>
          </cell>
          <cell r="F1104">
            <v>30</v>
          </cell>
          <cell r="G1104">
            <v>2725</v>
          </cell>
          <cell r="H1104">
            <v>0</v>
          </cell>
          <cell r="I1104">
            <v>0</v>
          </cell>
          <cell r="L1104">
            <v>0</v>
          </cell>
          <cell r="M1104">
            <v>0</v>
          </cell>
          <cell r="N1104">
            <v>0</v>
          </cell>
          <cell r="S1104">
            <v>0</v>
          </cell>
          <cell r="T1104">
            <v>0</v>
          </cell>
          <cell r="U1104">
            <v>0</v>
          </cell>
          <cell r="W1104">
            <v>78.583500000000001</v>
          </cell>
          <cell r="X1104">
            <v>0</v>
          </cell>
        </row>
        <row r="1105">
          <cell r="A1105">
            <v>37958</v>
          </cell>
          <cell r="B1105" t="str">
            <v>BMV Stow</v>
          </cell>
          <cell r="E1105">
            <v>147</v>
          </cell>
          <cell r="F1105">
            <v>0</v>
          </cell>
          <cell r="G1105">
            <v>50737</v>
          </cell>
          <cell r="H1105">
            <v>33565</v>
          </cell>
          <cell r="I1105">
            <v>17172</v>
          </cell>
          <cell r="L1105">
            <v>129</v>
          </cell>
          <cell r="M1105">
            <v>18</v>
          </cell>
          <cell r="N1105">
            <v>0</v>
          </cell>
          <cell r="S1105">
            <v>0</v>
          </cell>
          <cell r="T1105">
            <v>0</v>
          </cell>
          <cell r="U1105">
            <v>0</v>
          </cell>
          <cell r="W1105">
            <v>0</v>
          </cell>
          <cell r="X1105">
            <v>0</v>
          </cell>
        </row>
        <row r="1106">
          <cell r="A1106">
            <v>37958</v>
          </cell>
          <cell r="B1106" t="str">
            <v>Replenishment</v>
          </cell>
          <cell r="E1106">
            <v>194.75</v>
          </cell>
          <cell r="F1106">
            <v>0</v>
          </cell>
          <cell r="G1106">
            <v>32720</v>
          </cell>
          <cell r="H1106">
            <v>0</v>
          </cell>
          <cell r="I1106">
            <v>0</v>
          </cell>
          <cell r="L1106">
            <v>0</v>
          </cell>
          <cell r="M1106">
            <v>0</v>
          </cell>
          <cell r="N1106">
            <v>0</v>
          </cell>
          <cell r="S1106">
            <v>0</v>
          </cell>
          <cell r="T1106">
            <v>0</v>
          </cell>
          <cell r="U1106">
            <v>0</v>
          </cell>
          <cell r="W1106">
            <v>0</v>
          </cell>
          <cell r="X1106">
            <v>0</v>
          </cell>
        </row>
        <row r="1107">
          <cell r="A1107">
            <v>37958</v>
          </cell>
          <cell r="B1107" t="str">
            <v>Shipping</v>
          </cell>
          <cell r="E1107">
            <v>764.59997558594</v>
          </cell>
          <cell r="F1107">
            <v>0</v>
          </cell>
          <cell r="G1107">
            <v>0</v>
          </cell>
          <cell r="H1107">
            <v>0</v>
          </cell>
          <cell r="I1107">
            <v>0</v>
          </cell>
          <cell r="L1107">
            <v>0</v>
          </cell>
          <cell r="M1107">
            <v>0</v>
          </cell>
          <cell r="N1107">
            <v>0</v>
          </cell>
          <cell r="S1107">
            <v>0</v>
          </cell>
          <cell r="T1107">
            <v>0</v>
          </cell>
          <cell r="U1107">
            <v>0</v>
          </cell>
          <cell r="W1107">
            <v>78.099999999999994</v>
          </cell>
          <cell r="X1107">
            <v>15131</v>
          </cell>
        </row>
        <row r="1108">
          <cell r="A1108">
            <v>37958</v>
          </cell>
          <cell r="B1108" t="str">
            <v>Autobox</v>
          </cell>
          <cell r="E1108">
            <v>233</v>
          </cell>
          <cell r="F1108">
            <v>62</v>
          </cell>
          <cell r="G1108">
            <v>30517</v>
          </cell>
          <cell r="H1108">
            <v>0</v>
          </cell>
          <cell r="I1108">
            <v>0</v>
          </cell>
          <cell r="L1108">
            <v>0</v>
          </cell>
          <cell r="M1108">
            <v>0</v>
          </cell>
          <cell r="N1108">
            <v>0</v>
          </cell>
          <cell r="S1108">
            <v>0</v>
          </cell>
          <cell r="T1108">
            <v>0</v>
          </cell>
          <cell r="U1108">
            <v>0</v>
          </cell>
          <cell r="W1108">
            <v>0</v>
          </cell>
          <cell r="X1108">
            <v>0</v>
          </cell>
        </row>
        <row r="1109">
          <cell r="A1109">
            <v>37958</v>
          </cell>
          <cell r="B1109" t="str">
            <v>Levimatic</v>
          </cell>
          <cell r="E1109">
            <v>28</v>
          </cell>
          <cell r="F1109">
            <v>14</v>
          </cell>
          <cell r="G1109">
            <v>4583</v>
          </cell>
          <cell r="H1109">
            <v>0</v>
          </cell>
          <cell r="I1109">
            <v>0</v>
          </cell>
          <cell r="L1109">
            <v>0</v>
          </cell>
          <cell r="M1109">
            <v>0</v>
          </cell>
          <cell r="N1109">
            <v>0</v>
          </cell>
          <cell r="S1109">
            <v>0</v>
          </cell>
          <cell r="T1109">
            <v>0</v>
          </cell>
          <cell r="U1109">
            <v>0</v>
          </cell>
          <cell r="W1109">
            <v>0</v>
          </cell>
          <cell r="X1109">
            <v>4064</v>
          </cell>
        </row>
        <row r="1110">
          <cell r="A1110">
            <v>37958</v>
          </cell>
          <cell r="B1110" t="str">
            <v>Giftwrap</v>
          </cell>
          <cell r="E1110">
            <v>93</v>
          </cell>
          <cell r="F1110">
            <v>0</v>
          </cell>
          <cell r="G1110">
            <v>1548</v>
          </cell>
          <cell r="H1110">
            <v>0</v>
          </cell>
          <cell r="I1110">
            <v>0</v>
          </cell>
          <cell r="L1110">
            <v>0</v>
          </cell>
          <cell r="M1110">
            <v>0</v>
          </cell>
          <cell r="N1110">
            <v>0</v>
          </cell>
          <cell r="S1110">
            <v>0</v>
          </cell>
          <cell r="T1110">
            <v>0</v>
          </cell>
          <cell r="U1110">
            <v>0</v>
          </cell>
          <cell r="W1110">
            <v>0</v>
          </cell>
          <cell r="X1110">
            <v>0</v>
          </cell>
        </row>
        <row r="1111">
          <cell r="A1111">
            <v>37958</v>
          </cell>
          <cell r="B1111" t="str">
            <v>ShipSupport</v>
          </cell>
          <cell r="E1111">
            <v>410.59999847412001</v>
          </cell>
          <cell r="F1111">
            <v>140</v>
          </cell>
          <cell r="G1111">
            <v>0</v>
          </cell>
          <cell r="H1111">
            <v>0</v>
          </cell>
          <cell r="I1111">
            <v>0</v>
          </cell>
          <cell r="L1111">
            <v>0</v>
          </cell>
          <cell r="M1111">
            <v>0</v>
          </cell>
          <cell r="N1111">
            <v>0</v>
          </cell>
          <cell r="S1111">
            <v>0</v>
          </cell>
          <cell r="T1111">
            <v>0</v>
          </cell>
          <cell r="U1111">
            <v>0</v>
          </cell>
          <cell r="W1111">
            <v>78.099999999999994</v>
          </cell>
          <cell r="X1111">
            <v>0</v>
          </cell>
        </row>
        <row r="1112">
          <cell r="A1112">
            <v>37958</v>
          </cell>
          <cell r="B1112" t="str">
            <v>Replenishment</v>
          </cell>
          <cell r="E1112">
            <v>139</v>
          </cell>
          <cell r="F1112">
            <v>0</v>
          </cell>
          <cell r="G1112">
            <v>26677</v>
          </cell>
          <cell r="H1112">
            <v>0</v>
          </cell>
          <cell r="I1112">
            <v>0</v>
          </cell>
          <cell r="L1112">
            <v>0</v>
          </cell>
          <cell r="M1112">
            <v>0</v>
          </cell>
          <cell r="N1112">
            <v>0</v>
          </cell>
          <cell r="S1112">
            <v>0</v>
          </cell>
          <cell r="T1112">
            <v>0</v>
          </cell>
          <cell r="U1112">
            <v>0</v>
          </cell>
          <cell r="W1112">
            <v>0</v>
          </cell>
          <cell r="X1112">
            <v>0</v>
          </cell>
        </row>
        <row r="1113">
          <cell r="A1113">
            <v>37958</v>
          </cell>
          <cell r="B1113" t="str">
            <v>Offsite1Ship</v>
          </cell>
          <cell r="E1113">
            <v>2161.3999023438</v>
          </cell>
          <cell r="F1113">
            <v>0</v>
          </cell>
          <cell r="G1113">
            <v>18190</v>
          </cell>
          <cell r="H1113">
            <v>0</v>
          </cell>
          <cell r="I1113">
            <v>0</v>
          </cell>
          <cell r="L1113">
            <v>0</v>
          </cell>
          <cell r="M1113">
            <v>0</v>
          </cell>
          <cell r="N1113">
            <v>0</v>
          </cell>
          <cell r="S1113">
            <v>0</v>
          </cell>
          <cell r="T1113">
            <v>0</v>
          </cell>
          <cell r="U1113">
            <v>0</v>
          </cell>
          <cell r="W1113">
            <v>0</v>
          </cell>
          <cell r="X1113">
            <v>0</v>
          </cell>
        </row>
        <row r="1114">
          <cell r="A1114">
            <v>37958</v>
          </cell>
          <cell r="B1114" t="str">
            <v>Office</v>
          </cell>
          <cell r="E1114">
            <v>137.25</v>
          </cell>
          <cell r="F1114">
            <v>0</v>
          </cell>
          <cell r="G1114">
            <v>0</v>
          </cell>
          <cell r="H1114">
            <v>0</v>
          </cell>
          <cell r="I1114">
            <v>0</v>
          </cell>
          <cell r="L1114">
            <v>0</v>
          </cell>
          <cell r="M1114">
            <v>0</v>
          </cell>
          <cell r="N1114">
            <v>0</v>
          </cell>
          <cell r="S1114">
            <v>0</v>
          </cell>
          <cell r="T1114">
            <v>0</v>
          </cell>
          <cell r="U1114">
            <v>0</v>
          </cell>
          <cell r="W1114">
            <v>137.25</v>
          </cell>
          <cell r="X1114">
            <v>0</v>
          </cell>
        </row>
        <row r="1115">
          <cell r="A1115">
            <v>37958</v>
          </cell>
          <cell r="B1115" t="str">
            <v>Office</v>
          </cell>
          <cell r="E1115">
            <v>32.716667175292997</v>
          </cell>
          <cell r="F1115">
            <v>0</v>
          </cell>
          <cell r="G1115">
            <v>0</v>
          </cell>
          <cell r="H1115">
            <v>0</v>
          </cell>
          <cell r="I1115">
            <v>0</v>
          </cell>
          <cell r="L1115">
            <v>0</v>
          </cell>
          <cell r="M1115">
            <v>0</v>
          </cell>
          <cell r="N1115">
            <v>0</v>
          </cell>
          <cell r="S1115">
            <v>0</v>
          </cell>
          <cell r="T1115">
            <v>0</v>
          </cell>
          <cell r="U1115">
            <v>0</v>
          </cell>
          <cell r="W1115">
            <v>32.716700000000003</v>
          </cell>
          <cell r="X1115">
            <v>0</v>
          </cell>
        </row>
        <row r="1116">
          <cell r="A1116">
            <v>37958</v>
          </cell>
          <cell r="B1116" t="str">
            <v>QA</v>
          </cell>
          <cell r="E1116">
            <v>87.25</v>
          </cell>
          <cell r="F1116">
            <v>0</v>
          </cell>
          <cell r="G1116">
            <v>0</v>
          </cell>
          <cell r="H1116">
            <v>0</v>
          </cell>
          <cell r="I1116">
            <v>0</v>
          </cell>
          <cell r="L1116">
            <v>0</v>
          </cell>
          <cell r="M1116">
            <v>0</v>
          </cell>
          <cell r="N1116">
            <v>0</v>
          </cell>
          <cell r="S1116">
            <v>0</v>
          </cell>
          <cell r="T1116">
            <v>0</v>
          </cell>
          <cell r="U1116">
            <v>0</v>
          </cell>
          <cell r="W1116">
            <v>87.25</v>
          </cell>
          <cell r="X1116">
            <v>0</v>
          </cell>
        </row>
        <row r="1117">
          <cell r="A1117">
            <v>37958</v>
          </cell>
          <cell r="B1117" t="str">
            <v>Facilities</v>
          </cell>
          <cell r="E1117">
            <v>222.55000305176</v>
          </cell>
          <cell r="F1117">
            <v>0</v>
          </cell>
          <cell r="G1117">
            <v>0</v>
          </cell>
          <cell r="H1117">
            <v>0</v>
          </cell>
          <cell r="I1117">
            <v>0</v>
          </cell>
          <cell r="L1117">
            <v>0</v>
          </cell>
          <cell r="M1117">
            <v>0</v>
          </cell>
          <cell r="N1117">
            <v>0</v>
          </cell>
          <cell r="S1117">
            <v>0</v>
          </cell>
          <cell r="T1117">
            <v>0</v>
          </cell>
          <cell r="U1117">
            <v>0</v>
          </cell>
          <cell r="W1117">
            <v>162.55000000000001</v>
          </cell>
          <cell r="X1117">
            <v>0</v>
          </cell>
        </row>
        <row r="1118">
          <cell r="A1118">
            <v>37958</v>
          </cell>
          <cell r="B1118" t="str">
            <v>Facilities</v>
          </cell>
          <cell r="E1118">
            <v>20</v>
          </cell>
          <cell r="F1118">
            <v>0</v>
          </cell>
          <cell r="G1118">
            <v>0</v>
          </cell>
          <cell r="H1118">
            <v>0</v>
          </cell>
          <cell r="I1118">
            <v>0</v>
          </cell>
          <cell r="L1118">
            <v>0</v>
          </cell>
          <cell r="M1118">
            <v>0</v>
          </cell>
          <cell r="N1118">
            <v>0</v>
          </cell>
          <cell r="S1118">
            <v>0</v>
          </cell>
          <cell r="T1118">
            <v>0</v>
          </cell>
          <cell r="U1118">
            <v>0</v>
          </cell>
          <cell r="W1118">
            <v>20</v>
          </cell>
          <cell r="X1118">
            <v>0</v>
          </cell>
        </row>
        <row r="1119">
          <cell r="A1119">
            <v>37958</v>
          </cell>
          <cell r="B1119" t="str">
            <v>SNOC</v>
          </cell>
          <cell r="E1119">
            <v>20.833333969116001</v>
          </cell>
          <cell r="F1119">
            <v>0</v>
          </cell>
          <cell r="G1119">
            <v>0</v>
          </cell>
          <cell r="H1119">
            <v>0</v>
          </cell>
          <cell r="I1119">
            <v>0</v>
          </cell>
          <cell r="L1119">
            <v>0</v>
          </cell>
          <cell r="M1119">
            <v>0</v>
          </cell>
          <cell r="N1119">
            <v>0</v>
          </cell>
          <cell r="S1119">
            <v>0</v>
          </cell>
          <cell r="T1119">
            <v>0</v>
          </cell>
          <cell r="U1119">
            <v>0</v>
          </cell>
          <cell r="W1119">
            <v>20.833300000000001</v>
          </cell>
          <cell r="X1119">
            <v>0</v>
          </cell>
        </row>
        <row r="1120">
          <cell r="A1120">
            <v>37958</v>
          </cell>
          <cell r="B1120" t="str">
            <v>Swat</v>
          </cell>
          <cell r="E1120">
            <v>0</v>
          </cell>
          <cell r="F1120">
            <v>0</v>
          </cell>
          <cell r="G1120">
            <v>0</v>
          </cell>
          <cell r="H1120">
            <v>0</v>
          </cell>
          <cell r="I1120">
            <v>0</v>
          </cell>
          <cell r="L1120">
            <v>0</v>
          </cell>
          <cell r="M1120">
            <v>0</v>
          </cell>
          <cell r="N1120">
            <v>0</v>
          </cell>
          <cell r="S1120">
            <v>0</v>
          </cell>
          <cell r="T1120">
            <v>0</v>
          </cell>
          <cell r="U1120">
            <v>0</v>
          </cell>
          <cell r="W1120">
            <v>0</v>
          </cell>
          <cell r="X1120">
            <v>0</v>
          </cell>
        </row>
        <row r="1121">
          <cell r="A1121">
            <v>37958</v>
          </cell>
          <cell r="B1121" t="str">
            <v>CustomerService</v>
          </cell>
          <cell r="E1121">
            <v>24</v>
          </cell>
          <cell r="F1121">
            <v>0</v>
          </cell>
          <cell r="G1121">
            <v>0</v>
          </cell>
          <cell r="H1121">
            <v>0</v>
          </cell>
          <cell r="I1121">
            <v>0</v>
          </cell>
          <cell r="L1121">
            <v>0</v>
          </cell>
          <cell r="M1121">
            <v>0</v>
          </cell>
          <cell r="N1121">
            <v>0</v>
          </cell>
          <cell r="S1121">
            <v>0</v>
          </cell>
          <cell r="T1121">
            <v>0</v>
          </cell>
          <cell r="U1121">
            <v>0</v>
          </cell>
          <cell r="W1121">
            <v>24</v>
          </cell>
          <cell r="X1121">
            <v>0</v>
          </cell>
        </row>
        <row r="1122">
          <cell r="A1122">
            <v>37958</v>
          </cell>
          <cell r="B1122" t="str">
            <v>CustomerService</v>
          </cell>
          <cell r="E1122">
            <v>12.016666412354001</v>
          </cell>
          <cell r="F1122">
            <v>0</v>
          </cell>
          <cell r="G1122">
            <v>0</v>
          </cell>
          <cell r="H1122">
            <v>0</v>
          </cell>
          <cell r="I1122">
            <v>0</v>
          </cell>
          <cell r="L1122">
            <v>0</v>
          </cell>
          <cell r="M1122">
            <v>0</v>
          </cell>
          <cell r="N1122">
            <v>0</v>
          </cell>
          <cell r="S1122">
            <v>0</v>
          </cell>
          <cell r="T1122">
            <v>0</v>
          </cell>
          <cell r="U1122">
            <v>0</v>
          </cell>
          <cell r="W1122">
            <v>12.0167</v>
          </cell>
          <cell r="X1122">
            <v>0</v>
          </cell>
        </row>
        <row r="1123">
          <cell r="A1123">
            <v>37958</v>
          </cell>
          <cell r="B1123" t="str">
            <v>Training</v>
          </cell>
          <cell r="E1123">
            <v>7.5</v>
          </cell>
          <cell r="F1123">
            <v>0</v>
          </cell>
          <cell r="G1123">
            <v>0</v>
          </cell>
          <cell r="H1123">
            <v>0</v>
          </cell>
          <cell r="I1123">
            <v>0</v>
          </cell>
          <cell r="L1123">
            <v>0</v>
          </cell>
          <cell r="M1123">
            <v>0</v>
          </cell>
          <cell r="N1123">
            <v>0</v>
          </cell>
          <cell r="S1123">
            <v>0</v>
          </cell>
          <cell r="T1123">
            <v>0</v>
          </cell>
          <cell r="U1123">
            <v>0</v>
          </cell>
          <cell r="W1123">
            <v>7.5</v>
          </cell>
          <cell r="X1123">
            <v>0</v>
          </cell>
        </row>
        <row r="1124">
          <cell r="A1124">
            <v>37958</v>
          </cell>
          <cell r="B1124" t="str">
            <v>Training</v>
          </cell>
          <cell r="E1124">
            <v>0</v>
          </cell>
          <cell r="F1124">
            <v>0</v>
          </cell>
          <cell r="G1124">
            <v>0</v>
          </cell>
          <cell r="H1124">
            <v>0</v>
          </cell>
          <cell r="I1124">
            <v>0</v>
          </cell>
          <cell r="L1124">
            <v>0</v>
          </cell>
          <cell r="M1124">
            <v>0</v>
          </cell>
          <cell r="N1124">
            <v>0</v>
          </cell>
          <cell r="S1124">
            <v>0</v>
          </cell>
          <cell r="T1124">
            <v>0</v>
          </cell>
          <cell r="U1124">
            <v>0</v>
          </cell>
          <cell r="W1124">
            <v>0</v>
          </cell>
          <cell r="X1124">
            <v>0</v>
          </cell>
        </row>
        <row r="1125">
          <cell r="A1125">
            <v>37958</v>
          </cell>
          <cell r="B1125" t="str">
            <v>Offsite1Receive</v>
          </cell>
          <cell r="E1125">
            <v>165</v>
          </cell>
          <cell r="F1125">
            <v>0</v>
          </cell>
          <cell r="G1125">
            <v>0</v>
          </cell>
          <cell r="H1125">
            <v>0</v>
          </cell>
          <cell r="I1125">
            <v>0</v>
          </cell>
          <cell r="L1125">
            <v>0</v>
          </cell>
          <cell r="M1125">
            <v>0</v>
          </cell>
          <cell r="N1125">
            <v>0</v>
          </cell>
          <cell r="S1125">
            <v>0</v>
          </cell>
          <cell r="T1125">
            <v>0</v>
          </cell>
          <cell r="U1125">
            <v>0</v>
          </cell>
          <cell r="W1125">
            <v>165</v>
          </cell>
          <cell r="X1125">
            <v>0</v>
          </cell>
        </row>
        <row r="1126">
          <cell r="A1126">
            <v>37958</v>
          </cell>
          <cell r="B1126" t="str">
            <v>InventoryControl</v>
          </cell>
          <cell r="E1126">
            <v>20</v>
          </cell>
          <cell r="F1126">
            <v>0</v>
          </cell>
          <cell r="G1126">
            <v>0</v>
          </cell>
          <cell r="H1126">
            <v>0</v>
          </cell>
          <cell r="I1126">
            <v>0</v>
          </cell>
          <cell r="L1126">
            <v>0</v>
          </cell>
          <cell r="M1126">
            <v>0</v>
          </cell>
          <cell r="N1126">
            <v>0</v>
          </cell>
          <cell r="S1126">
            <v>0</v>
          </cell>
          <cell r="T1126">
            <v>0</v>
          </cell>
          <cell r="U1126">
            <v>0</v>
          </cell>
          <cell r="W1126">
            <v>20</v>
          </cell>
          <cell r="X1126">
            <v>0</v>
          </cell>
        </row>
        <row r="1127">
          <cell r="A1127">
            <v>37957</v>
          </cell>
          <cell r="B1127" t="str">
            <v>Shipping</v>
          </cell>
          <cell r="E1127">
            <v>843.11663818359</v>
          </cell>
          <cell r="F1127">
            <v>0</v>
          </cell>
          <cell r="G1127">
            <v>0</v>
          </cell>
          <cell r="H1127">
            <v>0</v>
          </cell>
          <cell r="I1127">
            <v>0</v>
          </cell>
          <cell r="L1127">
            <v>0</v>
          </cell>
          <cell r="M1127">
            <v>0</v>
          </cell>
          <cell r="N1127">
            <v>0</v>
          </cell>
          <cell r="S1127">
            <v>0</v>
          </cell>
          <cell r="T1127">
            <v>0</v>
          </cell>
          <cell r="U1127">
            <v>0</v>
          </cell>
          <cell r="W1127">
            <v>26.366599999999998</v>
          </cell>
          <cell r="X1127">
            <v>15334</v>
          </cell>
        </row>
        <row r="1128">
          <cell r="A1128">
            <v>37957</v>
          </cell>
          <cell r="B1128" t="str">
            <v>Autobox</v>
          </cell>
          <cell r="E1128">
            <v>350</v>
          </cell>
          <cell r="F1128">
            <v>24</v>
          </cell>
          <cell r="G1128">
            <v>30409</v>
          </cell>
          <cell r="H1128">
            <v>0</v>
          </cell>
          <cell r="I1128">
            <v>0</v>
          </cell>
          <cell r="L1128">
            <v>0</v>
          </cell>
          <cell r="M1128">
            <v>0</v>
          </cell>
          <cell r="N1128">
            <v>0</v>
          </cell>
          <cell r="S1128">
            <v>0</v>
          </cell>
          <cell r="T1128">
            <v>0</v>
          </cell>
          <cell r="U1128">
            <v>0</v>
          </cell>
          <cell r="W1128">
            <v>0</v>
          </cell>
          <cell r="X1128">
            <v>0</v>
          </cell>
        </row>
        <row r="1129">
          <cell r="A1129">
            <v>37957</v>
          </cell>
          <cell r="B1129" t="str">
            <v>Levimatic</v>
          </cell>
          <cell r="E1129">
            <v>29</v>
          </cell>
          <cell r="F1129">
            <v>0</v>
          </cell>
          <cell r="G1129">
            <v>5699</v>
          </cell>
          <cell r="H1129">
            <v>0</v>
          </cell>
          <cell r="I1129">
            <v>0</v>
          </cell>
          <cell r="L1129">
            <v>0</v>
          </cell>
          <cell r="M1129">
            <v>0</v>
          </cell>
          <cell r="N1129">
            <v>0</v>
          </cell>
          <cell r="S1129">
            <v>0</v>
          </cell>
          <cell r="T1129">
            <v>0</v>
          </cell>
          <cell r="U1129">
            <v>0</v>
          </cell>
          <cell r="W1129">
            <v>0</v>
          </cell>
          <cell r="X1129">
            <v>0</v>
          </cell>
        </row>
        <row r="1130">
          <cell r="A1130">
            <v>37957</v>
          </cell>
          <cell r="B1130" t="str">
            <v>Giftwrap</v>
          </cell>
          <cell r="E1130">
            <v>115</v>
          </cell>
          <cell r="F1130">
            <v>0</v>
          </cell>
          <cell r="G1130">
            <v>1804</v>
          </cell>
          <cell r="H1130">
            <v>0</v>
          </cell>
          <cell r="I1130">
            <v>0</v>
          </cell>
          <cell r="L1130">
            <v>0</v>
          </cell>
          <cell r="M1130">
            <v>0</v>
          </cell>
          <cell r="N1130">
            <v>0</v>
          </cell>
          <cell r="S1130">
            <v>0</v>
          </cell>
          <cell r="T1130">
            <v>0</v>
          </cell>
          <cell r="U1130">
            <v>0</v>
          </cell>
          <cell r="W1130">
            <v>0</v>
          </cell>
          <cell r="X1130">
            <v>1804</v>
          </cell>
        </row>
        <row r="1131">
          <cell r="A1131">
            <v>37957</v>
          </cell>
          <cell r="B1131" t="str">
            <v>ShipSupport</v>
          </cell>
          <cell r="E1131">
            <v>349.11660003662001</v>
          </cell>
          <cell r="F1131">
            <v>72</v>
          </cell>
          <cell r="G1131">
            <v>0</v>
          </cell>
          <cell r="H1131">
            <v>0</v>
          </cell>
          <cell r="I1131">
            <v>0</v>
          </cell>
          <cell r="L1131">
            <v>0</v>
          </cell>
          <cell r="M1131">
            <v>0</v>
          </cell>
          <cell r="N1131">
            <v>0</v>
          </cell>
          <cell r="S1131">
            <v>0</v>
          </cell>
          <cell r="T1131">
            <v>0</v>
          </cell>
          <cell r="U1131">
            <v>0</v>
          </cell>
          <cell r="W1131">
            <v>26.366599999999998</v>
          </cell>
          <cell r="X1131">
            <v>0</v>
          </cell>
        </row>
        <row r="1132">
          <cell r="A1132">
            <v>37957</v>
          </cell>
          <cell r="B1132" t="str">
            <v>Sortation</v>
          </cell>
          <cell r="E1132">
            <v>646.83331298828</v>
          </cell>
          <cell r="F1132">
            <v>0</v>
          </cell>
          <cell r="G1132">
            <v>0</v>
          </cell>
          <cell r="H1132">
            <v>0</v>
          </cell>
          <cell r="I1132">
            <v>0</v>
          </cell>
          <cell r="L1132">
            <v>0</v>
          </cell>
          <cell r="M1132">
            <v>0</v>
          </cell>
          <cell r="N1132">
            <v>0</v>
          </cell>
          <cell r="S1132">
            <v>0</v>
          </cell>
          <cell r="T1132">
            <v>0</v>
          </cell>
          <cell r="U1132">
            <v>0</v>
          </cell>
          <cell r="W1132">
            <v>-23.166699999999999</v>
          </cell>
          <cell r="X1132">
            <v>0</v>
          </cell>
        </row>
        <row r="1133">
          <cell r="A1133">
            <v>37957</v>
          </cell>
          <cell r="B1133" t="str">
            <v>Rebin</v>
          </cell>
          <cell r="E1133">
            <v>275</v>
          </cell>
          <cell r="F1133">
            <v>77</v>
          </cell>
          <cell r="G1133">
            <v>44798</v>
          </cell>
          <cell r="H1133">
            <v>0</v>
          </cell>
          <cell r="I1133">
            <v>0</v>
          </cell>
          <cell r="L1133">
            <v>0</v>
          </cell>
          <cell r="M1133">
            <v>0</v>
          </cell>
          <cell r="N1133">
            <v>0</v>
          </cell>
          <cell r="S1133">
            <v>0</v>
          </cell>
          <cell r="T1133">
            <v>0</v>
          </cell>
          <cell r="U1133">
            <v>0</v>
          </cell>
          <cell r="W1133">
            <v>0</v>
          </cell>
          <cell r="X1133">
            <v>0</v>
          </cell>
        </row>
        <row r="1134">
          <cell r="A1134">
            <v>37957</v>
          </cell>
          <cell r="B1134" t="str">
            <v>Stack</v>
          </cell>
          <cell r="E1134">
            <v>226.25</v>
          </cell>
          <cell r="F1134">
            <v>0</v>
          </cell>
          <cell r="G1134">
            <v>45558</v>
          </cell>
          <cell r="H1134">
            <v>0</v>
          </cell>
          <cell r="I1134">
            <v>0</v>
          </cell>
          <cell r="L1134">
            <v>0</v>
          </cell>
          <cell r="M1134">
            <v>0</v>
          </cell>
          <cell r="N1134">
            <v>0</v>
          </cell>
          <cell r="S1134">
            <v>4198</v>
          </cell>
          <cell r="T1134">
            <v>0</v>
          </cell>
          <cell r="U1134">
            <v>0</v>
          </cell>
          <cell r="W1134">
            <v>0</v>
          </cell>
          <cell r="X1134">
            <v>0</v>
          </cell>
        </row>
        <row r="1135">
          <cell r="A1135">
            <v>37957</v>
          </cell>
          <cell r="B1135" t="str">
            <v>Bundler</v>
          </cell>
          <cell r="E1135">
            <v>145.58329963684</v>
          </cell>
          <cell r="F1135">
            <v>0</v>
          </cell>
          <cell r="G1135">
            <v>45558</v>
          </cell>
          <cell r="H1135">
            <v>0</v>
          </cell>
          <cell r="I1135">
            <v>0</v>
          </cell>
          <cell r="L1135">
            <v>0</v>
          </cell>
          <cell r="M1135">
            <v>0</v>
          </cell>
          <cell r="N1135">
            <v>0</v>
          </cell>
          <cell r="S1135">
            <v>0</v>
          </cell>
          <cell r="T1135">
            <v>0</v>
          </cell>
          <cell r="U1135">
            <v>0</v>
          </cell>
          <cell r="W1135">
            <v>-23.166699999999999</v>
          </cell>
          <cell r="X1135">
            <v>12329</v>
          </cell>
        </row>
        <row r="1136">
          <cell r="A1136">
            <v>37957</v>
          </cell>
          <cell r="B1136" t="str">
            <v>InventoryControl</v>
          </cell>
          <cell r="E1136">
            <v>173.98332214355</v>
          </cell>
          <cell r="F1136">
            <v>0</v>
          </cell>
          <cell r="G1136">
            <v>0</v>
          </cell>
          <cell r="H1136">
            <v>0</v>
          </cell>
          <cell r="I1136">
            <v>0</v>
          </cell>
          <cell r="L1136">
            <v>0</v>
          </cell>
          <cell r="M1136">
            <v>0</v>
          </cell>
          <cell r="N1136">
            <v>0</v>
          </cell>
          <cell r="S1136">
            <v>0</v>
          </cell>
          <cell r="T1136">
            <v>0</v>
          </cell>
          <cell r="U1136">
            <v>0</v>
          </cell>
          <cell r="W1136">
            <v>-8.1366700000000005</v>
          </cell>
          <cell r="X1136">
            <v>0</v>
          </cell>
        </row>
        <row r="1137">
          <cell r="A1137">
            <v>37957</v>
          </cell>
          <cell r="B1137" t="str">
            <v>Sortation</v>
          </cell>
          <cell r="E1137">
            <v>1141.2833251953</v>
          </cell>
          <cell r="F1137">
            <v>0</v>
          </cell>
          <cell r="G1137">
            <v>0</v>
          </cell>
          <cell r="H1137">
            <v>0</v>
          </cell>
          <cell r="I1137">
            <v>0</v>
          </cell>
          <cell r="L1137">
            <v>0</v>
          </cell>
          <cell r="M1137">
            <v>0</v>
          </cell>
          <cell r="N1137">
            <v>0</v>
          </cell>
          <cell r="S1137">
            <v>0</v>
          </cell>
          <cell r="T1137">
            <v>0</v>
          </cell>
          <cell r="U1137">
            <v>0</v>
          </cell>
          <cell r="W1137">
            <v>63.333399999999997</v>
          </cell>
          <cell r="X1137">
            <v>0</v>
          </cell>
        </row>
        <row r="1138">
          <cell r="A1138">
            <v>37957</v>
          </cell>
          <cell r="B1138" t="str">
            <v>Rebin</v>
          </cell>
          <cell r="E1138">
            <v>395</v>
          </cell>
          <cell r="F1138">
            <v>79.5</v>
          </cell>
          <cell r="G1138">
            <v>74531</v>
          </cell>
          <cell r="H1138">
            <v>0</v>
          </cell>
          <cell r="I1138">
            <v>0</v>
          </cell>
          <cell r="L1138">
            <v>0</v>
          </cell>
          <cell r="M1138">
            <v>0</v>
          </cell>
          <cell r="N1138">
            <v>0</v>
          </cell>
          <cell r="S1138">
            <v>0</v>
          </cell>
          <cell r="T1138">
            <v>0</v>
          </cell>
          <cell r="U1138">
            <v>0</v>
          </cell>
          <cell r="W1138">
            <v>0</v>
          </cell>
          <cell r="X1138">
            <v>0</v>
          </cell>
        </row>
        <row r="1139">
          <cell r="A1139">
            <v>37957</v>
          </cell>
          <cell r="B1139" t="str">
            <v>Stack</v>
          </cell>
          <cell r="E1139">
            <v>368</v>
          </cell>
          <cell r="F1139">
            <v>0</v>
          </cell>
          <cell r="G1139">
            <v>60662</v>
          </cell>
          <cell r="H1139">
            <v>0</v>
          </cell>
          <cell r="I1139">
            <v>0</v>
          </cell>
          <cell r="L1139">
            <v>0</v>
          </cell>
          <cell r="M1139">
            <v>0</v>
          </cell>
          <cell r="N1139">
            <v>0</v>
          </cell>
          <cell r="S1139">
            <v>3661</v>
          </cell>
          <cell r="T1139">
            <v>0</v>
          </cell>
          <cell r="U1139">
            <v>0</v>
          </cell>
          <cell r="W1139">
            <v>0</v>
          </cell>
          <cell r="X1139">
            <v>0</v>
          </cell>
        </row>
        <row r="1140">
          <cell r="A1140">
            <v>37957</v>
          </cell>
          <cell r="B1140" t="str">
            <v>Bundler</v>
          </cell>
          <cell r="E1140">
            <v>378.28341293335001</v>
          </cell>
          <cell r="F1140">
            <v>0</v>
          </cell>
          <cell r="G1140">
            <v>60662</v>
          </cell>
          <cell r="H1140">
            <v>0</v>
          </cell>
          <cell r="I1140">
            <v>0</v>
          </cell>
          <cell r="L1140">
            <v>0</v>
          </cell>
          <cell r="M1140">
            <v>0</v>
          </cell>
          <cell r="N1140">
            <v>0</v>
          </cell>
          <cell r="S1140">
            <v>0</v>
          </cell>
          <cell r="T1140">
            <v>0</v>
          </cell>
          <cell r="U1140">
            <v>0</v>
          </cell>
          <cell r="W1140">
            <v>63.333399999999997</v>
          </cell>
          <cell r="X1140">
            <v>16609</v>
          </cell>
        </row>
        <row r="1141">
          <cell r="A1141">
            <v>37957</v>
          </cell>
          <cell r="B1141" t="str">
            <v>ManualVDF</v>
          </cell>
          <cell r="E1141">
            <v>87.5</v>
          </cell>
          <cell r="F1141">
            <v>0</v>
          </cell>
          <cell r="G1141">
            <v>3818</v>
          </cell>
          <cell r="H1141">
            <v>0</v>
          </cell>
          <cell r="I1141">
            <v>0</v>
          </cell>
          <cell r="L1141">
            <v>0</v>
          </cell>
          <cell r="M1141">
            <v>0</v>
          </cell>
          <cell r="N1141">
            <v>0</v>
          </cell>
          <cell r="S1141">
            <v>0</v>
          </cell>
          <cell r="T1141">
            <v>0</v>
          </cell>
          <cell r="U1141">
            <v>0</v>
          </cell>
          <cell r="W1141">
            <v>0</v>
          </cell>
          <cell r="X1141">
            <v>3818</v>
          </cell>
        </row>
        <row r="1142">
          <cell r="A1142">
            <v>37957</v>
          </cell>
          <cell r="B1142" t="str">
            <v>Training</v>
          </cell>
          <cell r="E1142">
            <v>121</v>
          </cell>
          <cell r="F1142">
            <v>0</v>
          </cell>
          <cell r="G1142">
            <v>0</v>
          </cell>
          <cell r="H1142">
            <v>0</v>
          </cell>
          <cell r="I1142">
            <v>0</v>
          </cell>
          <cell r="L1142">
            <v>0</v>
          </cell>
          <cell r="M1142">
            <v>0</v>
          </cell>
          <cell r="N1142">
            <v>0</v>
          </cell>
          <cell r="S1142">
            <v>0</v>
          </cell>
          <cell r="T1142">
            <v>0</v>
          </cell>
          <cell r="U1142">
            <v>0</v>
          </cell>
          <cell r="W1142">
            <v>0</v>
          </cell>
          <cell r="X1142">
            <v>0</v>
          </cell>
        </row>
        <row r="1143">
          <cell r="A1143">
            <v>37957</v>
          </cell>
          <cell r="B1143" t="str">
            <v>CReturns</v>
          </cell>
          <cell r="E1143">
            <v>20.200000762938998</v>
          </cell>
          <cell r="F1143">
            <v>0</v>
          </cell>
          <cell r="G1143">
            <v>344</v>
          </cell>
          <cell r="H1143">
            <v>0</v>
          </cell>
          <cell r="I1143">
            <v>0</v>
          </cell>
          <cell r="L1143">
            <v>0</v>
          </cell>
          <cell r="M1143">
            <v>0</v>
          </cell>
          <cell r="N1143">
            <v>0</v>
          </cell>
          <cell r="S1143">
            <v>0</v>
          </cell>
          <cell r="T1143">
            <v>0</v>
          </cell>
          <cell r="U1143">
            <v>0</v>
          </cell>
          <cell r="W1143">
            <v>4</v>
          </cell>
          <cell r="X1143">
            <v>0</v>
          </cell>
        </row>
        <row r="1144">
          <cell r="A1144">
            <v>37957</v>
          </cell>
          <cell r="B1144" t="str">
            <v>Vreturns</v>
          </cell>
          <cell r="E1144">
            <v>33.75</v>
          </cell>
          <cell r="F1144">
            <v>0</v>
          </cell>
          <cell r="G1144">
            <v>6709</v>
          </cell>
          <cell r="H1144">
            <v>0</v>
          </cell>
          <cell r="I1144">
            <v>0</v>
          </cell>
          <cell r="L1144">
            <v>0</v>
          </cell>
          <cell r="M1144">
            <v>0</v>
          </cell>
          <cell r="N1144">
            <v>0</v>
          </cell>
          <cell r="S1144">
            <v>0</v>
          </cell>
          <cell r="T1144">
            <v>0</v>
          </cell>
          <cell r="U1144">
            <v>0</v>
          </cell>
          <cell r="W1144">
            <v>9.9998500000000004E-2</v>
          </cell>
          <cell r="X1144">
            <v>0</v>
          </cell>
        </row>
        <row r="1145">
          <cell r="A1145">
            <v>37957</v>
          </cell>
          <cell r="B1145" t="str">
            <v>Picking</v>
          </cell>
          <cell r="E1145">
            <v>1197.8333740234</v>
          </cell>
          <cell r="F1145">
            <v>0</v>
          </cell>
          <cell r="G1145">
            <v>98923</v>
          </cell>
          <cell r="H1145">
            <v>0</v>
          </cell>
          <cell r="I1145">
            <v>0</v>
          </cell>
          <cell r="L1145">
            <v>0</v>
          </cell>
          <cell r="M1145">
            <v>0</v>
          </cell>
          <cell r="N1145">
            <v>0</v>
          </cell>
          <cell r="S1145">
            <v>0</v>
          </cell>
          <cell r="T1145">
            <v>0</v>
          </cell>
          <cell r="U1145">
            <v>0</v>
          </cell>
          <cell r="W1145">
            <v>20.583400000000001</v>
          </cell>
          <cell r="X1145">
            <v>0</v>
          </cell>
        </row>
        <row r="1146">
          <cell r="A1146">
            <v>37957</v>
          </cell>
          <cell r="B1146" t="str">
            <v>BMV Receive</v>
          </cell>
          <cell r="E1146">
            <v>358.84997558594</v>
          </cell>
          <cell r="F1146">
            <v>89.99</v>
          </cell>
          <cell r="G1146">
            <v>81452</v>
          </cell>
          <cell r="H1146">
            <v>59496</v>
          </cell>
          <cell r="I1146">
            <v>0</v>
          </cell>
          <cell r="L1146">
            <v>236.48</v>
          </cell>
          <cell r="M1146">
            <v>0</v>
          </cell>
          <cell r="N1146">
            <v>30</v>
          </cell>
          <cell r="S1146">
            <v>0</v>
          </cell>
          <cell r="T1146">
            <v>69.5</v>
          </cell>
          <cell r="U1146">
            <v>0</v>
          </cell>
          <cell r="W1146">
            <v>2.3799700000000001</v>
          </cell>
          <cell r="X1146">
            <v>0</v>
          </cell>
        </row>
        <row r="1147">
          <cell r="A1147">
            <v>37957</v>
          </cell>
          <cell r="B1147" t="str">
            <v>BMV Stow</v>
          </cell>
          <cell r="E1147">
            <v>202.5</v>
          </cell>
          <cell r="F1147">
            <v>0</v>
          </cell>
          <cell r="G1147">
            <v>63241</v>
          </cell>
          <cell r="H1147">
            <v>49231</v>
          </cell>
          <cell r="I1147">
            <v>14010</v>
          </cell>
          <cell r="L1147">
            <v>182</v>
          </cell>
          <cell r="M1147">
            <v>20.5</v>
          </cell>
          <cell r="N1147">
            <v>0</v>
          </cell>
          <cell r="S1147">
            <v>0</v>
          </cell>
          <cell r="T1147">
            <v>0</v>
          </cell>
          <cell r="U1147">
            <v>0</v>
          </cell>
          <cell r="W1147">
            <v>0</v>
          </cell>
          <cell r="X1147">
            <v>0</v>
          </cell>
        </row>
        <row r="1148">
          <cell r="A1148">
            <v>37957</v>
          </cell>
          <cell r="B1148" t="str">
            <v>Offsite1Receive</v>
          </cell>
          <cell r="E1148">
            <v>90.916748046875</v>
          </cell>
          <cell r="F1148">
            <v>20</v>
          </cell>
          <cell r="G1148">
            <v>956</v>
          </cell>
          <cell r="H1148">
            <v>0</v>
          </cell>
          <cell r="I1148">
            <v>0</v>
          </cell>
          <cell r="L1148">
            <v>0</v>
          </cell>
          <cell r="M1148">
            <v>0</v>
          </cell>
          <cell r="N1148">
            <v>0</v>
          </cell>
          <cell r="S1148">
            <v>0</v>
          </cell>
          <cell r="T1148">
            <v>0</v>
          </cell>
          <cell r="U1148">
            <v>0</v>
          </cell>
          <cell r="W1148">
            <v>35.916699999999999</v>
          </cell>
          <cell r="X1148">
            <v>0</v>
          </cell>
        </row>
        <row r="1149">
          <cell r="A1149">
            <v>37957</v>
          </cell>
          <cell r="B1149" t="str">
            <v>BMV Receive</v>
          </cell>
          <cell r="E1149">
            <v>153.01333618164</v>
          </cell>
          <cell r="F1149">
            <v>1.5</v>
          </cell>
          <cell r="G1149">
            <v>34632</v>
          </cell>
          <cell r="H1149">
            <v>31170</v>
          </cell>
          <cell r="I1149">
            <v>0</v>
          </cell>
          <cell r="L1149">
            <v>145.86000000000001</v>
          </cell>
          <cell r="M1149">
            <v>0</v>
          </cell>
          <cell r="N1149">
            <v>5.64</v>
          </cell>
          <cell r="S1149">
            <v>0</v>
          </cell>
          <cell r="T1149">
            <v>57.5</v>
          </cell>
          <cell r="U1149">
            <v>0</v>
          </cell>
          <cell r="W1149">
            <v>1.3336199999999999E-2</v>
          </cell>
          <cell r="X1149">
            <v>0</v>
          </cell>
        </row>
        <row r="1150">
          <cell r="A1150">
            <v>37957</v>
          </cell>
          <cell r="B1150" t="str">
            <v>Picking</v>
          </cell>
          <cell r="E1150">
            <v>688.68334960938</v>
          </cell>
          <cell r="F1150">
            <v>0</v>
          </cell>
          <cell r="G1150">
            <v>60052</v>
          </cell>
          <cell r="H1150">
            <v>0</v>
          </cell>
          <cell r="I1150">
            <v>0</v>
          </cell>
          <cell r="L1150">
            <v>0</v>
          </cell>
          <cell r="M1150">
            <v>0</v>
          </cell>
          <cell r="N1150">
            <v>0</v>
          </cell>
          <cell r="S1150">
            <v>0</v>
          </cell>
          <cell r="T1150">
            <v>0</v>
          </cell>
          <cell r="U1150">
            <v>0</v>
          </cell>
          <cell r="W1150">
            <v>-32.816699999999997</v>
          </cell>
          <cell r="X1150">
            <v>0</v>
          </cell>
        </row>
        <row r="1151">
          <cell r="A1151">
            <v>37957</v>
          </cell>
          <cell r="B1151" t="str">
            <v>Shipping</v>
          </cell>
          <cell r="E1151">
            <v>829.13336181641</v>
          </cell>
          <cell r="F1151">
            <v>0</v>
          </cell>
          <cell r="G1151">
            <v>0</v>
          </cell>
          <cell r="H1151">
            <v>0</v>
          </cell>
          <cell r="I1151">
            <v>0</v>
          </cell>
          <cell r="L1151">
            <v>0</v>
          </cell>
          <cell r="M1151">
            <v>0</v>
          </cell>
          <cell r="N1151">
            <v>0</v>
          </cell>
          <cell r="S1151">
            <v>0</v>
          </cell>
          <cell r="T1151">
            <v>0</v>
          </cell>
          <cell r="U1151">
            <v>0</v>
          </cell>
          <cell r="W1151">
            <v>80.133399999999995</v>
          </cell>
          <cell r="X1151">
            <v>12897</v>
          </cell>
        </row>
        <row r="1152">
          <cell r="A1152">
            <v>37957</v>
          </cell>
          <cell r="B1152" t="str">
            <v>Autobox</v>
          </cell>
          <cell r="E1152">
            <v>291.5</v>
          </cell>
          <cell r="F1152">
            <v>111.5</v>
          </cell>
          <cell r="G1152">
            <v>23049</v>
          </cell>
          <cell r="H1152">
            <v>0</v>
          </cell>
          <cell r="I1152">
            <v>0</v>
          </cell>
          <cell r="L1152">
            <v>0</v>
          </cell>
          <cell r="M1152">
            <v>0</v>
          </cell>
          <cell r="N1152">
            <v>0</v>
          </cell>
          <cell r="S1152">
            <v>0</v>
          </cell>
          <cell r="T1152">
            <v>0</v>
          </cell>
          <cell r="U1152">
            <v>0</v>
          </cell>
          <cell r="W1152">
            <v>0</v>
          </cell>
          <cell r="X1152">
            <v>0</v>
          </cell>
        </row>
        <row r="1153">
          <cell r="A1153">
            <v>37957</v>
          </cell>
          <cell r="B1153" t="str">
            <v>Levimatic</v>
          </cell>
          <cell r="E1153">
            <v>40</v>
          </cell>
          <cell r="F1153">
            <v>20</v>
          </cell>
          <cell r="G1153">
            <v>4978</v>
          </cell>
          <cell r="H1153">
            <v>0</v>
          </cell>
          <cell r="I1153">
            <v>0</v>
          </cell>
          <cell r="L1153">
            <v>0</v>
          </cell>
          <cell r="M1153">
            <v>0</v>
          </cell>
          <cell r="N1153">
            <v>0</v>
          </cell>
          <cell r="S1153">
            <v>0</v>
          </cell>
          <cell r="T1153">
            <v>0</v>
          </cell>
          <cell r="U1153">
            <v>0</v>
          </cell>
          <cell r="W1153">
            <v>0</v>
          </cell>
          <cell r="X1153">
            <v>0</v>
          </cell>
        </row>
        <row r="1154">
          <cell r="A1154">
            <v>37957</v>
          </cell>
          <cell r="B1154" t="str">
            <v>Giftwrap</v>
          </cell>
          <cell r="E1154">
            <v>126</v>
          </cell>
          <cell r="F1154">
            <v>0</v>
          </cell>
          <cell r="G1154">
            <v>1971</v>
          </cell>
          <cell r="H1154">
            <v>0</v>
          </cell>
          <cell r="I1154">
            <v>0</v>
          </cell>
          <cell r="L1154">
            <v>0</v>
          </cell>
          <cell r="M1154">
            <v>0</v>
          </cell>
          <cell r="N1154">
            <v>0</v>
          </cell>
          <cell r="S1154">
            <v>0</v>
          </cell>
          <cell r="T1154">
            <v>0</v>
          </cell>
          <cell r="U1154">
            <v>0</v>
          </cell>
          <cell r="W1154">
            <v>0</v>
          </cell>
          <cell r="X1154">
            <v>0</v>
          </cell>
        </row>
        <row r="1155">
          <cell r="A1155">
            <v>37957</v>
          </cell>
          <cell r="B1155" t="str">
            <v>ShipSupport</v>
          </cell>
          <cell r="E1155">
            <v>371.63339996337999</v>
          </cell>
          <cell r="F1155">
            <v>90</v>
          </cell>
          <cell r="G1155">
            <v>0</v>
          </cell>
          <cell r="H1155">
            <v>0</v>
          </cell>
          <cell r="I1155">
            <v>0</v>
          </cell>
          <cell r="L1155">
            <v>0</v>
          </cell>
          <cell r="M1155">
            <v>0</v>
          </cell>
          <cell r="N1155">
            <v>0</v>
          </cell>
          <cell r="S1155">
            <v>0</v>
          </cell>
          <cell r="T1155">
            <v>0</v>
          </cell>
          <cell r="U1155">
            <v>0</v>
          </cell>
          <cell r="W1155">
            <v>80.133399999999995</v>
          </cell>
          <cell r="X1155">
            <v>0</v>
          </cell>
        </row>
        <row r="1156">
          <cell r="A1156">
            <v>37957</v>
          </cell>
          <cell r="B1156" t="str">
            <v>BMV Stow</v>
          </cell>
          <cell r="E1156">
            <v>146.5</v>
          </cell>
          <cell r="F1156">
            <v>0</v>
          </cell>
          <cell r="G1156">
            <v>59548</v>
          </cell>
          <cell r="H1156">
            <v>37864</v>
          </cell>
          <cell r="I1156">
            <v>21684</v>
          </cell>
          <cell r="L1156">
            <v>134.5</v>
          </cell>
          <cell r="M1156">
            <v>12</v>
          </cell>
          <cell r="N1156">
            <v>0</v>
          </cell>
          <cell r="S1156">
            <v>0</v>
          </cell>
          <cell r="T1156">
            <v>0</v>
          </cell>
          <cell r="U1156">
            <v>0</v>
          </cell>
          <cell r="W1156">
            <v>0</v>
          </cell>
          <cell r="X1156">
            <v>0</v>
          </cell>
        </row>
        <row r="1157">
          <cell r="A1157">
            <v>37957</v>
          </cell>
          <cell r="B1157" t="str">
            <v>Replenishment</v>
          </cell>
          <cell r="E1157">
            <v>145.86999511719</v>
          </cell>
          <cell r="F1157">
            <v>0</v>
          </cell>
          <cell r="G1157">
            <v>24944</v>
          </cell>
          <cell r="H1157">
            <v>0</v>
          </cell>
          <cell r="I1157">
            <v>0</v>
          </cell>
          <cell r="L1157">
            <v>0</v>
          </cell>
          <cell r="M1157">
            <v>0</v>
          </cell>
          <cell r="N1157">
            <v>0</v>
          </cell>
          <cell r="S1157">
            <v>0</v>
          </cell>
          <cell r="T1157">
            <v>0</v>
          </cell>
          <cell r="U1157">
            <v>0</v>
          </cell>
          <cell r="W1157">
            <v>0</v>
          </cell>
          <cell r="X1157">
            <v>0</v>
          </cell>
        </row>
        <row r="1158">
          <cell r="A1158">
            <v>37957</v>
          </cell>
          <cell r="B1158" t="str">
            <v>Office</v>
          </cell>
          <cell r="E1158">
            <v>112.40000152588</v>
          </cell>
          <cell r="F1158">
            <v>0</v>
          </cell>
          <cell r="G1158">
            <v>0</v>
          </cell>
          <cell r="H1158">
            <v>0</v>
          </cell>
          <cell r="I1158">
            <v>0</v>
          </cell>
          <cell r="L1158">
            <v>0</v>
          </cell>
          <cell r="M1158">
            <v>0</v>
          </cell>
          <cell r="N1158">
            <v>0</v>
          </cell>
          <cell r="S1158">
            <v>0</v>
          </cell>
          <cell r="T1158">
            <v>0</v>
          </cell>
          <cell r="U1158">
            <v>0</v>
          </cell>
          <cell r="W1158">
            <v>112.4</v>
          </cell>
          <cell r="X1158">
            <v>0</v>
          </cell>
        </row>
        <row r="1159">
          <cell r="A1159">
            <v>37957</v>
          </cell>
          <cell r="B1159" t="str">
            <v>Office</v>
          </cell>
          <cell r="E1159">
            <v>32.133335113525</v>
          </cell>
          <cell r="F1159">
            <v>0</v>
          </cell>
          <cell r="G1159">
            <v>0</v>
          </cell>
          <cell r="H1159">
            <v>0</v>
          </cell>
          <cell r="I1159">
            <v>0</v>
          </cell>
          <cell r="L1159">
            <v>0</v>
          </cell>
          <cell r="M1159">
            <v>0</v>
          </cell>
          <cell r="N1159">
            <v>0</v>
          </cell>
          <cell r="S1159">
            <v>0</v>
          </cell>
          <cell r="T1159">
            <v>0</v>
          </cell>
          <cell r="U1159">
            <v>0</v>
          </cell>
          <cell r="W1159">
            <v>32.133299999999998</v>
          </cell>
          <cell r="X1159">
            <v>0</v>
          </cell>
        </row>
        <row r="1160">
          <cell r="A1160">
            <v>37957</v>
          </cell>
          <cell r="B1160" t="str">
            <v>QA</v>
          </cell>
          <cell r="E1160">
            <v>193.23333740234</v>
          </cell>
          <cell r="F1160">
            <v>0</v>
          </cell>
          <cell r="G1160">
            <v>0</v>
          </cell>
          <cell r="H1160">
            <v>0</v>
          </cell>
          <cell r="I1160">
            <v>0</v>
          </cell>
          <cell r="L1160">
            <v>0</v>
          </cell>
          <cell r="M1160">
            <v>0</v>
          </cell>
          <cell r="N1160">
            <v>0</v>
          </cell>
          <cell r="S1160">
            <v>0</v>
          </cell>
          <cell r="T1160">
            <v>0</v>
          </cell>
          <cell r="U1160">
            <v>0</v>
          </cell>
          <cell r="W1160">
            <v>193.233</v>
          </cell>
          <cell r="X1160">
            <v>0</v>
          </cell>
        </row>
        <row r="1161">
          <cell r="A1161">
            <v>37957</v>
          </cell>
          <cell r="B1161" t="str">
            <v>QA</v>
          </cell>
          <cell r="E1161">
            <v>80.683334350585994</v>
          </cell>
          <cell r="F1161">
            <v>0</v>
          </cell>
          <cell r="G1161">
            <v>0</v>
          </cell>
          <cell r="H1161">
            <v>0</v>
          </cell>
          <cell r="I1161">
            <v>0</v>
          </cell>
          <cell r="L1161">
            <v>0</v>
          </cell>
          <cell r="M1161">
            <v>0</v>
          </cell>
          <cell r="N1161">
            <v>0</v>
          </cell>
          <cell r="S1161">
            <v>0</v>
          </cell>
          <cell r="T1161">
            <v>0</v>
          </cell>
          <cell r="U1161">
            <v>0</v>
          </cell>
          <cell r="W1161">
            <v>80.683300000000003</v>
          </cell>
          <cell r="X1161">
            <v>0</v>
          </cell>
        </row>
        <row r="1162">
          <cell r="A1162">
            <v>37957</v>
          </cell>
          <cell r="B1162" t="str">
            <v>Facilities</v>
          </cell>
          <cell r="E1162">
            <v>223</v>
          </cell>
          <cell r="F1162">
            <v>0</v>
          </cell>
          <cell r="G1162">
            <v>0</v>
          </cell>
          <cell r="H1162">
            <v>0</v>
          </cell>
          <cell r="I1162">
            <v>0</v>
          </cell>
          <cell r="L1162">
            <v>0</v>
          </cell>
          <cell r="M1162">
            <v>0</v>
          </cell>
          <cell r="N1162">
            <v>0</v>
          </cell>
          <cell r="S1162">
            <v>0</v>
          </cell>
          <cell r="T1162">
            <v>0</v>
          </cell>
          <cell r="U1162">
            <v>0</v>
          </cell>
          <cell r="W1162">
            <v>163</v>
          </cell>
          <cell r="X1162">
            <v>0</v>
          </cell>
        </row>
        <row r="1163">
          <cell r="A1163">
            <v>37957</v>
          </cell>
          <cell r="B1163" t="str">
            <v>Facilities</v>
          </cell>
          <cell r="E1163">
            <v>10</v>
          </cell>
          <cell r="F1163">
            <v>0</v>
          </cell>
          <cell r="G1163">
            <v>0</v>
          </cell>
          <cell r="H1163">
            <v>0</v>
          </cell>
          <cell r="I1163">
            <v>0</v>
          </cell>
          <cell r="L1163">
            <v>0</v>
          </cell>
          <cell r="M1163">
            <v>0</v>
          </cell>
          <cell r="N1163">
            <v>0</v>
          </cell>
          <cell r="S1163">
            <v>0</v>
          </cell>
          <cell r="T1163">
            <v>0</v>
          </cell>
          <cell r="U1163">
            <v>0</v>
          </cell>
          <cell r="W1163">
            <v>10</v>
          </cell>
          <cell r="X1163">
            <v>0</v>
          </cell>
        </row>
        <row r="1164">
          <cell r="A1164">
            <v>37957</v>
          </cell>
          <cell r="B1164" t="str">
            <v>SNOC</v>
          </cell>
          <cell r="E1164">
            <v>21.333333969116001</v>
          </cell>
          <cell r="F1164">
            <v>0</v>
          </cell>
          <cell r="G1164">
            <v>0</v>
          </cell>
          <cell r="H1164">
            <v>0</v>
          </cell>
          <cell r="I1164">
            <v>0</v>
          </cell>
          <cell r="L1164">
            <v>0</v>
          </cell>
          <cell r="M1164">
            <v>0</v>
          </cell>
          <cell r="N1164">
            <v>0</v>
          </cell>
          <cell r="S1164">
            <v>0</v>
          </cell>
          <cell r="T1164">
            <v>0</v>
          </cell>
          <cell r="U1164">
            <v>0</v>
          </cell>
          <cell r="W1164">
            <v>21.333300000000001</v>
          </cell>
          <cell r="X1164">
            <v>0</v>
          </cell>
        </row>
        <row r="1165">
          <cell r="A1165">
            <v>37957</v>
          </cell>
          <cell r="B1165" t="str">
            <v>Swat</v>
          </cell>
          <cell r="E1165">
            <v>8.2666664123534996</v>
          </cell>
          <cell r="F1165">
            <v>0</v>
          </cell>
          <cell r="G1165">
            <v>0</v>
          </cell>
          <cell r="H1165">
            <v>0</v>
          </cell>
          <cell r="I1165">
            <v>0</v>
          </cell>
          <cell r="L1165">
            <v>0</v>
          </cell>
          <cell r="M1165">
            <v>0</v>
          </cell>
          <cell r="N1165">
            <v>0</v>
          </cell>
          <cell r="S1165">
            <v>0</v>
          </cell>
          <cell r="T1165">
            <v>0</v>
          </cell>
          <cell r="U1165">
            <v>0</v>
          </cell>
          <cell r="W1165">
            <v>8.2666699999999995</v>
          </cell>
          <cell r="X1165">
            <v>0</v>
          </cell>
        </row>
        <row r="1166">
          <cell r="A1166">
            <v>37957</v>
          </cell>
          <cell r="B1166" t="str">
            <v>CustomerService</v>
          </cell>
          <cell r="E1166">
            <v>12.033333778380999</v>
          </cell>
          <cell r="F1166">
            <v>0</v>
          </cell>
          <cell r="G1166">
            <v>0</v>
          </cell>
          <cell r="H1166">
            <v>0</v>
          </cell>
          <cell r="I1166">
            <v>0</v>
          </cell>
          <cell r="L1166">
            <v>0</v>
          </cell>
          <cell r="M1166">
            <v>0</v>
          </cell>
          <cell r="N1166">
            <v>0</v>
          </cell>
          <cell r="S1166">
            <v>0</v>
          </cell>
          <cell r="T1166">
            <v>0</v>
          </cell>
          <cell r="U1166">
            <v>0</v>
          </cell>
          <cell r="W1166">
            <v>12.033300000000001</v>
          </cell>
          <cell r="X1166">
            <v>0</v>
          </cell>
        </row>
        <row r="1167">
          <cell r="A1167">
            <v>37957</v>
          </cell>
          <cell r="B1167" t="str">
            <v>CustomerService</v>
          </cell>
          <cell r="E1167">
            <v>6.4499998092651003</v>
          </cell>
          <cell r="F1167">
            <v>0</v>
          </cell>
          <cell r="G1167">
            <v>0</v>
          </cell>
          <cell r="H1167">
            <v>0</v>
          </cell>
          <cell r="I1167">
            <v>0</v>
          </cell>
          <cell r="L1167">
            <v>0</v>
          </cell>
          <cell r="M1167">
            <v>0</v>
          </cell>
          <cell r="N1167">
            <v>0</v>
          </cell>
          <cell r="S1167">
            <v>0</v>
          </cell>
          <cell r="T1167">
            <v>0</v>
          </cell>
          <cell r="U1167">
            <v>0</v>
          </cell>
          <cell r="W1167">
            <v>6.45</v>
          </cell>
          <cell r="X1167">
            <v>0</v>
          </cell>
        </row>
        <row r="1168">
          <cell r="A1168">
            <v>37957</v>
          </cell>
          <cell r="B1168" t="str">
            <v>InventoryControl</v>
          </cell>
          <cell r="E1168">
            <v>20</v>
          </cell>
          <cell r="F1168">
            <v>0</v>
          </cell>
          <cell r="G1168">
            <v>0</v>
          </cell>
          <cell r="H1168">
            <v>0</v>
          </cell>
          <cell r="I1168">
            <v>0</v>
          </cell>
          <cell r="L1168">
            <v>0</v>
          </cell>
          <cell r="M1168">
            <v>0</v>
          </cell>
          <cell r="N1168">
            <v>0</v>
          </cell>
          <cell r="S1168">
            <v>0</v>
          </cell>
          <cell r="T1168">
            <v>0</v>
          </cell>
          <cell r="U1168">
            <v>0</v>
          </cell>
          <cell r="W1168">
            <v>20</v>
          </cell>
          <cell r="X1168">
            <v>0</v>
          </cell>
        </row>
        <row r="1169">
          <cell r="A1169">
            <v>37957</v>
          </cell>
          <cell r="B1169" t="str">
            <v>Offsite1Ship</v>
          </cell>
          <cell r="E1169">
            <v>2038</v>
          </cell>
          <cell r="F1169">
            <v>156</v>
          </cell>
          <cell r="G1169">
            <v>17098</v>
          </cell>
          <cell r="H1169">
            <v>17098</v>
          </cell>
          <cell r="I1169">
            <v>0</v>
          </cell>
          <cell r="L1169">
            <v>864</v>
          </cell>
          <cell r="M1169">
            <v>0</v>
          </cell>
          <cell r="N1169">
            <v>0</v>
          </cell>
          <cell r="S1169">
            <v>0</v>
          </cell>
          <cell r="T1169">
            <v>0</v>
          </cell>
          <cell r="U1169">
            <v>0</v>
          </cell>
          <cell r="W1169">
            <v>0</v>
          </cell>
          <cell r="X1169">
            <v>0</v>
          </cell>
        </row>
        <row r="1170">
          <cell r="A1170">
            <v>37957</v>
          </cell>
          <cell r="B1170" t="str">
            <v>Replenishment</v>
          </cell>
          <cell r="E1170">
            <v>149.25</v>
          </cell>
          <cell r="F1170">
            <v>0</v>
          </cell>
          <cell r="G1170">
            <v>20333</v>
          </cell>
          <cell r="H1170">
            <v>0</v>
          </cell>
          <cell r="I1170">
            <v>0</v>
          </cell>
          <cell r="L1170">
            <v>0</v>
          </cell>
          <cell r="M1170">
            <v>0</v>
          </cell>
          <cell r="N1170">
            <v>0</v>
          </cell>
          <cell r="S1170">
            <v>0</v>
          </cell>
          <cell r="T1170">
            <v>0</v>
          </cell>
          <cell r="U1170">
            <v>0</v>
          </cell>
          <cell r="W1170">
            <v>0</v>
          </cell>
          <cell r="X1170">
            <v>0</v>
          </cell>
        </row>
        <row r="1171">
          <cell r="A1171">
            <v>37957</v>
          </cell>
          <cell r="B1171" t="str">
            <v>Training</v>
          </cell>
          <cell r="E1171">
            <v>0</v>
          </cell>
          <cell r="F1171">
            <v>0</v>
          </cell>
          <cell r="G1171">
            <v>0</v>
          </cell>
          <cell r="H1171">
            <v>0</v>
          </cell>
          <cell r="I1171">
            <v>0</v>
          </cell>
          <cell r="L1171">
            <v>0</v>
          </cell>
          <cell r="M1171">
            <v>0</v>
          </cell>
          <cell r="N1171">
            <v>0</v>
          </cell>
          <cell r="S1171">
            <v>0</v>
          </cell>
          <cell r="T1171">
            <v>0</v>
          </cell>
          <cell r="U1171">
            <v>0</v>
          </cell>
          <cell r="W1171">
            <v>0</v>
          </cell>
          <cell r="X1171">
            <v>0</v>
          </cell>
        </row>
        <row r="1172">
          <cell r="A1172">
            <v>37956</v>
          </cell>
          <cell r="B1172" t="str">
            <v>Sortation</v>
          </cell>
          <cell r="E1172">
            <v>612.06665039062</v>
          </cell>
          <cell r="F1172">
            <v>0</v>
          </cell>
          <cell r="G1172">
            <v>0</v>
          </cell>
          <cell r="H1172">
            <v>0</v>
          </cell>
          <cell r="I1172">
            <v>0</v>
          </cell>
          <cell r="L1172">
            <v>0</v>
          </cell>
          <cell r="M1172">
            <v>0</v>
          </cell>
          <cell r="N1172">
            <v>0</v>
          </cell>
          <cell r="S1172">
            <v>0</v>
          </cell>
          <cell r="T1172">
            <v>0</v>
          </cell>
          <cell r="U1172">
            <v>0</v>
          </cell>
          <cell r="W1172">
            <v>-21.433299999999999</v>
          </cell>
          <cell r="X1172">
            <v>0</v>
          </cell>
        </row>
        <row r="1173">
          <cell r="A1173">
            <v>37956</v>
          </cell>
          <cell r="B1173" t="str">
            <v>Rebin</v>
          </cell>
          <cell r="E1173">
            <v>270</v>
          </cell>
          <cell r="F1173">
            <v>88.5</v>
          </cell>
          <cell r="G1173">
            <v>38237</v>
          </cell>
          <cell r="H1173">
            <v>0</v>
          </cell>
          <cell r="I1173">
            <v>0</v>
          </cell>
          <cell r="L1173">
            <v>0</v>
          </cell>
          <cell r="M1173">
            <v>0</v>
          </cell>
          <cell r="N1173">
            <v>0</v>
          </cell>
          <cell r="S1173">
            <v>0</v>
          </cell>
          <cell r="T1173">
            <v>0</v>
          </cell>
          <cell r="U1173">
            <v>0</v>
          </cell>
          <cell r="W1173">
            <v>0</v>
          </cell>
          <cell r="X1173">
            <v>0</v>
          </cell>
        </row>
        <row r="1174">
          <cell r="A1174">
            <v>37956</v>
          </cell>
          <cell r="B1174" t="str">
            <v>Stack</v>
          </cell>
          <cell r="E1174">
            <v>214</v>
          </cell>
          <cell r="F1174">
            <v>0</v>
          </cell>
          <cell r="G1174">
            <v>30757</v>
          </cell>
          <cell r="H1174">
            <v>0</v>
          </cell>
          <cell r="I1174">
            <v>0</v>
          </cell>
          <cell r="L1174">
            <v>0</v>
          </cell>
          <cell r="M1174">
            <v>0</v>
          </cell>
          <cell r="N1174">
            <v>0</v>
          </cell>
          <cell r="S1174">
            <v>5268</v>
          </cell>
          <cell r="T1174">
            <v>0</v>
          </cell>
          <cell r="U1174">
            <v>0</v>
          </cell>
          <cell r="W1174">
            <v>0</v>
          </cell>
          <cell r="X1174">
            <v>0</v>
          </cell>
        </row>
        <row r="1175">
          <cell r="A1175">
            <v>37956</v>
          </cell>
          <cell r="B1175" t="str">
            <v>Bundler</v>
          </cell>
          <cell r="E1175">
            <v>128.06669998168999</v>
          </cell>
          <cell r="F1175">
            <v>0</v>
          </cell>
          <cell r="G1175">
            <v>30757</v>
          </cell>
          <cell r="H1175">
            <v>0</v>
          </cell>
          <cell r="I1175">
            <v>0</v>
          </cell>
          <cell r="L1175">
            <v>0</v>
          </cell>
          <cell r="M1175">
            <v>0</v>
          </cell>
          <cell r="N1175">
            <v>0</v>
          </cell>
          <cell r="S1175">
            <v>0</v>
          </cell>
          <cell r="T1175">
            <v>0</v>
          </cell>
          <cell r="U1175">
            <v>0</v>
          </cell>
          <cell r="W1175">
            <v>-21.433299999999999</v>
          </cell>
          <cell r="X1175">
            <v>11610</v>
          </cell>
        </row>
        <row r="1176">
          <cell r="A1176">
            <v>37956</v>
          </cell>
          <cell r="B1176" t="str">
            <v>Picking</v>
          </cell>
          <cell r="E1176">
            <v>808.38336181641</v>
          </cell>
          <cell r="F1176">
            <v>0</v>
          </cell>
          <cell r="G1176">
            <v>77184</v>
          </cell>
          <cell r="H1176">
            <v>0</v>
          </cell>
          <cell r="I1176">
            <v>0</v>
          </cell>
          <cell r="L1176">
            <v>0</v>
          </cell>
          <cell r="M1176">
            <v>0</v>
          </cell>
          <cell r="N1176">
            <v>0</v>
          </cell>
          <cell r="S1176">
            <v>0</v>
          </cell>
          <cell r="T1176">
            <v>0</v>
          </cell>
          <cell r="U1176">
            <v>0</v>
          </cell>
          <cell r="W1176">
            <v>64.003399999999999</v>
          </cell>
          <cell r="X1176">
            <v>0</v>
          </cell>
        </row>
        <row r="1177">
          <cell r="A1177">
            <v>37956</v>
          </cell>
          <cell r="B1177" t="str">
            <v>Shipping</v>
          </cell>
          <cell r="E1177">
            <v>876.58331298828</v>
          </cell>
          <cell r="F1177">
            <v>0</v>
          </cell>
          <cell r="G1177">
            <v>0</v>
          </cell>
          <cell r="H1177">
            <v>0</v>
          </cell>
          <cell r="I1177">
            <v>0</v>
          </cell>
          <cell r="L1177">
            <v>0</v>
          </cell>
          <cell r="M1177">
            <v>0</v>
          </cell>
          <cell r="N1177">
            <v>0</v>
          </cell>
          <cell r="S1177">
            <v>0</v>
          </cell>
          <cell r="T1177">
            <v>0</v>
          </cell>
          <cell r="U1177">
            <v>0</v>
          </cell>
          <cell r="W1177">
            <v>70.583299999999994</v>
          </cell>
          <cell r="X1177">
            <v>17882</v>
          </cell>
        </row>
        <row r="1178">
          <cell r="A1178">
            <v>37956</v>
          </cell>
          <cell r="B1178" t="str">
            <v>Autobox</v>
          </cell>
          <cell r="E1178">
            <v>360</v>
          </cell>
          <cell r="F1178">
            <v>144</v>
          </cell>
          <cell r="G1178">
            <v>31617</v>
          </cell>
          <cell r="H1178">
            <v>0</v>
          </cell>
          <cell r="I1178">
            <v>0</v>
          </cell>
          <cell r="L1178">
            <v>0</v>
          </cell>
          <cell r="M1178">
            <v>0</v>
          </cell>
          <cell r="N1178">
            <v>0</v>
          </cell>
          <cell r="S1178">
            <v>0</v>
          </cell>
          <cell r="T1178">
            <v>0</v>
          </cell>
          <cell r="U1178">
            <v>0</v>
          </cell>
          <cell r="W1178">
            <v>0</v>
          </cell>
          <cell r="X1178">
            <v>0</v>
          </cell>
        </row>
        <row r="1179">
          <cell r="A1179">
            <v>37956</v>
          </cell>
          <cell r="B1179" t="str">
            <v>Levimatic</v>
          </cell>
          <cell r="E1179">
            <v>42.5</v>
          </cell>
          <cell r="F1179">
            <v>30.5</v>
          </cell>
          <cell r="G1179">
            <v>8171</v>
          </cell>
          <cell r="H1179">
            <v>0</v>
          </cell>
          <cell r="I1179">
            <v>0</v>
          </cell>
          <cell r="L1179">
            <v>0</v>
          </cell>
          <cell r="M1179">
            <v>0</v>
          </cell>
          <cell r="N1179">
            <v>0</v>
          </cell>
          <cell r="S1179">
            <v>0</v>
          </cell>
          <cell r="T1179">
            <v>0</v>
          </cell>
          <cell r="U1179">
            <v>0</v>
          </cell>
          <cell r="W1179">
            <v>0</v>
          </cell>
          <cell r="X1179">
            <v>0</v>
          </cell>
        </row>
        <row r="1180">
          <cell r="A1180">
            <v>37956</v>
          </cell>
          <cell r="B1180" t="str">
            <v>Giftwrap</v>
          </cell>
          <cell r="E1180">
            <v>146</v>
          </cell>
          <cell r="F1180">
            <v>0</v>
          </cell>
          <cell r="G1180">
            <v>2115</v>
          </cell>
          <cell r="H1180">
            <v>0</v>
          </cell>
          <cell r="I1180">
            <v>0</v>
          </cell>
          <cell r="L1180">
            <v>0</v>
          </cell>
          <cell r="M1180">
            <v>0</v>
          </cell>
          <cell r="N1180">
            <v>0</v>
          </cell>
          <cell r="S1180">
            <v>0</v>
          </cell>
          <cell r="T1180">
            <v>0</v>
          </cell>
          <cell r="U1180">
            <v>0</v>
          </cell>
          <cell r="W1180">
            <v>0</v>
          </cell>
          <cell r="X1180">
            <v>0</v>
          </cell>
        </row>
        <row r="1181">
          <cell r="A1181">
            <v>37956</v>
          </cell>
          <cell r="B1181" t="str">
            <v>ShipSupport</v>
          </cell>
          <cell r="E1181">
            <v>328.08329772949003</v>
          </cell>
          <cell r="F1181">
            <v>48</v>
          </cell>
          <cell r="G1181">
            <v>0</v>
          </cell>
          <cell r="H1181">
            <v>0</v>
          </cell>
          <cell r="I1181">
            <v>0</v>
          </cell>
          <cell r="L1181">
            <v>0</v>
          </cell>
          <cell r="M1181">
            <v>0</v>
          </cell>
          <cell r="N1181">
            <v>0</v>
          </cell>
          <cell r="S1181">
            <v>0</v>
          </cell>
          <cell r="T1181">
            <v>0</v>
          </cell>
          <cell r="U1181">
            <v>0</v>
          </cell>
          <cell r="W1181">
            <v>70.583299999999994</v>
          </cell>
          <cell r="X1181">
            <v>0</v>
          </cell>
        </row>
        <row r="1182">
          <cell r="A1182">
            <v>37956</v>
          </cell>
          <cell r="B1182" t="str">
            <v>BMV Receive</v>
          </cell>
          <cell r="E1182">
            <v>178.73332214355</v>
          </cell>
          <cell r="F1182">
            <v>40.42</v>
          </cell>
          <cell r="G1182">
            <v>30921</v>
          </cell>
          <cell r="H1182">
            <v>17496</v>
          </cell>
          <cell r="I1182">
            <v>0</v>
          </cell>
          <cell r="L1182">
            <v>126.3</v>
          </cell>
          <cell r="M1182">
            <v>0</v>
          </cell>
          <cell r="N1182">
            <v>20</v>
          </cell>
          <cell r="S1182">
            <v>0</v>
          </cell>
          <cell r="T1182">
            <v>28.42</v>
          </cell>
          <cell r="U1182">
            <v>0</v>
          </cell>
          <cell r="W1182">
            <v>-7.9866799999999998</v>
          </cell>
          <cell r="X1182">
            <v>0</v>
          </cell>
        </row>
        <row r="1183">
          <cell r="A1183">
            <v>37956</v>
          </cell>
          <cell r="B1183" t="str">
            <v>BMV Stow</v>
          </cell>
          <cell r="E1183">
            <v>92.800003051757997</v>
          </cell>
          <cell r="F1183">
            <v>56.8</v>
          </cell>
          <cell r="G1183">
            <v>36732</v>
          </cell>
          <cell r="H1183">
            <v>21807</v>
          </cell>
          <cell r="I1183">
            <v>14925</v>
          </cell>
          <cell r="L1183">
            <v>56.8</v>
          </cell>
          <cell r="M1183">
            <v>36</v>
          </cell>
          <cell r="N1183">
            <v>0</v>
          </cell>
          <cell r="S1183">
            <v>0</v>
          </cell>
          <cell r="T1183">
            <v>0</v>
          </cell>
          <cell r="U1183">
            <v>0</v>
          </cell>
          <cell r="W1183">
            <v>0</v>
          </cell>
          <cell r="X1183">
            <v>0</v>
          </cell>
        </row>
        <row r="1184">
          <cell r="A1184">
            <v>37956</v>
          </cell>
          <cell r="B1184" t="str">
            <v>Replenishment</v>
          </cell>
          <cell r="E1184">
            <v>101</v>
          </cell>
          <cell r="F1184">
            <v>0</v>
          </cell>
          <cell r="G1184">
            <v>20886</v>
          </cell>
          <cell r="H1184">
            <v>0</v>
          </cell>
          <cell r="I1184">
            <v>0</v>
          </cell>
          <cell r="L1184">
            <v>0</v>
          </cell>
          <cell r="M1184">
            <v>0</v>
          </cell>
          <cell r="N1184">
            <v>0</v>
          </cell>
          <cell r="S1184">
            <v>0</v>
          </cell>
          <cell r="T1184">
            <v>0</v>
          </cell>
          <cell r="U1184">
            <v>0</v>
          </cell>
          <cell r="W1184">
            <v>0</v>
          </cell>
          <cell r="X1184">
            <v>0</v>
          </cell>
        </row>
        <row r="1185">
          <cell r="A1185">
            <v>37956</v>
          </cell>
          <cell r="B1185" t="str">
            <v>Sortation</v>
          </cell>
          <cell r="E1185">
            <v>839.11663818359</v>
          </cell>
          <cell r="F1185">
            <v>0</v>
          </cell>
          <cell r="G1185">
            <v>0</v>
          </cell>
          <cell r="H1185">
            <v>0</v>
          </cell>
          <cell r="I1185">
            <v>0</v>
          </cell>
          <cell r="L1185">
            <v>0</v>
          </cell>
          <cell r="M1185">
            <v>0</v>
          </cell>
          <cell r="N1185">
            <v>0</v>
          </cell>
          <cell r="S1185">
            <v>0</v>
          </cell>
          <cell r="T1185">
            <v>0</v>
          </cell>
          <cell r="U1185">
            <v>0</v>
          </cell>
          <cell r="W1185">
            <v>103.64700000000001</v>
          </cell>
          <cell r="X1185">
            <v>0</v>
          </cell>
        </row>
        <row r="1186">
          <cell r="A1186">
            <v>37956</v>
          </cell>
          <cell r="B1186" t="str">
            <v>Rebin</v>
          </cell>
          <cell r="E1186">
            <v>327.5</v>
          </cell>
          <cell r="F1186">
            <v>48</v>
          </cell>
          <cell r="G1186">
            <v>61508</v>
          </cell>
          <cell r="H1186">
            <v>0</v>
          </cell>
          <cell r="I1186">
            <v>0</v>
          </cell>
          <cell r="L1186">
            <v>0</v>
          </cell>
          <cell r="M1186">
            <v>0</v>
          </cell>
          <cell r="N1186">
            <v>0</v>
          </cell>
          <cell r="S1186">
            <v>0</v>
          </cell>
          <cell r="T1186">
            <v>0</v>
          </cell>
          <cell r="U1186">
            <v>0</v>
          </cell>
          <cell r="W1186">
            <v>0</v>
          </cell>
          <cell r="X1186">
            <v>0</v>
          </cell>
        </row>
        <row r="1187">
          <cell r="A1187">
            <v>37956</v>
          </cell>
          <cell r="B1187" t="str">
            <v>Stack</v>
          </cell>
          <cell r="E1187">
            <v>243</v>
          </cell>
          <cell r="F1187">
            <v>0</v>
          </cell>
          <cell r="G1187">
            <v>36712</v>
          </cell>
          <cell r="H1187">
            <v>0</v>
          </cell>
          <cell r="I1187">
            <v>0</v>
          </cell>
          <cell r="L1187">
            <v>0</v>
          </cell>
          <cell r="M1187">
            <v>0</v>
          </cell>
          <cell r="N1187">
            <v>0</v>
          </cell>
          <cell r="S1187">
            <v>1256</v>
          </cell>
          <cell r="T1187">
            <v>0</v>
          </cell>
          <cell r="U1187">
            <v>0</v>
          </cell>
          <cell r="W1187">
            <v>0</v>
          </cell>
          <cell r="X1187">
            <v>0</v>
          </cell>
        </row>
        <row r="1188">
          <cell r="A1188">
            <v>37956</v>
          </cell>
          <cell r="B1188" t="str">
            <v>Bundler</v>
          </cell>
          <cell r="E1188">
            <v>268.61700439453</v>
          </cell>
          <cell r="F1188">
            <v>0</v>
          </cell>
          <cell r="G1188">
            <v>36712</v>
          </cell>
          <cell r="H1188">
            <v>0</v>
          </cell>
          <cell r="I1188">
            <v>0</v>
          </cell>
          <cell r="L1188">
            <v>0</v>
          </cell>
          <cell r="M1188">
            <v>0</v>
          </cell>
          <cell r="N1188">
            <v>0</v>
          </cell>
          <cell r="S1188">
            <v>0</v>
          </cell>
          <cell r="T1188">
            <v>0</v>
          </cell>
          <cell r="U1188">
            <v>0</v>
          </cell>
          <cell r="W1188">
            <v>103.64700000000001</v>
          </cell>
          <cell r="X1188">
            <v>10259</v>
          </cell>
        </row>
        <row r="1189">
          <cell r="A1189">
            <v>37956</v>
          </cell>
          <cell r="B1189" t="str">
            <v>Offsite1Receive</v>
          </cell>
          <cell r="E1189">
            <v>119.73327636719</v>
          </cell>
          <cell r="F1189">
            <v>30</v>
          </cell>
          <cell r="G1189">
            <v>3067</v>
          </cell>
          <cell r="H1189">
            <v>0</v>
          </cell>
          <cell r="I1189">
            <v>0</v>
          </cell>
          <cell r="L1189">
            <v>0</v>
          </cell>
          <cell r="M1189">
            <v>0</v>
          </cell>
          <cell r="N1189">
            <v>0</v>
          </cell>
          <cell r="S1189">
            <v>0</v>
          </cell>
          <cell r="T1189">
            <v>0</v>
          </cell>
          <cell r="U1189">
            <v>0</v>
          </cell>
          <cell r="W1189">
            <v>59.793300000000002</v>
          </cell>
          <cell r="X1189">
            <v>0</v>
          </cell>
        </row>
        <row r="1190">
          <cell r="A1190">
            <v>37956</v>
          </cell>
          <cell r="B1190" t="str">
            <v>Offsite1Ship</v>
          </cell>
          <cell r="E1190">
            <v>1674.5</v>
          </cell>
          <cell r="F1190">
            <v>150</v>
          </cell>
          <cell r="G1190">
            <v>15263</v>
          </cell>
          <cell r="H1190">
            <v>15367</v>
          </cell>
          <cell r="I1190">
            <v>0</v>
          </cell>
          <cell r="L1190">
            <v>792</v>
          </cell>
          <cell r="M1190">
            <v>0</v>
          </cell>
          <cell r="N1190">
            <v>0</v>
          </cell>
          <cell r="S1190">
            <v>0</v>
          </cell>
          <cell r="T1190">
            <v>0</v>
          </cell>
          <cell r="U1190">
            <v>0</v>
          </cell>
          <cell r="W1190">
            <v>0</v>
          </cell>
          <cell r="X1190">
            <v>0</v>
          </cell>
        </row>
        <row r="1191">
          <cell r="A1191">
            <v>37956</v>
          </cell>
          <cell r="B1191" t="str">
            <v>BMV Receive</v>
          </cell>
          <cell r="E1191">
            <v>147.86666870117</v>
          </cell>
          <cell r="F1191">
            <v>1.55</v>
          </cell>
          <cell r="G1191">
            <v>45970</v>
          </cell>
          <cell r="H1191">
            <v>28384</v>
          </cell>
          <cell r="I1191">
            <v>0</v>
          </cell>
          <cell r="L1191">
            <v>141.25</v>
          </cell>
          <cell r="M1191">
            <v>0</v>
          </cell>
          <cell r="N1191">
            <v>4.5</v>
          </cell>
          <cell r="S1191">
            <v>0</v>
          </cell>
          <cell r="T1191">
            <v>29</v>
          </cell>
          <cell r="U1191">
            <v>0</v>
          </cell>
          <cell r="W1191">
            <v>0.566666</v>
          </cell>
          <cell r="X1191">
            <v>0</v>
          </cell>
        </row>
        <row r="1192">
          <cell r="A1192">
            <v>37956</v>
          </cell>
          <cell r="B1192" t="str">
            <v>BMV Stow</v>
          </cell>
          <cell r="E1192">
            <v>114.5</v>
          </cell>
          <cell r="F1192">
            <v>0</v>
          </cell>
          <cell r="G1192">
            <v>42391</v>
          </cell>
          <cell r="H1192">
            <v>33264</v>
          </cell>
          <cell r="I1192">
            <v>9127</v>
          </cell>
          <cell r="L1192">
            <v>104.5</v>
          </cell>
          <cell r="M1192">
            <v>10</v>
          </cell>
          <cell r="N1192">
            <v>0</v>
          </cell>
          <cell r="S1192">
            <v>0</v>
          </cell>
          <cell r="T1192">
            <v>0</v>
          </cell>
          <cell r="U1192">
            <v>0</v>
          </cell>
          <cell r="W1192">
            <v>0</v>
          </cell>
          <cell r="X1192">
            <v>0</v>
          </cell>
        </row>
        <row r="1193">
          <cell r="A1193">
            <v>37956</v>
          </cell>
          <cell r="B1193" t="str">
            <v>Replenishment</v>
          </cell>
          <cell r="E1193">
            <v>135</v>
          </cell>
          <cell r="F1193">
            <v>0</v>
          </cell>
          <cell r="G1193">
            <v>19175</v>
          </cell>
          <cell r="H1193">
            <v>0</v>
          </cell>
          <cell r="I1193">
            <v>0</v>
          </cell>
          <cell r="L1193">
            <v>0</v>
          </cell>
          <cell r="M1193">
            <v>0</v>
          </cell>
          <cell r="N1193">
            <v>0</v>
          </cell>
          <cell r="S1193">
            <v>0</v>
          </cell>
          <cell r="T1193">
            <v>0</v>
          </cell>
          <cell r="U1193">
            <v>0</v>
          </cell>
          <cell r="W1193">
            <v>0</v>
          </cell>
          <cell r="X1193">
            <v>0</v>
          </cell>
        </row>
        <row r="1194">
          <cell r="A1194">
            <v>37956</v>
          </cell>
          <cell r="B1194" t="str">
            <v>Shipping</v>
          </cell>
          <cell r="E1194">
            <v>778.41668701172</v>
          </cell>
          <cell r="F1194">
            <v>0</v>
          </cell>
          <cell r="G1194">
            <v>0</v>
          </cell>
          <cell r="H1194">
            <v>0</v>
          </cell>
          <cell r="I1194">
            <v>0</v>
          </cell>
          <cell r="L1194">
            <v>0</v>
          </cell>
          <cell r="M1194">
            <v>0</v>
          </cell>
          <cell r="N1194">
            <v>0</v>
          </cell>
          <cell r="S1194">
            <v>0</v>
          </cell>
          <cell r="T1194">
            <v>0</v>
          </cell>
          <cell r="U1194">
            <v>0</v>
          </cell>
          <cell r="W1194">
            <v>-8.0833100000000009</v>
          </cell>
          <cell r="X1194">
            <v>14474</v>
          </cell>
        </row>
        <row r="1195">
          <cell r="A1195">
            <v>37956</v>
          </cell>
          <cell r="B1195" t="str">
            <v>Autobox</v>
          </cell>
          <cell r="E1195">
            <v>306</v>
          </cell>
          <cell r="F1195">
            <v>106</v>
          </cell>
          <cell r="G1195">
            <v>25529</v>
          </cell>
          <cell r="H1195">
            <v>0</v>
          </cell>
          <cell r="I1195">
            <v>0</v>
          </cell>
          <cell r="L1195">
            <v>0</v>
          </cell>
          <cell r="M1195">
            <v>0</v>
          </cell>
          <cell r="N1195">
            <v>0</v>
          </cell>
          <cell r="S1195">
            <v>0</v>
          </cell>
          <cell r="T1195">
            <v>0</v>
          </cell>
          <cell r="U1195">
            <v>0</v>
          </cell>
          <cell r="W1195">
            <v>0</v>
          </cell>
          <cell r="X1195">
            <v>0</v>
          </cell>
        </row>
        <row r="1196">
          <cell r="A1196">
            <v>37956</v>
          </cell>
          <cell r="B1196" t="str">
            <v>Levimatic</v>
          </cell>
          <cell r="E1196">
            <v>38</v>
          </cell>
          <cell r="F1196">
            <v>18</v>
          </cell>
          <cell r="G1196">
            <v>5968</v>
          </cell>
          <cell r="H1196">
            <v>0</v>
          </cell>
          <cell r="I1196">
            <v>0</v>
          </cell>
          <cell r="L1196">
            <v>0</v>
          </cell>
          <cell r="M1196">
            <v>0</v>
          </cell>
          <cell r="N1196">
            <v>0</v>
          </cell>
          <cell r="S1196">
            <v>0</v>
          </cell>
          <cell r="T1196">
            <v>0</v>
          </cell>
          <cell r="U1196">
            <v>0</v>
          </cell>
          <cell r="W1196">
            <v>0</v>
          </cell>
          <cell r="X1196">
            <v>0</v>
          </cell>
        </row>
        <row r="1197">
          <cell r="A1197">
            <v>37956</v>
          </cell>
          <cell r="B1197" t="str">
            <v>Giftwrap</v>
          </cell>
          <cell r="E1197">
            <v>133.5</v>
          </cell>
          <cell r="F1197">
            <v>0</v>
          </cell>
          <cell r="G1197">
            <v>1687</v>
          </cell>
          <cell r="H1197">
            <v>0</v>
          </cell>
          <cell r="I1197">
            <v>0</v>
          </cell>
          <cell r="L1197">
            <v>0</v>
          </cell>
          <cell r="M1197">
            <v>0</v>
          </cell>
          <cell r="N1197">
            <v>0</v>
          </cell>
          <cell r="S1197">
            <v>0</v>
          </cell>
          <cell r="T1197">
            <v>0</v>
          </cell>
          <cell r="U1197">
            <v>0</v>
          </cell>
          <cell r="W1197">
            <v>0</v>
          </cell>
          <cell r="X1197">
            <v>1687</v>
          </cell>
        </row>
        <row r="1198">
          <cell r="A1198">
            <v>37956</v>
          </cell>
          <cell r="B1198" t="str">
            <v>ShipSupport</v>
          </cell>
          <cell r="E1198">
            <v>300.91668987273999</v>
          </cell>
          <cell r="F1198">
            <v>111</v>
          </cell>
          <cell r="G1198">
            <v>0</v>
          </cell>
          <cell r="H1198">
            <v>0</v>
          </cell>
          <cell r="I1198">
            <v>0</v>
          </cell>
          <cell r="L1198">
            <v>0</v>
          </cell>
          <cell r="M1198">
            <v>0</v>
          </cell>
          <cell r="N1198">
            <v>0</v>
          </cell>
          <cell r="S1198">
            <v>0</v>
          </cell>
          <cell r="T1198">
            <v>0</v>
          </cell>
          <cell r="U1198">
            <v>0</v>
          </cell>
          <cell r="W1198">
            <v>-8.0833100000000009</v>
          </cell>
          <cell r="X1198">
            <v>0</v>
          </cell>
        </row>
        <row r="1199">
          <cell r="A1199">
            <v>37956</v>
          </cell>
          <cell r="B1199" t="str">
            <v>Picking</v>
          </cell>
          <cell r="E1199">
            <v>789.11663818359</v>
          </cell>
          <cell r="F1199">
            <v>0</v>
          </cell>
          <cell r="G1199">
            <v>63290</v>
          </cell>
          <cell r="H1199">
            <v>0</v>
          </cell>
          <cell r="I1199">
            <v>0</v>
          </cell>
          <cell r="L1199">
            <v>0</v>
          </cell>
          <cell r="M1199">
            <v>0</v>
          </cell>
          <cell r="N1199">
            <v>0</v>
          </cell>
          <cell r="S1199">
            <v>0</v>
          </cell>
          <cell r="T1199">
            <v>0</v>
          </cell>
          <cell r="U1199">
            <v>0</v>
          </cell>
          <cell r="W1199">
            <v>-5.3833599999999997</v>
          </cell>
          <cell r="X1199">
            <v>0</v>
          </cell>
        </row>
        <row r="1200">
          <cell r="A1200">
            <v>37956</v>
          </cell>
          <cell r="B1200" t="str">
            <v>InventoryControl</v>
          </cell>
          <cell r="E1200">
            <v>36</v>
          </cell>
          <cell r="F1200">
            <v>0</v>
          </cell>
          <cell r="G1200">
            <v>0</v>
          </cell>
          <cell r="H1200">
            <v>0</v>
          </cell>
          <cell r="I1200">
            <v>0</v>
          </cell>
          <cell r="L1200">
            <v>0</v>
          </cell>
          <cell r="M1200">
            <v>0</v>
          </cell>
          <cell r="N1200">
            <v>0</v>
          </cell>
          <cell r="S1200">
            <v>0</v>
          </cell>
          <cell r="T1200">
            <v>0</v>
          </cell>
          <cell r="U1200">
            <v>0</v>
          </cell>
          <cell r="W1200">
            <v>36</v>
          </cell>
          <cell r="X1200">
            <v>0</v>
          </cell>
        </row>
        <row r="1201">
          <cell r="A1201">
            <v>37956</v>
          </cell>
          <cell r="B1201" t="str">
            <v>Office</v>
          </cell>
          <cell r="E1201">
            <v>121.09999847412</v>
          </cell>
          <cell r="F1201">
            <v>0</v>
          </cell>
          <cell r="G1201">
            <v>0</v>
          </cell>
          <cell r="H1201">
            <v>0</v>
          </cell>
          <cell r="I1201">
            <v>0</v>
          </cell>
          <cell r="L1201">
            <v>0</v>
          </cell>
          <cell r="M1201">
            <v>0</v>
          </cell>
          <cell r="N1201">
            <v>0</v>
          </cell>
          <cell r="S1201">
            <v>0</v>
          </cell>
          <cell r="T1201">
            <v>0</v>
          </cell>
          <cell r="U1201">
            <v>0</v>
          </cell>
          <cell r="W1201">
            <v>121.1</v>
          </cell>
          <cell r="X1201">
            <v>0</v>
          </cell>
        </row>
        <row r="1202">
          <cell r="A1202">
            <v>37956</v>
          </cell>
          <cell r="B1202" t="str">
            <v>Office</v>
          </cell>
          <cell r="E1202">
            <v>32.433334350586001</v>
          </cell>
          <cell r="F1202">
            <v>0</v>
          </cell>
          <cell r="G1202">
            <v>0</v>
          </cell>
          <cell r="H1202">
            <v>0</v>
          </cell>
          <cell r="I1202">
            <v>0</v>
          </cell>
          <cell r="L1202">
            <v>0</v>
          </cell>
          <cell r="M1202">
            <v>0</v>
          </cell>
          <cell r="N1202">
            <v>0</v>
          </cell>
          <cell r="S1202">
            <v>0</v>
          </cell>
          <cell r="T1202">
            <v>0</v>
          </cell>
          <cell r="U1202">
            <v>0</v>
          </cell>
          <cell r="W1202">
            <v>32.433300000000003</v>
          </cell>
          <cell r="X1202">
            <v>0</v>
          </cell>
        </row>
        <row r="1203">
          <cell r="A1203">
            <v>37956</v>
          </cell>
          <cell r="B1203" t="str">
            <v>QA</v>
          </cell>
          <cell r="E1203">
            <v>160.88333129883</v>
          </cell>
          <cell r="F1203">
            <v>0</v>
          </cell>
          <cell r="G1203">
            <v>0</v>
          </cell>
          <cell r="H1203">
            <v>0</v>
          </cell>
          <cell r="I1203">
            <v>0</v>
          </cell>
          <cell r="L1203">
            <v>0</v>
          </cell>
          <cell r="M1203">
            <v>0</v>
          </cell>
          <cell r="N1203">
            <v>0</v>
          </cell>
          <cell r="S1203">
            <v>0</v>
          </cell>
          <cell r="T1203">
            <v>0</v>
          </cell>
          <cell r="U1203">
            <v>0</v>
          </cell>
          <cell r="W1203">
            <v>160.88300000000001</v>
          </cell>
          <cell r="X1203">
            <v>0</v>
          </cell>
        </row>
        <row r="1204">
          <cell r="A1204">
            <v>37956</v>
          </cell>
          <cell r="B1204" t="str">
            <v>QA</v>
          </cell>
          <cell r="E1204">
            <v>90.449996948242003</v>
          </cell>
          <cell r="F1204">
            <v>0</v>
          </cell>
          <cell r="G1204">
            <v>0</v>
          </cell>
          <cell r="H1204">
            <v>0</v>
          </cell>
          <cell r="I1204">
            <v>0</v>
          </cell>
          <cell r="L1204">
            <v>0</v>
          </cell>
          <cell r="M1204">
            <v>0</v>
          </cell>
          <cell r="N1204">
            <v>0</v>
          </cell>
          <cell r="S1204">
            <v>0</v>
          </cell>
          <cell r="T1204">
            <v>0</v>
          </cell>
          <cell r="U1204">
            <v>0</v>
          </cell>
          <cell r="W1204">
            <v>90.45</v>
          </cell>
          <cell r="X1204">
            <v>0</v>
          </cell>
        </row>
        <row r="1205">
          <cell r="A1205">
            <v>37956</v>
          </cell>
          <cell r="B1205" t="str">
            <v>Vreturns</v>
          </cell>
          <cell r="E1205">
            <v>0</v>
          </cell>
          <cell r="F1205">
            <v>0</v>
          </cell>
          <cell r="G1205">
            <v>0</v>
          </cell>
          <cell r="H1205">
            <v>0</v>
          </cell>
          <cell r="I1205">
            <v>0</v>
          </cell>
          <cell r="L1205">
            <v>0</v>
          </cell>
          <cell r="M1205">
            <v>0</v>
          </cell>
          <cell r="N1205">
            <v>0</v>
          </cell>
          <cell r="S1205">
            <v>0</v>
          </cell>
          <cell r="T1205">
            <v>0</v>
          </cell>
          <cell r="U1205">
            <v>0</v>
          </cell>
          <cell r="W1205">
            <v>0</v>
          </cell>
          <cell r="X1205">
            <v>0</v>
          </cell>
        </row>
        <row r="1206">
          <cell r="A1206">
            <v>37956</v>
          </cell>
          <cell r="B1206" t="str">
            <v>Vreturns</v>
          </cell>
          <cell r="E1206">
            <v>0</v>
          </cell>
          <cell r="F1206">
            <v>0</v>
          </cell>
          <cell r="G1206">
            <v>0</v>
          </cell>
          <cell r="H1206">
            <v>0</v>
          </cell>
          <cell r="I1206">
            <v>0</v>
          </cell>
          <cell r="L1206">
            <v>0</v>
          </cell>
          <cell r="M1206">
            <v>0</v>
          </cell>
          <cell r="N1206">
            <v>0</v>
          </cell>
          <cell r="S1206">
            <v>0</v>
          </cell>
          <cell r="T1206">
            <v>0</v>
          </cell>
          <cell r="U1206">
            <v>0</v>
          </cell>
          <cell r="W1206">
            <v>0</v>
          </cell>
          <cell r="X1206">
            <v>0</v>
          </cell>
        </row>
        <row r="1207">
          <cell r="A1207">
            <v>37956</v>
          </cell>
          <cell r="B1207" t="str">
            <v>Facilities</v>
          </cell>
          <cell r="E1207">
            <v>175.53333282470999</v>
          </cell>
          <cell r="F1207">
            <v>0</v>
          </cell>
          <cell r="G1207">
            <v>0</v>
          </cell>
          <cell r="H1207">
            <v>0</v>
          </cell>
          <cell r="I1207">
            <v>0</v>
          </cell>
          <cell r="L1207">
            <v>0</v>
          </cell>
          <cell r="M1207">
            <v>0</v>
          </cell>
          <cell r="N1207">
            <v>0</v>
          </cell>
          <cell r="S1207">
            <v>0</v>
          </cell>
          <cell r="T1207">
            <v>0</v>
          </cell>
          <cell r="U1207">
            <v>0</v>
          </cell>
          <cell r="W1207">
            <v>115.533</v>
          </cell>
          <cell r="X1207">
            <v>0</v>
          </cell>
        </row>
        <row r="1208">
          <cell r="A1208">
            <v>37956</v>
          </cell>
          <cell r="B1208" t="str">
            <v>Facilities</v>
          </cell>
          <cell r="E1208">
            <v>12.5</v>
          </cell>
          <cell r="F1208">
            <v>0</v>
          </cell>
          <cell r="G1208">
            <v>0</v>
          </cell>
          <cell r="H1208">
            <v>0</v>
          </cell>
          <cell r="I1208">
            <v>0</v>
          </cell>
          <cell r="L1208">
            <v>0</v>
          </cell>
          <cell r="M1208">
            <v>0</v>
          </cell>
          <cell r="N1208">
            <v>0</v>
          </cell>
          <cell r="S1208">
            <v>0</v>
          </cell>
          <cell r="T1208">
            <v>0</v>
          </cell>
          <cell r="U1208">
            <v>0</v>
          </cell>
          <cell r="W1208">
            <v>12.5</v>
          </cell>
          <cell r="X1208">
            <v>0</v>
          </cell>
        </row>
        <row r="1209">
          <cell r="A1209">
            <v>37956</v>
          </cell>
          <cell r="B1209" t="str">
            <v>SNOC</v>
          </cell>
          <cell r="E1209">
            <v>32.566665649413999</v>
          </cell>
          <cell r="F1209">
            <v>0</v>
          </cell>
          <cell r="G1209">
            <v>0</v>
          </cell>
          <cell r="H1209">
            <v>0</v>
          </cell>
          <cell r="I1209">
            <v>0</v>
          </cell>
          <cell r="L1209">
            <v>0</v>
          </cell>
          <cell r="M1209">
            <v>0</v>
          </cell>
          <cell r="N1209">
            <v>0</v>
          </cell>
          <cell r="S1209">
            <v>0</v>
          </cell>
          <cell r="T1209">
            <v>0</v>
          </cell>
          <cell r="U1209">
            <v>0</v>
          </cell>
          <cell r="W1209">
            <v>32.566699999999997</v>
          </cell>
          <cell r="X1209">
            <v>0</v>
          </cell>
        </row>
        <row r="1210">
          <cell r="A1210">
            <v>37956</v>
          </cell>
          <cell r="B1210" t="str">
            <v>Swat</v>
          </cell>
          <cell r="E1210">
            <v>8</v>
          </cell>
          <cell r="F1210">
            <v>0</v>
          </cell>
          <cell r="G1210">
            <v>0</v>
          </cell>
          <cell r="H1210">
            <v>0</v>
          </cell>
          <cell r="I1210">
            <v>0</v>
          </cell>
          <cell r="L1210">
            <v>0</v>
          </cell>
          <cell r="M1210">
            <v>0</v>
          </cell>
          <cell r="N1210">
            <v>0</v>
          </cell>
          <cell r="S1210">
            <v>0</v>
          </cell>
          <cell r="T1210">
            <v>0</v>
          </cell>
          <cell r="U1210">
            <v>0</v>
          </cell>
          <cell r="W1210">
            <v>8</v>
          </cell>
          <cell r="X1210">
            <v>0</v>
          </cell>
        </row>
        <row r="1211">
          <cell r="A1211">
            <v>37956</v>
          </cell>
          <cell r="B1211" t="str">
            <v>CReturns</v>
          </cell>
          <cell r="E1211">
            <v>20</v>
          </cell>
          <cell r="F1211">
            <v>0</v>
          </cell>
          <cell r="G1211">
            <v>0</v>
          </cell>
          <cell r="H1211">
            <v>0</v>
          </cell>
          <cell r="I1211">
            <v>0</v>
          </cell>
          <cell r="L1211">
            <v>0</v>
          </cell>
          <cell r="M1211">
            <v>0</v>
          </cell>
          <cell r="N1211">
            <v>0</v>
          </cell>
          <cell r="S1211">
            <v>0</v>
          </cell>
          <cell r="T1211">
            <v>0</v>
          </cell>
          <cell r="U1211">
            <v>0</v>
          </cell>
          <cell r="W1211">
            <v>20</v>
          </cell>
          <cell r="X1211">
            <v>0</v>
          </cell>
        </row>
        <row r="1212">
          <cell r="A1212">
            <v>37956</v>
          </cell>
          <cell r="B1212" t="str">
            <v>CustomerService</v>
          </cell>
          <cell r="E1212">
            <v>12</v>
          </cell>
          <cell r="F1212">
            <v>0</v>
          </cell>
          <cell r="G1212">
            <v>0</v>
          </cell>
          <cell r="H1212">
            <v>0</v>
          </cell>
          <cell r="I1212">
            <v>0</v>
          </cell>
          <cell r="L1212">
            <v>0</v>
          </cell>
          <cell r="M1212">
            <v>0</v>
          </cell>
          <cell r="N1212">
            <v>0</v>
          </cell>
          <cell r="S1212">
            <v>0</v>
          </cell>
          <cell r="T1212">
            <v>0</v>
          </cell>
          <cell r="U1212">
            <v>0</v>
          </cell>
          <cell r="W1212">
            <v>12</v>
          </cell>
          <cell r="X1212">
            <v>0</v>
          </cell>
        </row>
        <row r="1213">
          <cell r="A1213">
            <v>37956</v>
          </cell>
          <cell r="B1213" t="str">
            <v>CustomerService</v>
          </cell>
          <cell r="E1213">
            <v>0</v>
          </cell>
          <cell r="F1213">
            <v>0</v>
          </cell>
          <cell r="G1213">
            <v>0</v>
          </cell>
          <cell r="H1213">
            <v>0</v>
          </cell>
          <cell r="I1213">
            <v>0</v>
          </cell>
          <cell r="L1213">
            <v>0</v>
          </cell>
          <cell r="M1213">
            <v>0</v>
          </cell>
          <cell r="N1213">
            <v>0</v>
          </cell>
          <cell r="S1213">
            <v>0</v>
          </cell>
          <cell r="T1213">
            <v>0</v>
          </cell>
          <cell r="U1213">
            <v>0</v>
          </cell>
          <cell r="W1213">
            <v>0</v>
          </cell>
          <cell r="X1213">
            <v>0</v>
          </cell>
        </row>
        <row r="1214">
          <cell r="A1214">
            <v>37956</v>
          </cell>
          <cell r="B1214" t="str">
            <v>Training</v>
          </cell>
          <cell r="E1214">
            <v>80</v>
          </cell>
          <cell r="F1214">
            <v>0</v>
          </cell>
          <cell r="G1214">
            <v>0</v>
          </cell>
          <cell r="H1214">
            <v>0</v>
          </cell>
          <cell r="I1214">
            <v>0</v>
          </cell>
          <cell r="L1214">
            <v>0</v>
          </cell>
          <cell r="M1214">
            <v>0</v>
          </cell>
          <cell r="N1214">
            <v>0</v>
          </cell>
          <cell r="S1214">
            <v>0</v>
          </cell>
          <cell r="T1214">
            <v>0</v>
          </cell>
          <cell r="U1214">
            <v>0</v>
          </cell>
          <cell r="W1214">
            <v>80</v>
          </cell>
          <cell r="X1214">
            <v>0</v>
          </cell>
        </row>
        <row r="1215">
          <cell r="A1215">
            <v>37956</v>
          </cell>
          <cell r="B1215" t="str">
            <v>Training</v>
          </cell>
          <cell r="E1215">
            <v>0</v>
          </cell>
          <cell r="F1215">
            <v>0</v>
          </cell>
          <cell r="G1215">
            <v>0</v>
          </cell>
          <cell r="H1215">
            <v>0</v>
          </cell>
          <cell r="I1215">
            <v>0</v>
          </cell>
          <cell r="L1215">
            <v>0</v>
          </cell>
          <cell r="M1215">
            <v>0</v>
          </cell>
          <cell r="N1215">
            <v>0</v>
          </cell>
          <cell r="S1215">
            <v>0</v>
          </cell>
          <cell r="T1215">
            <v>0</v>
          </cell>
          <cell r="U1215">
            <v>0</v>
          </cell>
          <cell r="W1215">
            <v>0</v>
          </cell>
          <cell r="X1215">
            <v>0</v>
          </cell>
        </row>
        <row r="1216">
          <cell r="A1216">
            <v>37956</v>
          </cell>
          <cell r="B1216" t="str">
            <v>InventoryControl</v>
          </cell>
          <cell r="E1216">
            <v>20</v>
          </cell>
          <cell r="F1216">
            <v>0</v>
          </cell>
          <cell r="G1216">
            <v>0</v>
          </cell>
          <cell r="H1216">
            <v>0</v>
          </cell>
          <cell r="I1216">
            <v>0</v>
          </cell>
          <cell r="L1216">
            <v>0</v>
          </cell>
          <cell r="M1216">
            <v>0</v>
          </cell>
          <cell r="N1216">
            <v>0</v>
          </cell>
          <cell r="S1216">
            <v>0</v>
          </cell>
          <cell r="T1216">
            <v>0</v>
          </cell>
          <cell r="U1216">
            <v>0</v>
          </cell>
          <cell r="W1216">
            <v>20</v>
          </cell>
          <cell r="X1216">
            <v>0</v>
          </cell>
        </row>
        <row r="1217">
          <cell r="A1217">
            <v>37955</v>
          </cell>
          <cell r="B1217" t="str">
            <v>Shipping</v>
          </cell>
          <cell r="E1217">
            <v>795.16668701172</v>
          </cell>
          <cell r="F1217">
            <v>0</v>
          </cell>
          <cell r="G1217">
            <v>0</v>
          </cell>
          <cell r="H1217">
            <v>0</v>
          </cell>
          <cell r="I1217">
            <v>0</v>
          </cell>
          <cell r="L1217">
            <v>0</v>
          </cell>
          <cell r="M1217">
            <v>0</v>
          </cell>
          <cell r="N1217">
            <v>0</v>
          </cell>
          <cell r="S1217">
            <v>0</v>
          </cell>
          <cell r="T1217">
            <v>0</v>
          </cell>
          <cell r="U1217">
            <v>0</v>
          </cell>
          <cell r="W1217">
            <v>23.666699999999999</v>
          </cell>
          <cell r="X1217">
            <v>18040</v>
          </cell>
        </row>
        <row r="1218">
          <cell r="A1218">
            <v>37955</v>
          </cell>
          <cell r="B1218" t="str">
            <v>Autobox</v>
          </cell>
          <cell r="E1218">
            <v>374.5</v>
          </cell>
          <cell r="F1218">
            <v>146.5</v>
          </cell>
          <cell r="G1218">
            <v>34696</v>
          </cell>
          <cell r="H1218">
            <v>0</v>
          </cell>
          <cell r="I1218">
            <v>0</v>
          </cell>
          <cell r="L1218">
            <v>0</v>
          </cell>
          <cell r="M1218">
            <v>0</v>
          </cell>
          <cell r="N1218">
            <v>0</v>
          </cell>
          <cell r="S1218">
            <v>0</v>
          </cell>
          <cell r="T1218">
            <v>0</v>
          </cell>
          <cell r="U1218">
            <v>0</v>
          </cell>
          <cell r="W1218">
            <v>0</v>
          </cell>
          <cell r="X1218">
            <v>0</v>
          </cell>
        </row>
        <row r="1219">
          <cell r="A1219">
            <v>37955</v>
          </cell>
          <cell r="B1219" t="str">
            <v>Levimatic</v>
          </cell>
          <cell r="E1219">
            <v>36</v>
          </cell>
          <cell r="F1219">
            <v>0</v>
          </cell>
          <cell r="G1219">
            <v>5874</v>
          </cell>
          <cell r="H1219">
            <v>0</v>
          </cell>
          <cell r="I1219">
            <v>0</v>
          </cell>
          <cell r="L1219">
            <v>0</v>
          </cell>
          <cell r="M1219">
            <v>0</v>
          </cell>
          <cell r="N1219">
            <v>0</v>
          </cell>
          <cell r="S1219">
            <v>0</v>
          </cell>
          <cell r="T1219">
            <v>0</v>
          </cell>
          <cell r="U1219">
            <v>0</v>
          </cell>
          <cell r="W1219">
            <v>0</v>
          </cell>
          <cell r="X1219">
            <v>0</v>
          </cell>
        </row>
        <row r="1220">
          <cell r="A1220">
            <v>37955</v>
          </cell>
          <cell r="B1220" t="str">
            <v>Giftwrap</v>
          </cell>
          <cell r="E1220">
            <v>113</v>
          </cell>
          <cell r="F1220">
            <v>0</v>
          </cell>
          <cell r="G1220">
            <v>1488</v>
          </cell>
          <cell r="H1220">
            <v>0</v>
          </cell>
          <cell r="I1220">
            <v>0</v>
          </cell>
          <cell r="L1220">
            <v>0</v>
          </cell>
          <cell r="M1220">
            <v>0</v>
          </cell>
          <cell r="N1220">
            <v>0</v>
          </cell>
          <cell r="S1220">
            <v>0</v>
          </cell>
          <cell r="T1220">
            <v>0</v>
          </cell>
          <cell r="U1220">
            <v>0</v>
          </cell>
          <cell r="W1220">
            <v>0</v>
          </cell>
          <cell r="X1220">
            <v>0</v>
          </cell>
        </row>
        <row r="1221">
          <cell r="A1221">
            <v>37955</v>
          </cell>
          <cell r="B1221" t="str">
            <v>ShipSupport</v>
          </cell>
          <cell r="E1221">
            <v>271.66670036315998</v>
          </cell>
          <cell r="F1221">
            <v>48</v>
          </cell>
          <cell r="G1221">
            <v>0</v>
          </cell>
          <cell r="H1221">
            <v>0</v>
          </cell>
          <cell r="I1221">
            <v>0</v>
          </cell>
          <cell r="L1221">
            <v>0</v>
          </cell>
          <cell r="M1221">
            <v>0</v>
          </cell>
          <cell r="N1221">
            <v>0</v>
          </cell>
          <cell r="S1221">
            <v>0</v>
          </cell>
          <cell r="T1221">
            <v>0</v>
          </cell>
          <cell r="U1221">
            <v>0</v>
          </cell>
          <cell r="W1221">
            <v>23.666699999999999</v>
          </cell>
          <cell r="X1221">
            <v>0</v>
          </cell>
        </row>
        <row r="1222">
          <cell r="A1222">
            <v>37955</v>
          </cell>
          <cell r="B1222" t="str">
            <v>QA</v>
          </cell>
          <cell r="E1222">
            <v>122</v>
          </cell>
          <cell r="F1222">
            <v>0</v>
          </cell>
          <cell r="G1222">
            <v>0</v>
          </cell>
          <cell r="H1222">
            <v>0</v>
          </cell>
          <cell r="I1222">
            <v>0</v>
          </cell>
          <cell r="L1222">
            <v>0</v>
          </cell>
          <cell r="M1222">
            <v>0</v>
          </cell>
          <cell r="N1222">
            <v>0</v>
          </cell>
          <cell r="S1222">
            <v>0</v>
          </cell>
          <cell r="T1222">
            <v>0</v>
          </cell>
          <cell r="U1222">
            <v>0</v>
          </cell>
          <cell r="W1222">
            <v>122</v>
          </cell>
          <cell r="X1222">
            <v>0</v>
          </cell>
        </row>
        <row r="1223">
          <cell r="A1223">
            <v>37955</v>
          </cell>
          <cell r="B1223" t="str">
            <v>Training</v>
          </cell>
          <cell r="E1223">
            <v>18</v>
          </cell>
          <cell r="F1223">
            <v>0</v>
          </cell>
          <cell r="G1223">
            <v>0</v>
          </cell>
          <cell r="H1223">
            <v>0</v>
          </cell>
          <cell r="I1223">
            <v>0</v>
          </cell>
          <cell r="L1223">
            <v>0</v>
          </cell>
          <cell r="M1223">
            <v>0</v>
          </cell>
          <cell r="N1223">
            <v>0</v>
          </cell>
          <cell r="S1223">
            <v>0</v>
          </cell>
          <cell r="T1223">
            <v>0</v>
          </cell>
          <cell r="U1223">
            <v>0</v>
          </cell>
          <cell r="W1223">
            <v>0</v>
          </cell>
          <cell r="X1223">
            <v>0</v>
          </cell>
        </row>
        <row r="1224">
          <cell r="A1224">
            <v>37955</v>
          </cell>
          <cell r="B1224" t="str">
            <v>Picking</v>
          </cell>
          <cell r="E1224">
            <v>858.11663818359</v>
          </cell>
          <cell r="F1224">
            <v>0</v>
          </cell>
          <cell r="G1224">
            <v>73835</v>
          </cell>
          <cell r="H1224">
            <v>0</v>
          </cell>
          <cell r="I1224">
            <v>0</v>
          </cell>
          <cell r="L1224">
            <v>0</v>
          </cell>
          <cell r="M1224">
            <v>0</v>
          </cell>
          <cell r="N1224">
            <v>0</v>
          </cell>
          <cell r="S1224">
            <v>0</v>
          </cell>
          <cell r="T1224">
            <v>0</v>
          </cell>
          <cell r="U1224">
            <v>0</v>
          </cell>
          <cell r="W1224">
            <v>54.5366</v>
          </cell>
          <cell r="X1224">
            <v>0</v>
          </cell>
        </row>
        <row r="1225">
          <cell r="A1225">
            <v>37955</v>
          </cell>
          <cell r="B1225" t="str">
            <v>Sortation</v>
          </cell>
          <cell r="E1225">
            <v>706.5</v>
          </cell>
          <cell r="F1225">
            <v>0</v>
          </cell>
          <cell r="G1225">
            <v>0</v>
          </cell>
          <cell r="H1225">
            <v>0</v>
          </cell>
          <cell r="I1225">
            <v>0</v>
          </cell>
          <cell r="L1225">
            <v>0</v>
          </cell>
          <cell r="M1225">
            <v>0</v>
          </cell>
          <cell r="N1225">
            <v>0</v>
          </cell>
          <cell r="S1225">
            <v>0</v>
          </cell>
          <cell r="T1225">
            <v>0</v>
          </cell>
          <cell r="U1225">
            <v>0</v>
          </cell>
          <cell r="W1225">
            <v>16.02</v>
          </cell>
          <cell r="X1225">
            <v>0</v>
          </cell>
        </row>
        <row r="1226">
          <cell r="A1226">
            <v>37955</v>
          </cell>
          <cell r="B1226" t="str">
            <v>Rebin</v>
          </cell>
          <cell r="E1226">
            <v>332.5</v>
          </cell>
          <cell r="F1226">
            <v>48</v>
          </cell>
          <cell r="G1226">
            <v>60077</v>
          </cell>
          <cell r="H1226">
            <v>0</v>
          </cell>
          <cell r="I1226">
            <v>0</v>
          </cell>
          <cell r="L1226">
            <v>0</v>
          </cell>
          <cell r="M1226">
            <v>0</v>
          </cell>
          <cell r="N1226">
            <v>0</v>
          </cell>
          <cell r="S1226">
            <v>0</v>
          </cell>
          <cell r="T1226">
            <v>0</v>
          </cell>
          <cell r="U1226">
            <v>0</v>
          </cell>
          <cell r="W1226">
            <v>0</v>
          </cell>
          <cell r="X1226">
            <v>0</v>
          </cell>
        </row>
        <row r="1227">
          <cell r="A1227">
            <v>37955</v>
          </cell>
          <cell r="B1227" t="str">
            <v>Stack</v>
          </cell>
          <cell r="E1227">
            <v>244.5</v>
          </cell>
          <cell r="F1227">
            <v>0</v>
          </cell>
          <cell r="G1227">
            <v>32459</v>
          </cell>
          <cell r="H1227">
            <v>0</v>
          </cell>
          <cell r="I1227">
            <v>0</v>
          </cell>
          <cell r="L1227">
            <v>0</v>
          </cell>
          <cell r="M1227">
            <v>0</v>
          </cell>
          <cell r="N1227">
            <v>0</v>
          </cell>
          <cell r="S1227">
            <v>1530</v>
          </cell>
          <cell r="T1227">
            <v>0</v>
          </cell>
          <cell r="U1227">
            <v>0</v>
          </cell>
          <cell r="W1227">
            <v>0</v>
          </cell>
          <cell r="X1227">
            <v>0</v>
          </cell>
        </row>
        <row r="1228">
          <cell r="A1228">
            <v>37955</v>
          </cell>
          <cell r="B1228" t="str">
            <v>Bundler</v>
          </cell>
          <cell r="E1228">
            <v>129.50000381469999</v>
          </cell>
          <cell r="F1228">
            <v>12</v>
          </cell>
          <cell r="G1228">
            <v>32459</v>
          </cell>
          <cell r="H1228">
            <v>0</v>
          </cell>
          <cell r="I1228">
            <v>0</v>
          </cell>
          <cell r="L1228">
            <v>0</v>
          </cell>
          <cell r="M1228">
            <v>0</v>
          </cell>
          <cell r="N1228">
            <v>0</v>
          </cell>
          <cell r="S1228">
            <v>0</v>
          </cell>
          <cell r="T1228">
            <v>0</v>
          </cell>
          <cell r="U1228">
            <v>0</v>
          </cell>
          <cell r="W1228">
            <v>16.02</v>
          </cell>
          <cell r="X1228">
            <v>8294</v>
          </cell>
        </row>
        <row r="1229">
          <cell r="A1229">
            <v>37955</v>
          </cell>
          <cell r="B1229" t="str">
            <v>Offsite1Receive</v>
          </cell>
          <cell r="E1229">
            <v>1.3099365234375</v>
          </cell>
          <cell r="F1229">
            <v>0</v>
          </cell>
          <cell r="G1229">
            <v>0</v>
          </cell>
          <cell r="H1229">
            <v>0</v>
          </cell>
          <cell r="I1229">
            <v>0</v>
          </cell>
          <cell r="L1229">
            <v>0</v>
          </cell>
          <cell r="M1229">
            <v>0</v>
          </cell>
          <cell r="N1229">
            <v>0</v>
          </cell>
          <cell r="S1229">
            <v>0</v>
          </cell>
          <cell r="T1229">
            <v>0</v>
          </cell>
          <cell r="U1229">
            <v>0</v>
          </cell>
          <cell r="W1229">
            <v>1.3099400000000001</v>
          </cell>
          <cell r="X1229">
            <v>0</v>
          </cell>
        </row>
        <row r="1230">
          <cell r="A1230">
            <v>37955</v>
          </cell>
          <cell r="B1230" t="str">
            <v>Offsite1Ship</v>
          </cell>
          <cell r="E1230">
            <v>1417.5400390625</v>
          </cell>
          <cell r="F1230">
            <v>90</v>
          </cell>
          <cell r="G1230">
            <v>14095</v>
          </cell>
          <cell r="H1230">
            <v>14095</v>
          </cell>
          <cell r="I1230">
            <v>0</v>
          </cell>
          <cell r="L1230">
            <v>533.5</v>
          </cell>
          <cell r="M1230">
            <v>0</v>
          </cell>
          <cell r="N1230">
            <v>0</v>
          </cell>
          <cell r="S1230">
            <v>0</v>
          </cell>
          <cell r="T1230">
            <v>0</v>
          </cell>
          <cell r="U1230">
            <v>0</v>
          </cell>
          <cell r="W1230">
            <v>0</v>
          </cell>
          <cell r="X1230">
            <v>0</v>
          </cell>
        </row>
        <row r="1231">
          <cell r="A1231">
            <v>37955</v>
          </cell>
          <cell r="B1231" t="str">
            <v>Replenishment</v>
          </cell>
          <cell r="E1231">
            <v>50</v>
          </cell>
          <cell r="F1231">
            <v>0</v>
          </cell>
          <cell r="G1231">
            <v>8397</v>
          </cell>
          <cell r="H1231">
            <v>0</v>
          </cell>
          <cell r="I1231">
            <v>0</v>
          </cell>
          <cell r="L1231">
            <v>0</v>
          </cell>
          <cell r="M1231">
            <v>0</v>
          </cell>
          <cell r="N1231">
            <v>0</v>
          </cell>
          <cell r="S1231">
            <v>0</v>
          </cell>
          <cell r="T1231">
            <v>0</v>
          </cell>
          <cell r="U1231">
            <v>0</v>
          </cell>
          <cell r="W1231">
            <v>50</v>
          </cell>
          <cell r="X1231">
            <v>0</v>
          </cell>
        </row>
        <row r="1232">
          <cell r="A1232">
            <v>37955</v>
          </cell>
          <cell r="B1232" t="str">
            <v>BMV Receive</v>
          </cell>
          <cell r="E1232">
            <v>-50</v>
          </cell>
          <cell r="F1232">
            <v>-50</v>
          </cell>
          <cell r="G1232">
            <v>0</v>
          </cell>
          <cell r="H1232">
            <v>0</v>
          </cell>
          <cell r="I1232">
            <v>0</v>
          </cell>
          <cell r="L1232">
            <v>0</v>
          </cell>
          <cell r="M1232">
            <v>0</v>
          </cell>
          <cell r="N1232">
            <v>0</v>
          </cell>
          <cell r="S1232">
            <v>0</v>
          </cell>
          <cell r="T1232">
            <v>0</v>
          </cell>
          <cell r="U1232">
            <v>0</v>
          </cell>
          <cell r="W1232">
            <v>0</v>
          </cell>
          <cell r="X1232">
            <v>0</v>
          </cell>
        </row>
        <row r="1233">
          <cell r="A1233">
            <v>37955</v>
          </cell>
          <cell r="B1233" t="str">
            <v>InventoryControl</v>
          </cell>
          <cell r="E1233">
            <v>6</v>
          </cell>
          <cell r="F1233">
            <v>0</v>
          </cell>
          <cell r="G1233">
            <v>0</v>
          </cell>
          <cell r="H1233">
            <v>0</v>
          </cell>
          <cell r="I1233">
            <v>0</v>
          </cell>
          <cell r="L1233">
            <v>0</v>
          </cell>
          <cell r="M1233">
            <v>0</v>
          </cell>
          <cell r="N1233">
            <v>0</v>
          </cell>
          <cell r="S1233">
            <v>0</v>
          </cell>
          <cell r="T1233">
            <v>0</v>
          </cell>
          <cell r="U1233">
            <v>0</v>
          </cell>
          <cell r="W1233">
            <v>6</v>
          </cell>
          <cell r="X1233">
            <v>0</v>
          </cell>
        </row>
        <row r="1234">
          <cell r="A1234">
            <v>37955</v>
          </cell>
          <cell r="B1234" t="str">
            <v>Office</v>
          </cell>
          <cell r="E1234">
            <v>59.483333587646001</v>
          </cell>
          <cell r="F1234">
            <v>0</v>
          </cell>
          <cell r="G1234">
            <v>0</v>
          </cell>
          <cell r="H1234">
            <v>0</v>
          </cell>
          <cell r="I1234">
            <v>0</v>
          </cell>
          <cell r="L1234">
            <v>0</v>
          </cell>
          <cell r="M1234">
            <v>0</v>
          </cell>
          <cell r="N1234">
            <v>0</v>
          </cell>
          <cell r="S1234">
            <v>0</v>
          </cell>
          <cell r="T1234">
            <v>0</v>
          </cell>
          <cell r="U1234">
            <v>0</v>
          </cell>
          <cell r="W1234">
            <v>59.4833</v>
          </cell>
          <cell r="X1234">
            <v>0</v>
          </cell>
        </row>
        <row r="1235">
          <cell r="A1235">
            <v>37955</v>
          </cell>
          <cell r="B1235" t="str">
            <v>Office</v>
          </cell>
          <cell r="E1235">
            <v>0</v>
          </cell>
          <cell r="F1235">
            <v>0</v>
          </cell>
          <cell r="G1235">
            <v>0</v>
          </cell>
          <cell r="H1235">
            <v>0</v>
          </cell>
          <cell r="I1235">
            <v>0</v>
          </cell>
          <cell r="L1235">
            <v>0</v>
          </cell>
          <cell r="M1235">
            <v>0</v>
          </cell>
          <cell r="N1235">
            <v>0</v>
          </cell>
          <cell r="S1235">
            <v>0</v>
          </cell>
          <cell r="T1235">
            <v>0</v>
          </cell>
          <cell r="U1235">
            <v>0</v>
          </cell>
          <cell r="W1235">
            <v>0</v>
          </cell>
          <cell r="X1235">
            <v>0</v>
          </cell>
        </row>
        <row r="1236">
          <cell r="A1236">
            <v>37955</v>
          </cell>
          <cell r="B1236" t="str">
            <v>BMV Receive</v>
          </cell>
          <cell r="E1236">
            <v>47.083332061767997</v>
          </cell>
          <cell r="F1236">
            <v>0</v>
          </cell>
          <cell r="G1236">
            <v>0</v>
          </cell>
          <cell r="H1236">
            <v>0</v>
          </cell>
          <cell r="I1236">
            <v>0</v>
          </cell>
          <cell r="L1236">
            <v>0</v>
          </cell>
          <cell r="M1236">
            <v>0</v>
          </cell>
          <cell r="N1236">
            <v>0</v>
          </cell>
          <cell r="S1236">
            <v>0</v>
          </cell>
          <cell r="T1236">
            <v>0</v>
          </cell>
          <cell r="U1236">
            <v>0</v>
          </cell>
          <cell r="W1236">
            <v>47.083300000000001</v>
          </cell>
          <cell r="X1236">
            <v>0</v>
          </cell>
        </row>
        <row r="1237">
          <cell r="A1237">
            <v>37955</v>
          </cell>
          <cell r="B1237" t="str">
            <v>Picking</v>
          </cell>
          <cell r="E1237">
            <v>0</v>
          </cell>
          <cell r="F1237">
            <v>0</v>
          </cell>
          <cell r="G1237">
            <v>0</v>
          </cell>
          <cell r="H1237">
            <v>0</v>
          </cell>
          <cell r="I1237">
            <v>0</v>
          </cell>
          <cell r="L1237">
            <v>0</v>
          </cell>
          <cell r="M1237">
            <v>0</v>
          </cell>
          <cell r="N1237">
            <v>0</v>
          </cell>
          <cell r="S1237">
            <v>0</v>
          </cell>
          <cell r="T1237">
            <v>0</v>
          </cell>
          <cell r="U1237">
            <v>0</v>
          </cell>
          <cell r="W1237">
            <v>0</v>
          </cell>
          <cell r="X1237">
            <v>0</v>
          </cell>
        </row>
        <row r="1238">
          <cell r="A1238">
            <v>37955</v>
          </cell>
          <cell r="B1238" t="str">
            <v>QA</v>
          </cell>
          <cell r="E1238">
            <v>0</v>
          </cell>
          <cell r="F1238">
            <v>0</v>
          </cell>
          <cell r="G1238">
            <v>0</v>
          </cell>
          <cell r="H1238">
            <v>0</v>
          </cell>
          <cell r="I1238">
            <v>0</v>
          </cell>
          <cell r="L1238">
            <v>0</v>
          </cell>
          <cell r="M1238">
            <v>0</v>
          </cell>
          <cell r="N1238">
            <v>0</v>
          </cell>
          <cell r="S1238">
            <v>0</v>
          </cell>
          <cell r="T1238">
            <v>0</v>
          </cell>
          <cell r="U1238">
            <v>0</v>
          </cell>
          <cell r="W1238">
            <v>0</v>
          </cell>
          <cell r="X1238">
            <v>0</v>
          </cell>
        </row>
        <row r="1239">
          <cell r="A1239">
            <v>37955</v>
          </cell>
          <cell r="B1239" t="str">
            <v>Vreturns</v>
          </cell>
          <cell r="E1239">
            <v>0</v>
          </cell>
          <cell r="F1239">
            <v>0</v>
          </cell>
          <cell r="G1239">
            <v>0</v>
          </cell>
          <cell r="H1239">
            <v>0</v>
          </cell>
          <cell r="I1239">
            <v>0</v>
          </cell>
          <cell r="L1239">
            <v>0</v>
          </cell>
          <cell r="M1239">
            <v>0</v>
          </cell>
          <cell r="N1239">
            <v>0</v>
          </cell>
          <cell r="S1239">
            <v>0</v>
          </cell>
          <cell r="T1239">
            <v>0</v>
          </cell>
          <cell r="U1239">
            <v>0</v>
          </cell>
          <cell r="W1239">
            <v>0</v>
          </cell>
          <cell r="X1239">
            <v>0</v>
          </cell>
        </row>
        <row r="1240">
          <cell r="A1240">
            <v>37955</v>
          </cell>
          <cell r="B1240" t="str">
            <v>Vreturns</v>
          </cell>
          <cell r="E1240">
            <v>0</v>
          </cell>
          <cell r="F1240">
            <v>0</v>
          </cell>
          <cell r="G1240">
            <v>0</v>
          </cell>
          <cell r="H1240">
            <v>0</v>
          </cell>
          <cell r="I1240">
            <v>0</v>
          </cell>
          <cell r="L1240">
            <v>0</v>
          </cell>
          <cell r="M1240">
            <v>0</v>
          </cell>
          <cell r="N1240">
            <v>0</v>
          </cell>
          <cell r="S1240">
            <v>0</v>
          </cell>
          <cell r="T1240">
            <v>0</v>
          </cell>
          <cell r="U1240">
            <v>0</v>
          </cell>
          <cell r="W1240">
            <v>0</v>
          </cell>
          <cell r="X1240">
            <v>0</v>
          </cell>
        </row>
        <row r="1241">
          <cell r="A1241">
            <v>37955</v>
          </cell>
          <cell r="B1241" t="str">
            <v>Facilities</v>
          </cell>
          <cell r="E1241">
            <v>127.85000610352</v>
          </cell>
          <cell r="F1241">
            <v>0</v>
          </cell>
          <cell r="G1241">
            <v>0</v>
          </cell>
          <cell r="H1241">
            <v>0</v>
          </cell>
          <cell r="I1241">
            <v>0</v>
          </cell>
          <cell r="L1241">
            <v>0</v>
          </cell>
          <cell r="M1241">
            <v>0</v>
          </cell>
          <cell r="N1241">
            <v>0</v>
          </cell>
          <cell r="S1241">
            <v>0</v>
          </cell>
          <cell r="T1241">
            <v>0</v>
          </cell>
          <cell r="U1241">
            <v>0</v>
          </cell>
          <cell r="W1241">
            <v>79.849999999999994</v>
          </cell>
          <cell r="X1241">
            <v>0</v>
          </cell>
        </row>
        <row r="1242">
          <cell r="A1242">
            <v>37955</v>
          </cell>
          <cell r="B1242" t="str">
            <v>Facilities</v>
          </cell>
          <cell r="E1242">
            <v>0</v>
          </cell>
          <cell r="F1242">
            <v>0</v>
          </cell>
          <cell r="G1242">
            <v>0</v>
          </cell>
          <cell r="H1242">
            <v>0</v>
          </cell>
          <cell r="I1242">
            <v>0</v>
          </cell>
          <cell r="L1242">
            <v>0</v>
          </cell>
          <cell r="M1242">
            <v>0</v>
          </cell>
          <cell r="N1242">
            <v>0</v>
          </cell>
          <cell r="S1242">
            <v>0</v>
          </cell>
          <cell r="T1242">
            <v>0</v>
          </cell>
          <cell r="U1242">
            <v>0</v>
          </cell>
          <cell r="W1242">
            <v>0</v>
          </cell>
          <cell r="X1242">
            <v>0</v>
          </cell>
        </row>
        <row r="1243">
          <cell r="A1243">
            <v>37955</v>
          </cell>
          <cell r="B1243" t="str">
            <v>SNOC</v>
          </cell>
          <cell r="E1243">
            <v>12.083333015441999</v>
          </cell>
          <cell r="F1243">
            <v>0</v>
          </cell>
          <cell r="G1243">
            <v>0</v>
          </cell>
          <cell r="H1243">
            <v>0</v>
          </cell>
          <cell r="I1243">
            <v>0</v>
          </cell>
          <cell r="L1243">
            <v>0</v>
          </cell>
          <cell r="M1243">
            <v>0</v>
          </cell>
          <cell r="N1243">
            <v>0</v>
          </cell>
          <cell r="S1243">
            <v>0</v>
          </cell>
          <cell r="T1243">
            <v>0</v>
          </cell>
          <cell r="U1243">
            <v>0</v>
          </cell>
          <cell r="W1243">
            <v>12.083299999999999</v>
          </cell>
          <cell r="X1243">
            <v>0</v>
          </cell>
        </row>
        <row r="1244">
          <cell r="A1244">
            <v>37955</v>
          </cell>
          <cell r="B1244" t="str">
            <v>Sortation</v>
          </cell>
          <cell r="E1244">
            <v>0</v>
          </cell>
          <cell r="F1244">
            <v>0</v>
          </cell>
          <cell r="G1244">
            <v>0</v>
          </cell>
          <cell r="H1244">
            <v>0</v>
          </cell>
          <cell r="I1244">
            <v>0</v>
          </cell>
          <cell r="L1244">
            <v>0</v>
          </cell>
          <cell r="M1244">
            <v>0</v>
          </cell>
          <cell r="N1244">
            <v>0</v>
          </cell>
          <cell r="S1244">
            <v>0</v>
          </cell>
          <cell r="T1244">
            <v>0</v>
          </cell>
          <cell r="U1244">
            <v>0</v>
          </cell>
          <cell r="W1244">
            <v>0</v>
          </cell>
          <cell r="X1244">
            <v>0</v>
          </cell>
        </row>
        <row r="1245">
          <cell r="A1245">
            <v>37955</v>
          </cell>
          <cell r="B1245" t="str">
            <v>Shipping</v>
          </cell>
          <cell r="E1245">
            <v>0</v>
          </cell>
          <cell r="F1245">
            <v>0</v>
          </cell>
          <cell r="G1245">
            <v>0</v>
          </cell>
          <cell r="H1245">
            <v>0</v>
          </cell>
          <cell r="I1245">
            <v>0</v>
          </cell>
          <cell r="L1245">
            <v>0</v>
          </cell>
          <cell r="M1245">
            <v>0</v>
          </cell>
          <cell r="N1245">
            <v>0</v>
          </cell>
          <cell r="S1245">
            <v>0</v>
          </cell>
          <cell r="T1245">
            <v>0</v>
          </cell>
          <cell r="U1245">
            <v>0</v>
          </cell>
          <cell r="W1245">
            <v>0</v>
          </cell>
          <cell r="X1245">
            <v>0</v>
          </cell>
        </row>
        <row r="1246">
          <cell r="A1246">
            <v>37955</v>
          </cell>
          <cell r="B1246" t="str">
            <v>CReturns</v>
          </cell>
          <cell r="E1246">
            <v>10</v>
          </cell>
          <cell r="F1246">
            <v>0</v>
          </cell>
          <cell r="G1246">
            <v>0</v>
          </cell>
          <cell r="H1246">
            <v>0</v>
          </cell>
          <cell r="I1246">
            <v>0</v>
          </cell>
          <cell r="L1246">
            <v>0</v>
          </cell>
          <cell r="M1246">
            <v>0</v>
          </cell>
          <cell r="N1246">
            <v>0</v>
          </cell>
          <cell r="S1246">
            <v>0</v>
          </cell>
          <cell r="T1246">
            <v>0</v>
          </cell>
          <cell r="U1246">
            <v>0</v>
          </cell>
          <cell r="W1246">
            <v>10</v>
          </cell>
          <cell r="X1246">
            <v>0</v>
          </cell>
        </row>
        <row r="1247">
          <cell r="A1247">
            <v>37955</v>
          </cell>
          <cell r="B1247" t="str">
            <v>CustomerService</v>
          </cell>
          <cell r="E1247">
            <v>12</v>
          </cell>
          <cell r="F1247">
            <v>0</v>
          </cell>
          <cell r="G1247">
            <v>0</v>
          </cell>
          <cell r="H1247">
            <v>0</v>
          </cell>
          <cell r="I1247">
            <v>0</v>
          </cell>
          <cell r="L1247">
            <v>0</v>
          </cell>
          <cell r="M1247">
            <v>0</v>
          </cell>
          <cell r="N1247">
            <v>0</v>
          </cell>
          <cell r="S1247">
            <v>0</v>
          </cell>
          <cell r="T1247">
            <v>0</v>
          </cell>
          <cell r="U1247">
            <v>0</v>
          </cell>
          <cell r="W1247">
            <v>12</v>
          </cell>
          <cell r="X1247">
            <v>0</v>
          </cell>
        </row>
        <row r="1248">
          <cell r="A1248">
            <v>37955</v>
          </cell>
          <cell r="B1248" t="str">
            <v>CustomerService</v>
          </cell>
          <cell r="E1248">
            <v>0</v>
          </cell>
          <cell r="F1248">
            <v>0</v>
          </cell>
          <cell r="G1248">
            <v>0</v>
          </cell>
          <cell r="H1248">
            <v>0</v>
          </cell>
          <cell r="I1248">
            <v>0</v>
          </cell>
          <cell r="L1248">
            <v>0</v>
          </cell>
          <cell r="M1248">
            <v>0</v>
          </cell>
          <cell r="N1248">
            <v>0</v>
          </cell>
          <cell r="S1248">
            <v>0</v>
          </cell>
          <cell r="T1248">
            <v>0</v>
          </cell>
          <cell r="U1248">
            <v>0</v>
          </cell>
          <cell r="W1248">
            <v>0</v>
          </cell>
          <cell r="X1248">
            <v>0</v>
          </cell>
        </row>
        <row r="1249">
          <cell r="A1249">
            <v>37955</v>
          </cell>
          <cell r="B1249" t="str">
            <v>Swat</v>
          </cell>
          <cell r="E1249">
            <v>0</v>
          </cell>
          <cell r="F1249">
            <v>0</v>
          </cell>
          <cell r="G1249">
            <v>0</v>
          </cell>
          <cell r="H1249">
            <v>0</v>
          </cell>
          <cell r="I1249">
            <v>0</v>
          </cell>
          <cell r="L1249">
            <v>0</v>
          </cell>
          <cell r="M1249">
            <v>0</v>
          </cell>
          <cell r="N1249">
            <v>0</v>
          </cell>
          <cell r="S1249">
            <v>0</v>
          </cell>
          <cell r="T1249">
            <v>0</v>
          </cell>
          <cell r="U1249">
            <v>0</v>
          </cell>
          <cell r="W1249">
            <v>0</v>
          </cell>
          <cell r="X1249">
            <v>0</v>
          </cell>
        </row>
        <row r="1250">
          <cell r="A1250">
            <v>37955</v>
          </cell>
          <cell r="B1250" t="str">
            <v>Bundler</v>
          </cell>
          <cell r="E1250">
            <v>0</v>
          </cell>
          <cell r="F1250">
            <v>0</v>
          </cell>
          <cell r="G1250">
            <v>0</v>
          </cell>
          <cell r="H1250">
            <v>0</v>
          </cell>
          <cell r="I1250">
            <v>0</v>
          </cell>
          <cell r="L1250">
            <v>0</v>
          </cell>
          <cell r="M1250">
            <v>0</v>
          </cell>
          <cell r="N1250">
            <v>0</v>
          </cell>
          <cell r="S1250">
            <v>0</v>
          </cell>
          <cell r="T1250">
            <v>0</v>
          </cell>
          <cell r="U1250">
            <v>0</v>
          </cell>
          <cell r="W1250">
            <v>0</v>
          </cell>
          <cell r="X1250">
            <v>0</v>
          </cell>
        </row>
        <row r="1251">
          <cell r="A1251">
            <v>37955</v>
          </cell>
          <cell r="B1251" t="str">
            <v>InventoryControl</v>
          </cell>
          <cell r="E1251">
            <v>0</v>
          </cell>
          <cell r="F1251">
            <v>0</v>
          </cell>
          <cell r="G1251">
            <v>0</v>
          </cell>
          <cell r="H1251">
            <v>0</v>
          </cell>
          <cell r="I1251">
            <v>0</v>
          </cell>
          <cell r="L1251">
            <v>0</v>
          </cell>
          <cell r="M1251">
            <v>0</v>
          </cell>
          <cell r="N1251">
            <v>0</v>
          </cell>
          <cell r="S1251">
            <v>0</v>
          </cell>
          <cell r="T1251">
            <v>0</v>
          </cell>
          <cell r="U1251">
            <v>0</v>
          </cell>
          <cell r="W1251">
            <v>0</v>
          </cell>
          <cell r="X1251">
            <v>0</v>
          </cell>
        </row>
        <row r="1257">
          <cell r="B1257">
            <v>145.30008999999995</v>
          </cell>
        </row>
        <row r="1258">
          <cell r="B1258">
            <v>0</v>
          </cell>
        </row>
      </sheetData>
      <sheetData sheetId="8" refreshError="1"/>
      <sheetData sheetId="9" refreshError="1"/>
      <sheetData sheetId="1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tal U.S. Infrastructure"/>
      <sheetName val="Total U.S. Infrastructure 1999"/>
      <sheetName val="Misc Detail"/>
      <sheetName val="Allocated Detail"/>
      <sheetName val="US_FR_FC_DPMO"/>
    </sheetNames>
    <sheetDataSet>
      <sheetData sheetId="0" refreshError="1">
        <row r="108">
          <cell r="E108" t="str">
            <v>US Core Businesses</v>
          </cell>
        </row>
        <row r="109">
          <cell r="E109" t="str">
            <v>Project</v>
          </cell>
        </row>
        <row r="110">
          <cell r="E110" t="str">
            <v>Total Products</v>
          </cell>
        </row>
        <row r="111">
          <cell r="E111" t="str">
            <v>Tech - Infrastructure</v>
          </cell>
        </row>
        <row r="112">
          <cell r="E112" t="str">
            <v>FY2001</v>
          </cell>
          <cell r="F112" t="str">
            <v>FY2001</v>
          </cell>
          <cell r="G112" t="str">
            <v>FY2001</v>
          </cell>
          <cell r="H112" t="str">
            <v>FY2001</v>
          </cell>
          <cell r="I112" t="str">
            <v>FY2001</v>
          </cell>
          <cell r="J112" t="str">
            <v>FY2001</v>
          </cell>
          <cell r="K112" t="str">
            <v>FY2001</v>
          </cell>
          <cell r="L112" t="str">
            <v>FY2001</v>
          </cell>
          <cell r="M112" t="str">
            <v>FY2001</v>
          </cell>
          <cell r="N112" t="str">
            <v>FY2001</v>
          </cell>
          <cell r="O112" t="str">
            <v>FY2001</v>
          </cell>
          <cell r="P112" t="str">
            <v>FY2001</v>
          </cell>
        </row>
        <row r="113">
          <cell r="E113" t="str">
            <v>Actuals</v>
          </cell>
          <cell r="F113" t="str">
            <v>Actuals</v>
          </cell>
          <cell r="G113" t="str">
            <v>Actuals</v>
          </cell>
          <cell r="H113" t="str">
            <v>Actuals</v>
          </cell>
          <cell r="I113" t="str">
            <v>Actuals</v>
          </cell>
          <cell r="J113" t="str">
            <v>Actuals</v>
          </cell>
          <cell r="K113" t="str">
            <v>Actuals</v>
          </cell>
          <cell r="L113" t="str">
            <v>Actuals</v>
          </cell>
          <cell r="M113" t="str">
            <v>Actuals</v>
          </cell>
          <cell r="N113" t="str">
            <v>Actuals</v>
          </cell>
          <cell r="O113" t="str">
            <v>Actuals</v>
          </cell>
          <cell r="P113" t="str">
            <v>Actuals</v>
          </cell>
        </row>
        <row r="114">
          <cell r="E114" t="str">
            <v>Jan</v>
          </cell>
          <cell r="F114" t="str">
            <v>Feb</v>
          </cell>
          <cell r="G114" t="str">
            <v>Mar</v>
          </cell>
          <cell r="H114" t="str">
            <v>Apr</v>
          </cell>
          <cell r="I114" t="str">
            <v>May</v>
          </cell>
          <cell r="J114" t="str">
            <v>Jun</v>
          </cell>
          <cell r="K114" t="str">
            <v>Jul</v>
          </cell>
          <cell r="L114" t="str">
            <v>Aug</v>
          </cell>
          <cell r="M114" t="str">
            <v>Sep</v>
          </cell>
          <cell r="N114" t="str">
            <v>Oct</v>
          </cell>
          <cell r="O114" t="str">
            <v>Nov</v>
          </cell>
          <cell r="P114" t="str">
            <v>Dec</v>
          </cell>
        </row>
        <row r="116">
          <cell r="C116" t="str">
            <v>Total Locations</v>
          </cell>
          <cell r="D116" t="str">
            <v>Total Heads</v>
          </cell>
          <cell r="E116">
            <v>330</v>
          </cell>
          <cell r="F116">
            <v>276</v>
          </cell>
          <cell r="G116">
            <v>265</v>
          </cell>
          <cell r="H116">
            <v>263</v>
          </cell>
          <cell r="I116">
            <v>261</v>
          </cell>
          <cell r="J116">
            <v>263</v>
          </cell>
          <cell r="K116">
            <v>269</v>
          </cell>
          <cell r="L116">
            <v>268</v>
          </cell>
          <cell r="M116" t="str">
            <v>0</v>
          </cell>
          <cell r="N116" t="str">
            <v>0</v>
          </cell>
          <cell r="O116" t="str">
            <v>0</v>
          </cell>
          <cell r="P116" t="str">
            <v>0</v>
          </cell>
        </row>
        <row r="117">
          <cell r="D117" t="str">
            <v>Regular Heads</v>
          </cell>
          <cell r="E117">
            <v>323</v>
          </cell>
          <cell r="F117">
            <v>271</v>
          </cell>
          <cell r="G117">
            <v>263</v>
          </cell>
          <cell r="H117">
            <v>260</v>
          </cell>
          <cell r="I117">
            <v>257</v>
          </cell>
          <cell r="J117">
            <v>256</v>
          </cell>
          <cell r="K117">
            <v>262</v>
          </cell>
          <cell r="L117">
            <v>263</v>
          </cell>
          <cell r="M117" t="str">
            <v>0</v>
          </cell>
          <cell r="N117" t="str">
            <v>0</v>
          </cell>
          <cell r="O117" t="str">
            <v>0</v>
          </cell>
          <cell r="P117" t="str">
            <v>0</v>
          </cell>
        </row>
        <row r="118">
          <cell r="D118" t="str">
            <v>Total Temps</v>
          </cell>
          <cell r="E118">
            <v>2</v>
          </cell>
          <cell r="F118">
            <v>2</v>
          </cell>
          <cell r="G118">
            <v>2</v>
          </cell>
          <cell r="H118">
            <v>3</v>
          </cell>
          <cell r="I118">
            <v>4</v>
          </cell>
          <cell r="J118">
            <v>7</v>
          </cell>
          <cell r="K118">
            <v>5</v>
          </cell>
          <cell r="L118">
            <v>3</v>
          </cell>
          <cell r="M118" t="str">
            <v>0</v>
          </cell>
          <cell r="N118" t="str">
            <v>0</v>
          </cell>
          <cell r="O118" t="str">
            <v>0</v>
          </cell>
          <cell r="P118" t="str">
            <v>0</v>
          </cell>
        </row>
        <row r="119">
          <cell r="D119" t="str">
            <v>Third Party Contractors</v>
          </cell>
          <cell r="E119">
            <v>3</v>
          </cell>
          <cell r="F119">
            <v>1</v>
          </cell>
          <cell r="G119" t="str">
            <v>0</v>
          </cell>
          <cell r="H119" t="str">
            <v>0</v>
          </cell>
          <cell r="I119" t="str">
            <v>0</v>
          </cell>
          <cell r="J119" t="str">
            <v>0</v>
          </cell>
          <cell r="K119">
            <v>2</v>
          </cell>
          <cell r="L119">
            <v>2</v>
          </cell>
          <cell r="M119" t="str">
            <v>0</v>
          </cell>
          <cell r="N119" t="str">
            <v>0</v>
          </cell>
          <cell r="O119" t="str">
            <v>0</v>
          </cell>
          <cell r="P119" t="str">
            <v>0</v>
          </cell>
        </row>
        <row r="120">
          <cell r="D120" t="str">
            <v>Independent Contractors</v>
          </cell>
          <cell r="E120">
            <v>2</v>
          </cell>
          <cell r="F120">
            <v>2</v>
          </cell>
          <cell r="G120" t="str">
            <v>0</v>
          </cell>
          <cell r="H120" t="str">
            <v>0</v>
          </cell>
          <cell r="I120" t="str">
            <v>0</v>
          </cell>
          <cell r="J120" t="str">
            <v>0</v>
          </cell>
          <cell r="K120" t="str">
            <v>0</v>
          </cell>
          <cell r="L120" t="str">
            <v>0</v>
          </cell>
          <cell r="M120" t="str">
            <v>0</v>
          </cell>
          <cell r="N120" t="str">
            <v>0</v>
          </cell>
          <cell r="O120" t="str">
            <v>0</v>
          </cell>
          <cell r="P120" t="str">
            <v>0</v>
          </cell>
        </row>
        <row r="122">
          <cell r="C122" t="str">
            <v>(Hide)</v>
          </cell>
          <cell r="D122" t="str">
            <v>(Hide)</v>
          </cell>
          <cell r="E122" t="str">
            <v>Actl</v>
          </cell>
          <cell r="F122" t="str">
            <v>Actl</v>
          </cell>
          <cell r="G122" t="str">
            <v>Actl</v>
          </cell>
          <cell r="H122" t="str">
            <v>Actl</v>
          </cell>
          <cell r="I122" t="str">
            <v>Actl</v>
          </cell>
          <cell r="J122" t="str">
            <v>Actl</v>
          </cell>
          <cell r="K122" t="str">
            <v>Actl</v>
          </cell>
          <cell r="L122" t="str">
            <v>Actl</v>
          </cell>
          <cell r="M122" t="str">
            <v>Actl</v>
          </cell>
          <cell r="N122" t="str">
            <v>Actl</v>
          </cell>
          <cell r="O122" t="str">
            <v>Actl</v>
          </cell>
          <cell r="P122" t="str">
            <v>Actl</v>
          </cell>
        </row>
        <row r="123">
          <cell r="E123">
            <v>36892</v>
          </cell>
          <cell r="F123">
            <v>36923</v>
          </cell>
          <cell r="G123">
            <v>36951</v>
          </cell>
          <cell r="H123">
            <v>36982</v>
          </cell>
          <cell r="I123">
            <v>37012</v>
          </cell>
          <cell r="J123">
            <v>37043</v>
          </cell>
          <cell r="K123">
            <v>37073</v>
          </cell>
          <cell r="L123">
            <v>37104</v>
          </cell>
          <cell r="M123">
            <v>37135</v>
          </cell>
          <cell r="N123">
            <v>37165</v>
          </cell>
          <cell r="O123">
            <v>37196</v>
          </cell>
          <cell r="P123">
            <v>37226</v>
          </cell>
        </row>
        <row r="126">
          <cell r="C126" t="str">
            <v>Total Locations</v>
          </cell>
          <cell r="D126" t="str">
            <v>Salaries</v>
          </cell>
          <cell r="E126">
            <v>1149754.47</v>
          </cell>
          <cell r="F126">
            <v>1078486.27</v>
          </cell>
          <cell r="G126">
            <v>970052.45</v>
          </cell>
          <cell r="H126">
            <v>1050082.44</v>
          </cell>
          <cell r="I126">
            <v>988068.31</v>
          </cell>
          <cell r="J126">
            <v>1033918.86</v>
          </cell>
          <cell r="K126">
            <v>1001334.48</v>
          </cell>
          <cell r="L126">
            <v>1022859.89</v>
          </cell>
          <cell r="M126" t="str">
            <v>0</v>
          </cell>
          <cell r="N126" t="str">
            <v>0</v>
          </cell>
          <cell r="O126" t="str">
            <v>0</v>
          </cell>
          <cell r="P126" t="str">
            <v>0</v>
          </cell>
        </row>
        <row r="127">
          <cell r="C127" t="str">
            <v>Total Locations</v>
          </cell>
          <cell r="D127" t="str">
            <v>Hourly Wages</v>
          </cell>
          <cell r="E127">
            <v>238763.44</v>
          </cell>
          <cell r="F127">
            <v>250311.47</v>
          </cell>
          <cell r="G127">
            <v>236767.17</v>
          </cell>
          <cell r="H127">
            <v>223689.72</v>
          </cell>
          <cell r="I127">
            <v>218066.78</v>
          </cell>
          <cell r="J127">
            <v>192358.59</v>
          </cell>
          <cell r="K127">
            <v>222573.96</v>
          </cell>
          <cell r="L127">
            <v>234907.48</v>
          </cell>
          <cell r="M127" t="str">
            <v>0</v>
          </cell>
          <cell r="N127" t="str">
            <v>0</v>
          </cell>
          <cell r="O127" t="str">
            <v>0</v>
          </cell>
          <cell r="P127" t="str">
            <v>0</v>
          </cell>
        </row>
        <row r="128">
          <cell r="C128" t="str">
            <v>Total Locations</v>
          </cell>
          <cell r="D128" t="str">
            <v>Overtime</v>
          </cell>
          <cell r="E128">
            <v>37733.86</v>
          </cell>
          <cell r="F128">
            <v>30691.54</v>
          </cell>
          <cell r="G128">
            <v>24336.36</v>
          </cell>
          <cell r="H128">
            <v>26798.67</v>
          </cell>
          <cell r="I128">
            <v>27113.49</v>
          </cell>
          <cell r="J128">
            <v>30321.22</v>
          </cell>
          <cell r="K128">
            <v>31600.54</v>
          </cell>
          <cell r="L128">
            <v>35484.410000000003</v>
          </cell>
          <cell r="M128" t="str">
            <v>0</v>
          </cell>
          <cell r="N128" t="str">
            <v>0</v>
          </cell>
          <cell r="O128" t="str">
            <v>0</v>
          </cell>
          <cell r="P128" t="str">
            <v>0</v>
          </cell>
        </row>
        <row r="129">
          <cell r="C129" t="str">
            <v>Total Locations</v>
          </cell>
          <cell r="D129" t="str">
            <v>Holidays</v>
          </cell>
          <cell r="E129">
            <v>74706.77</v>
          </cell>
          <cell r="F129">
            <v>142.80000000000001</v>
          </cell>
          <cell r="G129" t="str">
            <v>0</v>
          </cell>
          <cell r="H129" t="str">
            <v>0</v>
          </cell>
          <cell r="I129">
            <v>56800.05</v>
          </cell>
          <cell r="J129">
            <v>4915</v>
          </cell>
          <cell r="K129">
            <v>61644.3</v>
          </cell>
          <cell r="L129" t="str">
            <v>0</v>
          </cell>
          <cell r="M129" t="str">
            <v>0</v>
          </cell>
          <cell r="N129" t="str">
            <v>0</v>
          </cell>
          <cell r="O129" t="str">
            <v>0</v>
          </cell>
          <cell r="P129" t="str">
            <v>0</v>
          </cell>
        </row>
        <row r="130">
          <cell r="C130" t="str">
            <v>Total Locations</v>
          </cell>
          <cell r="D130" t="str">
            <v>Vacation</v>
          </cell>
          <cell r="E130">
            <v>19453</v>
          </cell>
          <cell r="F130">
            <v>143392.43</v>
          </cell>
          <cell r="G130">
            <v>83562.23</v>
          </cell>
          <cell r="H130">
            <v>119513.29</v>
          </cell>
          <cell r="I130">
            <v>73083.23</v>
          </cell>
          <cell r="J130">
            <v>81811.92</v>
          </cell>
          <cell r="K130">
            <v>85402.61</v>
          </cell>
          <cell r="L130">
            <v>75174.16</v>
          </cell>
          <cell r="M130" t="str">
            <v>0</v>
          </cell>
          <cell r="N130" t="str">
            <v>0</v>
          </cell>
          <cell r="O130" t="str">
            <v>0</v>
          </cell>
          <cell r="P130" t="str">
            <v>0</v>
          </cell>
        </row>
        <row r="131">
          <cell r="C131" t="str">
            <v>Total Locations</v>
          </cell>
          <cell r="D131" t="str">
            <v>Sick Leave</v>
          </cell>
          <cell r="E131">
            <v>11569.46</v>
          </cell>
          <cell r="F131">
            <v>27247.8</v>
          </cell>
          <cell r="G131">
            <v>26128.29</v>
          </cell>
          <cell r="H131">
            <v>19737.36</v>
          </cell>
          <cell r="I131">
            <v>16779.88</v>
          </cell>
          <cell r="J131">
            <v>12750.37</v>
          </cell>
          <cell r="K131">
            <v>11402.3</v>
          </cell>
          <cell r="L131">
            <v>21905.41</v>
          </cell>
          <cell r="M131" t="str">
            <v>0</v>
          </cell>
          <cell r="N131" t="str">
            <v>0</v>
          </cell>
          <cell r="O131" t="str">
            <v>0</v>
          </cell>
          <cell r="P131" t="str">
            <v>0</v>
          </cell>
        </row>
        <row r="132">
          <cell r="C132" t="str">
            <v>Total Locations</v>
          </cell>
          <cell r="D132" t="str">
            <v>Contra - Salary Expense</v>
          </cell>
          <cell r="E132" t="str">
            <v>0</v>
          </cell>
          <cell r="F132" t="str">
            <v>0</v>
          </cell>
          <cell r="G132" t="str">
            <v>0</v>
          </cell>
          <cell r="H132" t="str">
            <v>0</v>
          </cell>
          <cell r="I132" t="str">
            <v>0</v>
          </cell>
          <cell r="J132" t="str">
            <v>0</v>
          </cell>
          <cell r="K132" t="str">
            <v>0</v>
          </cell>
          <cell r="L132" t="str">
            <v>0</v>
          </cell>
          <cell r="M132" t="str">
            <v>0</v>
          </cell>
          <cell r="N132" t="str">
            <v>0</v>
          </cell>
          <cell r="O132" t="str">
            <v>0</v>
          </cell>
          <cell r="P132" t="str">
            <v>0</v>
          </cell>
        </row>
        <row r="133">
          <cell r="C133" t="str">
            <v>Total Locations</v>
          </cell>
          <cell r="D133" t="str">
            <v>Temporary Employees</v>
          </cell>
          <cell r="E133">
            <v>-2821.54</v>
          </cell>
          <cell r="F133">
            <v>42727.32</v>
          </cell>
          <cell r="G133">
            <v>9438.68</v>
          </cell>
          <cell r="H133">
            <v>4049.14</v>
          </cell>
          <cell r="I133">
            <v>9279.7099999999991</v>
          </cell>
          <cell r="J133">
            <v>64.040000000000006</v>
          </cell>
          <cell r="K133">
            <v>2675.9</v>
          </cell>
          <cell r="L133">
            <v>396</v>
          </cell>
          <cell r="M133" t="str">
            <v>0</v>
          </cell>
          <cell r="N133" t="str">
            <v>0</v>
          </cell>
          <cell r="O133" t="str">
            <v>0</v>
          </cell>
          <cell r="P133" t="str">
            <v>0</v>
          </cell>
        </row>
        <row r="134">
          <cell r="C134" t="str">
            <v>Total Locations</v>
          </cell>
          <cell r="D134" t="str">
            <v>Total Bonuses</v>
          </cell>
          <cell r="E134">
            <v>216299.98</v>
          </cell>
          <cell r="F134">
            <v>168710.36</v>
          </cell>
          <cell r="G134">
            <v>136483.85</v>
          </cell>
          <cell r="H134">
            <v>304972.96999999997</v>
          </cell>
          <cell r="I134">
            <v>96391.61</v>
          </cell>
          <cell r="J134">
            <v>153206.14000000001</v>
          </cell>
          <cell r="K134">
            <v>142211.44</v>
          </cell>
          <cell r="L134">
            <v>138812.59</v>
          </cell>
          <cell r="M134" t="str">
            <v>0</v>
          </cell>
          <cell r="N134" t="str">
            <v>0</v>
          </cell>
          <cell r="O134" t="str">
            <v>0</v>
          </cell>
          <cell r="P134" t="str">
            <v>0</v>
          </cell>
        </row>
        <row r="135">
          <cell r="C135" t="str">
            <v>Total Locations</v>
          </cell>
          <cell r="D135" t="str">
            <v>Payroll Taxes</v>
          </cell>
          <cell r="E135">
            <v>178440.29</v>
          </cell>
          <cell r="F135">
            <v>162983.28</v>
          </cell>
          <cell r="G135">
            <v>134357.35999999999</v>
          </cell>
          <cell r="H135">
            <v>175966.76</v>
          </cell>
          <cell r="I135">
            <v>143878.44</v>
          </cell>
          <cell r="J135">
            <v>-33437.699999999997</v>
          </cell>
          <cell r="K135">
            <v>117081.2</v>
          </cell>
          <cell r="L135">
            <v>123225.02</v>
          </cell>
          <cell r="M135" t="str">
            <v>0</v>
          </cell>
          <cell r="N135" t="str">
            <v>0</v>
          </cell>
          <cell r="O135" t="str">
            <v>0</v>
          </cell>
          <cell r="P135" t="str">
            <v>0</v>
          </cell>
        </row>
        <row r="136">
          <cell r="C136" t="str">
            <v>Total Locations</v>
          </cell>
          <cell r="D136" t="str">
            <v>Total Medical Benefits</v>
          </cell>
          <cell r="E136">
            <v>70417.009999999995</v>
          </cell>
          <cell r="F136">
            <v>59080.01</v>
          </cell>
          <cell r="G136">
            <v>67167.33</v>
          </cell>
          <cell r="H136">
            <v>63651.29</v>
          </cell>
          <cell r="I136">
            <v>57900.23</v>
          </cell>
          <cell r="J136">
            <v>58862.31</v>
          </cell>
          <cell r="K136">
            <v>59732.31</v>
          </cell>
          <cell r="L136">
            <v>68593.78</v>
          </cell>
          <cell r="M136" t="str">
            <v>0</v>
          </cell>
          <cell r="N136" t="str">
            <v>0</v>
          </cell>
          <cell r="O136" t="str">
            <v>0</v>
          </cell>
          <cell r="P136" t="str">
            <v>0</v>
          </cell>
        </row>
        <row r="137">
          <cell r="C137" t="str">
            <v>Total Locations</v>
          </cell>
          <cell r="D137" t="str">
            <v>Metro Bus Passes</v>
          </cell>
          <cell r="E137">
            <v>7502.13</v>
          </cell>
          <cell r="F137">
            <v>5489.37</v>
          </cell>
          <cell r="G137">
            <v>5685.17</v>
          </cell>
          <cell r="H137">
            <v>5791.31</v>
          </cell>
          <cell r="I137">
            <v>6813.33</v>
          </cell>
          <cell r="J137">
            <v>7153.21</v>
          </cell>
          <cell r="K137">
            <v>22010.76</v>
          </cell>
          <cell r="L137">
            <v>8843.2099999999991</v>
          </cell>
          <cell r="M137" t="str">
            <v>0</v>
          </cell>
          <cell r="N137" t="str">
            <v>0</v>
          </cell>
          <cell r="O137" t="str">
            <v>0</v>
          </cell>
          <cell r="P137" t="str">
            <v>0</v>
          </cell>
        </row>
        <row r="138">
          <cell r="C138" t="str">
            <v>Total Locations</v>
          </cell>
          <cell r="D138" t="str">
            <v>Employee Relations</v>
          </cell>
          <cell r="E138" t="str">
            <v>0</v>
          </cell>
          <cell r="F138" t="str">
            <v>0</v>
          </cell>
          <cell r="G138" t="str">
            <v>0</v>
          </cell>
          <cell r="H138" t="str">
            <v>0</v>
          </cell>
          <cell r="I138" t="str">
            <v>0</v>
          </cell>
          <cell r="J138" t="str">
            <v>0</v>
          </cell>
          <cell r="K138">
            <v>3273.52</v>
          </cell>
          <cell r="L138" t="str">
            <v>0</v>
          </cell>
          <cell r="M138" t="str">
            <v>0</v>
          </cell>
          <cell r="N138" t="str">
            <v>0</v>
          </cell>
          <cell r="O138" t="str">
            <v>0</v>
          </cell>
          <cell r="P138" t="str">
            <v>0</v>
          </cell>
        </row>
        <row r="139">
          <cell r="C139" t="str">
            <v>Total Locations</v>
          </cell>
          <cell r="D139" t="str">
            <v>Employee Awards</v>
          </cell>
          <cell r="E139" t="str">
            <v>0</v>
          </cell>
          <cell r="F139" t="str">
            <v>0</v>
          </cell>
          <cell r="G139" t="str">
            <v>0</v>
          </cell>
          <cell r="H139">
            <v>1263.6600000000001</v>
          </cell>
          <cell r="I139">
            <v>51.42</v>
          </cell>
          <cell r="J139">
            <v>446.04</v>
          </cell>
          <cell r="K139">
            <v>26.11</v>
          </cell>
          <cell r="L139">
            <v>941.05</v>
          </cell>
          <cell r="M139" t="str">
            <v>0</v>
          </cell>
          <cell r="N139" t="str">
            <v>0</v>
          </cell>
          <cell r="O139" t="str">
            <v>0</v>
          </cell>
          <cell r="P139" t="str">
            <v>0</v>
          </cell>
        </row>
        <row r="140">
          <cell r="C140" t="str">
            <v>Total Locations</v>
          </cell>
          <cell r="D140" t="str">
            <v>Parking Withheld from Payroll</v>
          </cell>
          <cell r="E140" t="str">
            <v>0</v>
          </cell>
          <cell r="F140" t="str">
            <v>0</v>
          </cell>
          <cell r="G140" t="str">
            <v>0</v>
          </cell>
          <cell r="H140" t="str">
            <v>0</v>
          </cell>
          <cell r="I140" t="str">
            <v>0</v>
          </cell>
          <cell r="J140" t="str">
            <v>0</v>
          </cell>
          <cell r="K140" t="str">
            <v>0</v>
          </cell>
          <cell r="L140" t="str">
            <v>0</v>
          </cell>
          <cell r="M140" t="str">
            <v>0</v>
          </cell>
          <cell r="N140" t="str">
            <v>0</v>
          </cell>
          <cell r="O140" t="str">
            <v>0</v>
          </cell>
          <cell r="P140" t="str">
            <v>0</v>
          </cell>
        </row>
        <row r="141">
          <cell r="C141" t="str">
            <v>Total Locations</v>
          </cell>
          <cell r="D141" t="str">
            <v>Employee Deductions</v>
          </cell>
          <cell r="E141" t="str">
            <v>0</v>
          </cell>
          <cell r="F141" t="str">
            <v>0</v>
          </cell>
          <cell r="G141" t="str">
            <v>0</v>
          </cell>
          <cell r="H141" t="str">
            <v>0</v>
          </cell>
          <cell r="I141" t="str">
            <v>0</v>
          </cell>
          <cell r="J141" t="str">
            <v>0</v>
          </cell>
          <cell r="K141" t="str">
            <v>0</v>
          </cell>
          <cell r="L141" t="str">
            <v>0</v>
          </cell>
          <cell r="M141" t="str">
            <v>0</v>
          </cell>
          <cell r="N141" t="str">
            <v>0</v>
          </cell>
          <cell r="O141" t="str">
            <v>0</v>
          </cell>
          <cell r="P141" t="str">
            <v>0</v>
          </cell>
        </row>
        <row r="142">
          <cell r="C142" t="str">
            <v>Total Locations</v>
          </cell>
          <cell r="D142" t="str">
            <v>Training and Education</v>
          </cell>
          <cell r="E142">
            <v>137024</v>
          </cell>
          <cell r="F142" t="str">
            <v>0</v>
          </cell>
          <cell r="G142">
            <v>4100</v>
          </cell>
          <cell r="H142">
            <v>3300</v>
          </cell>
          <cell r="I142">
            <v>1975</v>
          </cell>
          <cell r="J142">
            <v>11437.88</v>
          </cell>
          <cell r="K142" t="str">
            <v>0</v>
          </cell>
          <cell r="L142">
            <v>3900.03</v>
          </cell>
          <cell r="M142" t="str">
            <v>0</v>
          </cell>
          <cell r="N142" t="str">
            <v>0</v>
          </cell>
          <cell r="O142" t="str">
            <v>0</v>
          </cell>
          <cell r="P142" t="str">
            <v>0</v>
          </cell>
        </row>
        <row r="143">
          <cell r="C143" t="str">
            <v>Total Locations</v>
          </cell>
          <cell r="D143" t="str">
            <v>New Hire Orientation</v>
          </cell>
          <cell r="E143" t="str">
            <v>0</v>
          </cell>
          <cell r="F143" t="str">
            <v>0</v>
          </cell>
          <cell r="G143" t="str">
            <v>0</v>
          </cell>
          <cell r="H143" t="str">
            <v>0</v>
          </cell>
          <cell r="I143" t="str">
            <v>0</v>
          </cell>
          <cell r="J143" t="str">
            <v>0</v>
          </cell>
          <cell r="K143" t="str">
            <v>0</v>
          </cell>
          <cell r="L143" t="str">
            <v>0</v>
          </cell>
          <cell r="M143" t="str">
            <v>0</v>
          </cell>
          <cell r="N143" t="str">
            <v>0</v>
          </cell>
          <cell r="O143" t="str">
            <v>0</v>
          </cell>
          <cell r="P143" t="str">
            <v>0</v>
          </cell>
        </row>
        <row r="144">
          <cell r="C144" t="str">
            <v>Total Locations</v>
          </cell>
          <cell r="D144" t="str">
            <v>Program Development - Training</v>
          </cell>
          <cell r="E144" t="str">
            <v>0</v>
          </cell>
          <cell r="F144" t="str">
            <v>0</v>
          </cell>
          <cell r="G144" t="str">
            <v>0</v>
          </cell>
          <cell r="H144" t="str">
            <v>0</v>
          </cell>
          <cell r="I144" t="str">
            <v>0</v>
          </cell>
          <cell r="J144" t="str">
            <v>0</v>
          </cell>
          <cell r="K144" t="str">
            <v>0</v>
          </cell>
          <cell r="L144" t="str">
            <v>0</v>
          </cell>
          <cell r="M144" t="str">
            <v>0</v>
          </cell>
          <cell r="N144" t="str">
            <v>0</v>
          </cell>
          <cell r="O144" t="str">
            <v>0</v>
          </cell>
          <cell r="P144" t="str">
            <v>0</v>
          </cell>
        </row>
        <row r="145">
          <cell r="C145" t="str">
            <v>Total Locations</v>
          </cell>
          <cell r="D145" t="str">
            <v>Stock Compensation Charges</v>
          </cell>
          <cell r="E145" t="str">
            <v>0</v>
          </cell>
          <cell r="F145" t="str">
            <v>0</v>
          </cell>
          <cell r="G145" t="str">
            <v>0</v>
          </cell>
          <cell r="H145" t="str">
            <v>0</v>
          </cell>
          <cell r="I145" t="str">
            <v>0</v>
          </cell>
          <cell r="J145" t="str">
            <v>0</v>
          </cell>
          <cell r="K145" t="str">
            <v>0</v>
          </cell>
          <cell r="L145" t="str">
            <v>0</v>
          </cell>
          <cell r="M145" t="str">
            <v>0</v>
          </cell>
          <cell r="N145" t="str">
            <v>0</v>
          </cell>
          <cell r="O145" t="str">
            <v>0</v>
          </cell>
          <cell r="P145" t="str">
            <v>0</v>
          </cell>
        </row>
        <row r="146">
          <cell r="C146" t="str">
            <v>Total Locations</v>
          </cell>
          <cell r="D146" t="str">
            <v>Recruiting</v>
          </cell>
          <cell r="E146">
            <v>24691.5</v>
          </cell>
          <cell r="F146">
            <v>14499.9</v>
          </cell>
          <cell r="G146">
            <v>50861.7</v>
          </cell>
          <cell r="H146">
            <v>10458.32</v>
          </cell>
          <cell r="I146">
            <v>26064.78</v>
          </cell>
          <cell r="J146">
            <v>27254.16</v>
          </cell>
          <cell r="K146">
            <v>4382.51</v>
          </cell>
          <cell r="L146">
            <v>68236.009999999995</v>
          </cell>
          <cell r="M146" t="str">
            <v>0</v>
          </cell>
          <cell r="N146" t="str">
            <v>0</v>
          </cell>
          <cell r="O146" t="str">
            <v>0</v>
          </cell>
          <cell r="P146" t="str">
            <v>0</v>
          </cell>
        </row>
        <row r="147">
          <cell r="C147" t="str">
            <v>Total Locations</v>
          </cell>
          <cell r="D147" t="str">
            <v>Contra Employee Exp</v>
          </cell>
          <cell r="E147" t="str">
            <v>0</v>
          </cell>
          <cell r="F147" t="str">
            <v>0</v>
          </cell>
          <cell r="G147">
            <v>915</v>
          </cell>
          <cell r="H147" t="str">
            <v>0</v>
          </cell>
          <cell r="I147" t="str">
            <v>0</v>
          </cell>
          <cell r="J147" t="str">
            <v>0</v>
          </cell>
          <cell r="K147" t="str">
            <v>0</v>
          </cell>
          <cell r="L147" t="str">
            <v>0</v>
          </cell>
          <cell r="M147" t="str">
            <v>0</v>
          </cell>
          <cell r="N147" t="str">
            <v>0</v>
          </cell>
          <cell r="O147" t="str">
            <v>0</v>
          </cell>
          <cell r="P147" t="str">
            <v>0</v>
          </cell>
        </row>
        <row r="148">
          <cell r="E148" t="str">
            <v>-</v>
          </cell>
          <cell r="F148" t="str">
            <v>-</v>
          </cell>
          <cell r="G148" t="str">
            <v>-</v>
          </cell>
          <cell r="H148" t="str">
            <v>-</v>
          </cell>
          <cell r="I148" t="str">
            <v>-</v>
          </cell>
          <cell r="J148" t="str">
            <v>-</v>
          </cell>
          <cell r="K148" t="str">
            <v>-</v>
          </cell>
          <cell r="L148" t="str">
            <v>-</v>
          </cell>
          <cell r="M148" t="str">
            <v>-</v>
          </cell>
          <cell r="N148" t="str">
            <v>-</v>
          </cell>
          <cell r="O148" t="str">
            <v>-</v>
          </cell>
          <cell r="P148" t="str">
            <v>-</v>
          </cell>
        </row>
        <row r="149">
          <cell r="C149" t="str">
            <v>Total Locations</v>
          </cell>
          <cell r="D149" t="str">
            <v>Employee Expenses</v>
          </cell>
          <cell r="E149">
            <v>2163534.37</v>
          </cell>
          <cell r="F149">
            <v>1983762.55</v>
          </cell>
          <cell r="G149">
            <v>1749855.59</v>
          </cell>
          <cell r="H149">
            <v>2009274.93</v>
          </cell>
          <cell r="I149">
            <v>1722266.26</v>
          </cell>
          <cell r="J149">
            <v>1581062.04</v>
          </cell>
          <cell r="K149">
            <v>1765351.94</v>
          </cell>
          <cell r="L149">
            <v>1803279.04</v>
          </cell>
          <cell r="M149" t="str">
            <v>0</v>
          </cell>
          <cell r="N149" t="str">
            <v>0</v>
          </cell>
          <cell r="O149" t="str">
            <v>0</v>
          </cell>
          <cell r="P149" t="str">
            <v>0</v>
          </cell>
        </row>
        <row r="152">
          <cell r="C152" t="str">
            <v>Total Locations</v>
          </cell>
          <cell r="D152" t="str">
            <v>Facility Costs</v>
          </cell>
          <cell r="E152">
            <v>359998.71999999997</v>
          </cell>
          <cell r="F152">
            <v>474546.89</v>
          </cell>
          <cell r="G152">
            <v>510855.79</v>
          </cell>
          <cell r="H152">
            <v>418315.49</v>
          </cell>
          <cell r="I152">
            <v>419642.1</v>
          </cell>
          <cell r="J152">
            <v>353165.87</v>
          </cell>
          <cell r="K152">
            <v>480338.95</v>
          </cell>
          <cell r="L152">
            <v>254787.91</v>
          </cell>
          <cell r="M152" t="str">
            <v>0</v>
          </cell>
          <cell r="N152" t="str">
            <v>0</v>
          </cell>
          <cell r="O152" t="str">
            <v>0</v>
          </cell>
          <cell r="P152" t="str">
            <v>0</v>
          </cell>
        </row>
        <row r="153">
          <cell r="C153" t="str">
            <v>Total Locations</v>
          </cell>
          <cell r="D153" t="str">
            <v>Selling Expense</v>
          </cell>
          <cell r="E153" t="str">
            <v>0</v>
          </cell>
          <cell r="F153" t="str">
            <v>0</v>
          </cell>
          <cell r="G153" t="str">
            <v>0</v>
          </cell>
          <cell r="H153" t="str">
            <v>0</v>
          </cell>
          <cell r="I153" t="str">
            <v>0</v>
          </cell>
          <cell r="J153" t="str">
            <v>0</v>
          </cell>
          <cell r="K153" t="str">
            <v>0</v>
          </cell>
          <cell r="L153" t="str">
            <v>0</v>
          </cell>
          <cell r="M153" t="str">
            <v>0</v>
          </cell>
          <cell r="N153" t="str">
            <v>0</v>
          </cell>
          <cell r="O153" t="str">
            <v>0</v>
          </cell>
          <cell r="P153" t="str">
            <v>0</v>
          </cell>
        </row>
        <row r="154">
          <cell r="C154" t="str">
            <v>Total Locations</v>
          </cell>
          <cell r="D154" t="str">
            <v>Leasehold Depreciation Expense</v>
          </cell>
          <cell r="E154">
            <v>255892.06</v>
          </cell>
          <cell r="F154">
            <v>251666.08</v>
          </cell>
          <cell r="G154">
            <v>243627.42</v>
          </cell>
          <cell r="H154">
            <v>190047.35999999999</v>
          </cell>
          <cell r="I154">
            <v>182405.52</v>
          </cell>
          <cell r="J154">
            <v>184747.68</v>
          </cell>
          <cell r="K154">
            <v>181410.42</v>
          </cell>
          <cell r="L154">
            <v>64711.17</v>
          </cell>
          <cell r="M154" t="str">
            <v>0</v>
          </cell>
          <cell r="N154" t="str">
            <v>0</v>
          </cell>
          <cell r="O154" t="str">
            <v>0</v>
          </cell>
          <cell r="P154" t="str">
            <v>0</v>
          </cell>
        </row>
        <row r="155">
          <cell r="C155" t="str">
            <v>Total Locations</v>
          </cell>
          <cell r="D155" t="str">
            <v>Leasehold Depreciation Expense - Direct</v>
          </cell>
          <cell r="E155" t="str">
            <v>0</v>
          </cell>
          <cell r="F155" t="str">
            <v>0</v>
          </cell>
          <cell r="G155" t="str">
            <v>0</v>
          </cell>
          <cell r="H155" t="str">
            <v>0</v>
          </cell>
          <cell r="I155" t="str">
            <v>0</v>
          </cell>
          <cell r="J155" t="str">
            <v>0</v>
          </cell>
          <cell r="K155" t="str">
            <v>0</v>
          </cell>
          <cell r="L155">
            <v>125083.85</v>
          </cell>
          <cell r="M155" t="str">
            <v>0</v>
          </cell>
          <cell r="N155" t="str">
            <v>0</v>
          </cell>
          <cell r="O155" t="str">
            <v>0</v>
          </cell>
          <cell r="P155" t="str">
            <v>0</v>
          </cell>
        </row>
        <row r="156">
          <cell r="C156" t="str">
            <v>Total Locations</v>
          </cell>
          <cell r="D156" t="str">
            <v>Deprec Expense - F&amp;F - Allocated</v>
          </cell>
          <cell r="E156">
            <v>4394.32</v>
          </cell>
          <cell r="F156">
            <v>4146.82</v>
          </cell>
          <cell r="G156">
            <v>4116.41</v>
          </cell>
          <cell r="H156">
            <v>4231.17</v>
          </cell>
          <cell r="I156">
            <v>4099.37</v>
          </cell>
          <cell r="J156">
            <v>4488.4399999999996</v>
          </cell>
          <cell r="K156">
            <v>3911.93</v>
          </cell>
          <cell r="L156">
            <v>3649.87</v>
          </cell>
          <cell r="M156" t="str">
            <v>0</v>
          </cell>
          <cell r="N156" t="str">
            <v>0</v>
          </cell>
          <cell r="O156" t="str">
            <v>0</v>
          </cell>
          <cell r="P156" t="str">
            <v>0</v>
          </cell>
        </row>
        <row r="157">
          <cell r="C157" t="str">
            <v>Total Locations</v>
          </cell>
          <cell r="D157" t="str">
            <v>Deprec Expense - Equipment - Allocated</v>
          </cell>
          <cell r="E157">
            <v>1848.47</v>
          </cell>
          <cell r="F157">
            <v>1712.04</v>
          </cell>
          <cell r="G157">
            <v>1948.8</v>
          </cell>
          <cell r="H157">
            <v>2029.4</v>
          </cell>
          <cell r="I157">
            <v>2231.83</v>
          </cell>
          <cell r="J157">
            <v>3034.77</v>
          </cell>
          <cell r="K157">
            <v>2404.77</v>
          </cell>
          <cell r="L157">
            <v>2699.95</v>
          </cell>
          <cell r="M157" t="str">
            <v>0</v>
          </cell>
          <cell r="N157" t="str">
            <v>0</v>
          </cell>
          <cell r="O157" t="str">
            <v>0</v>
          </cell>
          <cell r="P157" t="str">
            <v>0</v>
          </cell>
        </row>
        <row r="158">
          <cell r="C158" t="str">
            <v>Total Locations</v>
          </cell>
          <cell r="D158" t="str">
            <v>Deprec Expense - HC Contingent Assets - Direct</v>
          </cell>
          <cell r="E158">
            <v>4215.54</v>
          </cell>
          <cell r="F158">
            <v>5559.12</v>
          </cell>
          <cell r="G158">
            <v>-2871.96</v>
          </cell>
          <cell r="H158">
            <v>1343.58</v>
          </cell>
          <cell r="I158">
            <v>1343.58</v>
          </cell>
          <cell r="J158">
            <v>2585.37</v>
          </cell>
          <cell r="K158">
            <v>2767.78</v>
          </cell>
          <cell r="L158">
            <v>1830.37</v>
          </cell>
          <cell r="M158" t="str">
            <v>0</v>
          </cell>
          <cell r="N158" t="str">
            <v>0</v>
          </cell>
          <cell r="O158" t="str">
            <v>0</v>
          </cell>
          <cell r="P158" t="str">
            <v>0</v>
          </cell>
        </row>
        <row r="159">
          <cell r="C159" t="str">
            <v>Total Locations</v>
          </cell>
          <cell r="D159" t="str">
            <v>Deprec Expense - Vehicles</v>
          </cell>
          <cell r="E159">
            <v>212.72</v>
          </cell>
          <cell r="F159">
            <v>197.04</v>
          </cell>
          <cell r="G159">
            <v>198.2</v>
          </cell>
          <cell r="H159">
            <v>208.38</v>
          </cell>
          <cell r="I159">
            <v>229.18</v>
          </cell>
          <cell r="J159">
            <v>250</v>
          </cell>
          <cell r="K159">
            <v>258.27999999999997</v>
          </cell>
          <cell r="L159">
            <v>261.17</v>
          </cell>
          <cell r="M159" t="str">
            <v>0</v>
          </cell>
          <cell r="N159" t="str">
            <v>0</v>
          </cell>
          <cell r="O159" t="str">
            <v>0</v>
          </cell>
          <cell r="P159" t="str">
            <v>0</v>
          </cell>
        </row>
        <row r="160">
          <cell r="C160" t="str">
            <v>Total Locations</v>
          </cell>
          <cell r="D160" t="str">
            <v>Deprec Expense - HC Contingent Assets - Allocated</v>
          </cell>
          <cell r="E160">
            <v>42611.12</v>
          </cell>
          <cell r="F160">
            <v>35682.92</v>
          </cell>
          <cell r="G160">
            <v>39433.75</v>
          </cell>
          <cell r="H160">
            <v>34528.29</v>
          </cell>
          <cell r="I160">
            <v>33524.720000000001</v>
          </cell>
          <cell r="J160">
            <v>29416.26</v>
          </cell>
          <cell r="K160">
            <v>28625.360000000001</v>
          </cell>
          <cell r="L160">
            <v>28816.83</v>
          </cell>
          <cell r="M160" t="str">
            <v>0</v>
          </cell>
          <cell r="N160" t="str">
            <v>0</v>
          </cell>
          <cell r="O160" t="str">
            <v>0</v>
          </cell>
          <cell r="P160" t="str">
            <v>0</v>
          </cell>
        </row>
        <row r="161">
          <cell r="C161" t="str">
            <v>Total Locations</v>
          </cell>
          <cell r="D161" t="str">
            <v>Deprec Expense - Low Value Computer Equip - Direct</v>
          </cell>
          <cell r="E161">
            <v>134780.20000000001</v>
          </cell>
          <cell r="F161">
            <v>133162.47</v>
          </cell>
          <cell r="G161">
            <v>78793.41</v>
          </cell>
          <cell r="H161">
            <v>95720.82</v>
          </cell>
          <cell r="I161">
            <v>93523.69</v>
          </cell>
          <cell r="J161">
            <v>86705.1</v>
          </cell>
          <cell r="K161">
            <v>81442.039999999994</v>
          </cell>
          <cell r="L161">
            <v>75751.289999999994</v>
          </cell>
          <cell r="M161" t="str">
            <v>0</v>
          </cell>
          <cell r="N161" t="str">
            <v>0</v>
          </cell>
          <cell r="O161" t="str">
            <v>0</v>
          </cell>
          <cell r="P161" t="str">
            <v>0</v>
          </cell>
        </row>
        <row r="162">
          <cell r="C162" t="str">
            <v>Total Locations</v>
          </cell>
          <cell r="D162" t="str">
            <v>Deprec Expense - Technology Infrastructure</v>
          </cell>
          <cell r="E162">
            <v>400785.36</v>
          </cell>
          <cell r="F162">
            <v>400785.3</v>
          </cell>
          <cell r="G162">
            <v>381732.94</v>
          </cell>
          <cell r="H162">
            <v>394323.06</v>
          </cell>
          <cell r="I162">
            <v>395358.41</v>
          </cell>
          <cell r="J162">
            <v>236796.2</v>
          </cell>
          <cell r="K162">
            <v>327112.61</v>
          </cell>
          <cell r="L162">
            <v>405771.7</v>
          </cell>
          <cell r="M162" t="str">
            <v>0</v>
          </cell>
          <cell r="N162" t="str">
            <v>0</v>
          </cell>
          <cell r="O162" t="str">
            <v>0</v>
          </cell>
          <cell r="P162" t="str">
            <v>0</v>
          </cell>
        </row>
        <row r="163">
          <cell r="C163" t="str">
            <v>Total Locations</v>
          </cell>
          <cell r="D163" t="str">
            <v>Deprec Expense - Internal Software Develop Salaries</v>
          </cell>
          <cell r="E163">
            <v>3781.46</v>
          </cell>
          <cell r="F163">
            <v>3781.46</v>
          </cell>
          <cell r="G163">
            <v>-3781.46</v>
          </cell>
          <cell r="H163" t="str">
            <v>0</v>
          </cell>
          <cell r="I163" t="str">
            <v>0</v>
          </cell>
          <cell r="J163" t="str">
            <v>0</v>
          </cell>
          <cell r="K163" t="str">
            <v>0</v>
          </cell>
          <cell r="L163" t="str">
            <v>0</v>
          </cell>
          <cell r="M163" t="str">
            <v>0</v>
          </cell>
          <cell r="N163" t="str">
            <v>0</v>
          </cell>
          <cell r="O163" t="str">
            <v>0</v>
          </cell>
          <cell r="P163" t="str">
            <v>0</v>
          </cell>
        </row>
        <row r="164">
          <cell r="C164" t="str">
            <v>Total Locations</v>
          </cell>
          <cell r="D164" t="str">
            <v>Deprec Expense - Software</v>
          </cell>
          <cell r="E164">
            <v>61973.91</v>
          </cell>
          <cell r="F164">
            <v>56973.9</v>
          </cell>
          <cell r="G164">
            <v>14973.12</v>
          </cell>
          <cell r="H164">
            <v>32998.449999999997</v>
          </cell>
          <cell r="I164">
            <v>9778.59</v>
          </cell>
          <cell r="J164">
            <v>9778.59</v>
          </cell>
          <cell r="K164">
            <v>8689.59</v>
          </cell>
          <cell r="L164">
            <v>2439.59</v>
          </cell>
          <cell r="M164" t="str">
            <v>0</v>
          </cell>
          <cell r="N164" t="str">
            <v>0</v>
          </cell>
          <cell r="O164" t="str">
            <v>0</v>
          </cell>
          <cell r="P164" t="str">
            <v>0</v>
          </cell>
        </row>
        <row r="165">
          <cell r="C165" t="str">
            <v>Total Locations</v>
          </cell>
          <cell r="D165" t="str">
            <v>Deprec Expense - F&amp;F - Direct</v>
          </cell>
          <cell r="E165">
            <v>2972.22</v>
          </cell>
          <cell r="F165">
            <v>2972.22</v>
          </cell>
          <cell r="G165">
            <v>1216.6500000000001</v>
          </cell>
          <cell r="H165">
            <v>1216.6500000000001</v>
          </cell>
          <cell r="I165">
            <v>1216.6500000000001</v>
          </cell>
          <cell r="J165">
            <v>1216.6500000000001</v>
          </cell>
          <cell r="K165">
            <v>1216.6500000000001</v>
          </cell>
          <cell r="L165">
            <v>1216.6500000000001</v>
          </cell>
          <cell r="M165" t="str">
            <v>0</v>
          </cell>
          <cell r="N165" t="str">
            <v>0</v>
          </cell>
          <cell r="O165" t="str">
            <v>0</v>
          </cell>
          <cell r="P165" t="str">
            <v>0</v>
          </cell>
        </row>
        <row r="166">
          <cell r="C166" t="str">
            <v>Total Locations</v>
          </cell>
          <cell r="D166" t="str">
            <v>Deprec Expense - Equipment - Direct</v>
          </cell>
          <cell r="E166">
            <v>105521.97</v>
          </cell>
          <cell r="F166">
            <v>105521.98</v>
          </cell>
          <cell r="G166">
            <v>88079.69</v>
          </cell>
          <cell r="H166">
            <v>90076.55</v>
          </cell>
          <cell r="I166">
            <v>90210.94</v>
          </cell>
          <cell r="J166">
            <v>90210.94</v>
          </cell>
          <cell r="K166">
            <v>81471.06</v>
          </cell>
          <cell r="L166">
            <v>48075.73</v>
          </cell>
          <cell r="M166" t="str">
            <v>0</v>
          </cell>
          <cell r="N166" t="str">
            <v>0</v>
          </cell>
          <cell r="O166" t="str">
            <v>0</v>
          </cell>
          <cell r="P166" t="str">
            <v>0</v>
          </cell>
        </row>
        <row r="167">
          <cell r="C167" t="str">
            <v>Total Locations</v>
          </cell>
          <cell r="D167" t="str">
            <v>Deprec Expense - Heavy Equipment</v>
          </cell>
          <cell r="E167" t="str">
            <v>0</v>
          </cell>
          <cell r="F167" t="str">
            <v>0</v>
          </cell>
          <cell r="G167" t="str">
            <v>0</v>
          </cell>
          <cell r="H167" t="str">
            <v>0</v>
          </cell>
          <cell r="I167" t="str">
            <v>0</v>
          </cell>
          <cell r="J167" t="str">
            <v>0</v>
          </cell>
          <cell r="K167" t="str">
            <v>0</v>
          </cell>
          <cell r="L167" t="str">
            <v>0</v>
          </cell>
          <cell r="M167" t="str">
            <v>0</v>
          </cell>
          <cell r="N167" t="str">
            <v>0</v>
          </cell>
          <cell r="O167" t="str">
            <v>0</v>
          </cell>
          <cell r="P167" t="str">
            <v>0</v>
          </cell>
        </row>
        <row r="168">
          <cell r="C168" t="str">
            <v>Total Locations</v>
          </cell>
          <cell r="D168" t="str">
            <v>Deprec Expense - Capital Lease</v>
          </cell>
          <cell r="E168">
            <v>481692.64</v>
          </cell>
          <cell r="F168">
            <v>429760.71</v>
          </cell>
          <cell r="G168">
            <v>528167.15</v>
          </cell>
          <cell r="H168">
            <v>516718.1</v>
          </cell>
          <cell r="I168">
            <v>498710.16</v>
          </cell>
          <cell r="J168">
            <v>498627.52</v>
          </cell>
          <cell r="K168">
            <v>108394.58</v>
          </cell>
          <cell r="L168">
            <v>142132.44</v>
          </cell>
          <cell r="M168" t="str">
            <v>0</v>
          </cell>
          <cell r="N168" t="str">
            <v>0</v>
          </cell>
          <cell r="O168" t="str">
            <v>0</v>
          </cell>
          <cell r="P168" t="str">
            <v>0</v>
          </cell>
        </row>
        <row r="170">
          <cell r="C170" t="str">
            <v>(Hide)</v>
          </cell>
          <cell r="D170" t="str">
            <v>(Hide)</v>
          </cell>
          <cell r="E170" t="str">
            <v>Actl</v>
          </cell>
          <cell r="F170" t="str">
            <v>Actl</v>
          </cell>
          <cell r="G170" t="str">
            <v>Actl</v>
          </cell>
          <cell r="H170" t="str">
            <v>Actl</v>
          </cell>
          <cell r="I170" t="str">
            <v>Actl</v>
          </cell>
          <cell r="J170" t="str">
            <v>Actl</v>
          </cell>
          <cell r="K170" t="str">
            <v>Actl</v>
          </cell>
          <cell r="L170" t="str">
            <v>Actl</v>
          </cell>
          <cell r="M170" t="str">
            <v>Actl</v>
          </cell>
          <cell r="N170" t="str">
            <v>Actl</v>
          </cell>
          <cell r="O170" t="str">
            <v>Actl</v>
          </cell>
          <cell r="P170" t="str">
            <v>Actl</v>
          </cell>
        </row>
        <row r="171">
          <cell r="E171">
            <v>36892</v>
          </cell>
          <cell r="F171">
            <v>36923</v>
          </cell>
          <cell r="G171">
            <v>36951</v>
          </cell>
          <cell r="H171">
            <v>36982</v>
          </cell>
          <cell r="I171">
            <v>37012</v>
          </cell>
          <cell r="J171">
            <v>37043</v>
          </cell>
          <cell r="K171">
            <v>37073</v>
          </cell>
          <cell r="L171">
            <v>37104</v>
          </cell>
          <cell r="M171">
            <v>37135</v>
          </cell>
          <cell r="N171">
            <v>37165</v>
          </cell>
          <cell r="O171">
            <v>37196</v>
          </cell>
          <cell r="P171">
            <v>37226</v>
          </cell>
        </row>
        <row r="173">
          <cell r="C173" t="str">
            <v>Total Locations</v>
          </cell>
          <cell r="D173" t="str">
            <v>Operating Leases - Technology Infrastructure</v>
          </cell>
          <cell r="E173">
            <v>3560141.21</v>
          </cell>
          <cell r="F173">
            <v>3457694.39</v>
          </cell>
          <cell r="G173">
            <v>3875714.41</v>
          </cell>
          <cell r="H173">
            <v>3872175.31</v>
          </cell>
          <cell r="I173">
            <v>4394963.2699999996</v>
          </cell>
          <cell r="J173">
            <v>4312358.51</v>
          </cell>
          <cell r="K173">
            <v>1399172.15</v>
          </cell>
          <cell r="L173">
            <v>2168934.23</v>
          </cell>
          <cell r="M173" t="str">
            <v>0</v>
          </cell>
          <cell r="N173" t="str">
            <v>0</v>
          </cell>
          <cell r="O173" t="str">
            <v>0</v>
          </cell>
          <cell r="P173" t="str">
            <v>0</v>
          </cell>
        </row>
        <row r="174">
          <cell r="C174" t="str">
            <v>Total Locations</v>
          </cell>
          <cell r="D174" t="str">
            <v>Operating Leases - Computer</v>
          </cell>
          <cell r="E174" t="str">
            <v>0</v>
          </cell>
          <cell r="F174" t="str">
            <v>0</v>
          </cell>
          <cell r="G174" t="str">
            <v>0</v>
          </cell>
          <cell r="H174" t="str">
            <v>0</v>
          </cell>
          <cell r="I174" t="str">
            <v>0</v>
          </cell>
          <cell r="J174" t="str">
            <v>0</v>
          </cell>
          <cell r="K174" t="str">
            <v>0</v>
          </cell>
          <cell r="L174" t="str">
            <v>0</v>
          </cell>
          <cell r="M174" t="str">
            <v>0</v>
          </cell>
          <cell r="N174" t="str">
            <v>0</v>
          </cell>
          <cell r="O174" t="str">
            <v>0</v>
          </cell>
          <cell r="P174" t="str">
            <v>0</v>
          </cell>
        </row>
        <row r="175">
          <cell r="C175" t="str">
            <v>Total Locations</v>
          </cell>
          <cell r="D175" t="str">
            <v>Operating Leases - Equipment</v>
          </cell>
          <cell r="E175">
            <v>149.82</v>
          </cell>
          <cell r="F175">
            <v>138.75</v>
          </cell>
          <cell r="G175">
            <v>139.57</v>
          </cell>
          <cell r="H175">
            <v>146.79</v>
          </cell>
          <cell r="I175">
            <v>161.38</v>
          </cell>
          <cell r="J175">
            <v>176.08</v>
          </cell>
          <cell r="K175">
            <v>181.91</v>
          </cell>
          <cell r="L175">
            <v>183.97</v>
          </cell>
          <cell r="M175" t="str">
            <v>0</v>
          </cell>
          <cell r="N175" t="str">
            <v>0</v>
          </cell>
          <cell r="O175" t="str">
            <v>0</v>
          </cell>
          <cell r="P175" t="str">
            <v>0</v>
          </cell>
        </row>
        <row r="176">
          <cell r="C176" t="str">
            <v>Total Locations</v>
          </cell>
          <cell r="D176" t="str">
            <v>Office Relocation Expense</v>
          </cell>
          <cell r="E176">
            <v>1256.46</v>
          </cell>
          <cell r="F176">
            <v>594.79</v>
          </cell>
          <cell r="G176" t="str">
            <v>0</v>
          </cell>
          <cell r="H176">
            <v>4584.05</v>
          </cell>
          <cell r="I176">
            <v>2366.15</v>
          </cell>
          <cell r="J176">
            <v>1521.08</v>
          </cell>
          <cell r="K176">
            <v>12116.09</v>
          </cell>
          <cell r="L176">
            <v>10609.85</v>
          </cell>
          <cell r="M176" t="str">
            <v>0</v>
          </cell>
          <cell r="N176" t="str">
            <v>0</v>
          </cell>
          <cell r="O176" t="str">
            <v>0</v>
          </cell>
          <cell r="P176" t="str">
            <v>0</v>
          </cell>
        </row>
        <row r="177">
          <cell r="C177" t="str">
            <v>Total Locations</v>
          </cell>
          <cell r="D177" t="str">
            <v>Software Expense</v>
          </cell>
          <cell r="E177">
            <v>-326.02</v>
          </cell>
          <cell r="F177">
            <v>133880.51999999999</v>
          </cell>
          <cell r="G177">
            <v>531.04999999999995</v>
          </cell>
          <cell r="H177">
            <v>11558.51</v>
          </cell>
          <cell r="I177">
            <v>11797.05</v>
          </cell>
          <cell r="J177">
            <v>37444.230000000003</v>
          </cell>
          <cell r="K177">
            <v>738.93</v>
          </cell>
          <cell r="L177" t="str">
            <v>0</v>
          </cell>
          <cell r="M177" t="str">
            <v>0</v>
          </cell>
          <cell r="N177" t="str">
            <v>0</v>
          </cell>
          <cell r="O177" t="str">
            <v>0</v>
          </cell>
          <cell r="P177" t="str">
            <v>0</v>
          </cell>
        </row>
        <row r="178">
          <cell r="C178" t="str">
            <v>Total Locations</v>
          </cell>
          <cell r="D178" t="str">
            <v>Software Licenses</v>
          </cell>
          <cell r="E178">
            <v>13588.29</v>
          </cell>
          <cell r="F178">
            <v>14202.11</v>
          </cell>
          <cell r="G178">
            <v>19180.62</v>
          </cell>
          <cell r="H178">
            <v>13172.93</v>
          </cell>
          <cell r="I178">
            <v>36203.56</v>
          </cell>
          <cell r="J178">
            <v>13686.57</v>
          </cell>
          <cell r="K178">
            <v>23290.799999999999</v>
          </cell>
          <cell r="L178">
            <v>17768.46</v>
          </cell>
          <cell r="M178" t="str">
            <v>0</v>
          </cell>
          <cell r="N178" t="str">
            <v>0</v>
          </cell>
          <cell r="O178" t="str">
            <v>0</v>
          </cell>
          <cell r="P178" t="str">
            <v>0</v>
          </cell>
        </row>
        <row r="179">
          <cell r="C179" t="str">
            <v>Total Locations</v>
          </cell>
          <cell r="D179" t="str">
            <v>Software &amp; Hardware Maintenance</v>
          </cell>
          <cell r="E179">
            <v>733399.46</v>
          </cell>
          <cell r="F179">
            <v>692787.16</v>
          </cell>
          <cell r="G179">
            <v>805430.26</v>
          </cell>
          <cell r="H179">
            <v>792347.72</v>
          </cell>
          <cell r="I179">
            <v>662867.28</v>
          </cell>
          <cell r="J179">
            <v>841635.96</v>
          </cell>
          <cell r="K179">
            <v>80336.5</v>
          </cell>
          <cell r="L179">
            <v>525714.31999999995</v>
          </cell>
          <cell r="M179" t="str">
            <v>0</v>
          </cell>
          <cell r="N179" t="str">
            <v>0</v>
          </cell>
          <cell r="O179" t="str">
            <v>0</v>
          </cell>
          <cell r="P179" t="str">
            <v>0</v>
          </cell>
        </row>
        <row r="180">
          <cell r="C180" t="str">
            <v>Total Locations</v>
          </cell>
          <cell r="D180" t="str">
            <v>Equipment &lt; $2,000 - Direct</v>
          </cell>
          <cell r="E180">
            <v>-7585.68</v>
          </cell>
          <cell r="F180">
            <v>40827.230000000003</v>
          </cell>
          <cell r="G180">
            <v>265.76000000000147</v>
          </cell>
          <cell r="H180">
            <v>40949.1</v>
          </cell>
          <cell r="I180">
            <v>27907.58</v>
          </cell>
          <cell r="J180">
            <v>91501.41</v>
          </cell>
          <cell r="K180">
            <v>20647.25</v>
          </cell>
          <cell r="L180">
            <v>35850.43</v>
          </cell>
          <cell r="M180" t="str">
            <v>0</v>
          </cell>
          <cell r="N180" t="str">
            <v>0</v>
          </cell>
          <cell r="O180" t="str">
            <v>0</v>
          </cell>
          <cell r="P180" t="str">
            <v>0</v>
          </cell>
        </row>
        <row r="181">
          <cell r="C181" t="str">
            <v>Total Locations</v>
          </cell>
          <cell r="D181" t="str">
            <v>IT Equipment &lt; $2000 - Allocated</v>
          </cell>
          <cell r="E181" t="str">
            <v>0</v>
          </cell>
          <cell r="F181" t="str">
            <v>0</v>
          </cell>
          <cell r="G181" t="str">
            <v>0</v>
          </cell>
          <cell r="H181" t="str">
            <v>0</v>
          </cell>
          <cell r="I181" t="str">
            <v>0</v>
          </cell>
          <cell r="J181">
            <v>1934.63</v>
          </cell>
          <cell r="K181">
            <v>1767.22</v>
          </cell>
          <cell r="L181" t="str">
            <v>0</v>
          </cell>
          <cell r="M181" t="str">
            <v>0</v>
          </cell>
          <cell r="N181" t="str">
            <v>0</v>
          </cell>
          <cell r="O181" t="str">
            <v>0</v>
          </cell>
          <cell r="P181" t="str">
            <v>0</v>
          </cell>
        </row>
        <row r="182">
          <cell r="C182" t="str">
            <v>Total Locations</v>
          </cell>
          <cell r="D182" t="str">
            <v>Equipment &lt; $2,000 - Allocated</v>
          </cell>
          <cell r="E182">
            <v>39.090000000000003</v>
          </cell>
          <cell r="F182">
            <v>994.14</v>
          </cell>
          <cell r="G182">
            <v>227.64</v>
          </cell>
          <cell r="H182" t="str">
            <v>0</v>
          </cell>
          <cell r="I182" t="str">
            <v>0</v>
          </cell>
          <cell r="J182">
            <v>31.41</v>
          </cell>
          <cell r="K182" t="str">
            <v>0</v>
          </cell>
          <cell r="L182">
            <v>162.81</v>
          </cell>
          <cell r="M182" t="str">
            <v>0</v>
          </cell>
          <cell r="N182" t="str">
            <v>0</v>
          </cell>
          <cell r="O182" t="str">
            <v>0</v>
          </cell>
          <cell r="P182" t="str">
            <v>0</v>
          </cell>
        </row>
        <row r="183">
          <cell r="C183" t="str">
            <v>Total Locations</v>
          </cell>
          <cell r="D183" t="str">
            <v>Low Valued Equipment</v>
          </cell>
          <cell r="E183" t="str">
            <v>0</v>
          </cell>
          <cell r="F183" t="str">
            <v>0</v>
          </cell>
          <cell r="G183" t="str">
            <v>0</v>
          </cell>
          <cell r="H183">
            <v>1337.96</v>
          </cell>
          <cell r="I183" t="str">
            <v>0</v>
          </cell>
          <cell r="J183">
            <v>19.600000000000001</v>
          </cell>
          <cell r="K183" t="str">
            <v>0</v>
          </cell>
          <cell r="L183" t="str">
            <v>0</v>
          </cell>
          <cell r="M183" t="str">
            <v>0</v>
          </cell>
          <cell r="N183" t="str">
            <v>0</v>
          </cell>
          <cell r="O183" t="str">
            <v>0</v>
          </cell>
          <cell r="P183" t="str">
            <v>0</v>
          </cell>
        </row>
        <row r="184">
          <cell r="C184" t="str">
            <v>Total Locations</v>
          </cell>
          <cell r="D184" t="str">
            <v>LEC Charges - Voice</v>
          </cell>
          <cell r="E184">
            <v>26320.13</v>
          </cell>
          <cell r="F184">
            <v>29863.279999999999</v>
          </cell>
          <cell r="G184">
            <v>15984.18</v>
          </cell>
          <cell r="H184">
            <v>7243.15</v>
          </cell>
          <cell r="I184">
            <v>4837.8599999999997</v>
          </cell>
          <cell r="J184">
            <v>65966.100000000006</v>
          </cell>
          <cell r="K184">
            <v>-58472.66</v>
          </cell>
          <cell r="L184">
            <v>-9163.65</v>
          </cell>
          <cell r="M184" t="str">
            <v>0</v>
          </cell>
          <cell r="N184" t="str">
            <v>0</v>
          </cell>
          <cell r="O184" t="str">
            <v>0</v>
          </cell>
          <cell r="P184" t="str">
            <v>0</v>
          </cell>
        </row>
        <row r="185">
          <cell r="C185" t="str">
            <v>Total Locations</v>
          </cell>
          <cell r="D185" t="str">
            <v>Telephone - Dial-up 800 Service</v>
          </cell>
          <cell r="E185">
            <v>-147.80000000000001</v>
          </cell>
          <cell r="F185">
            <v>8645.2500000000146</v>
          </cell>
          <cell r="G185">
            <v>2148.9899999999998</v>
          </cell>
          <cell r="H185">
            <v>4328.0000000000073</v>
          </cell>
          <cell r="I185">
            <v>46857.53</v>
          </cell>
          <cell r="J185">
            <v>-39233.760000000002</v>
          </cell>
          <cell r="K185">
            <v>7945.8900000000067</v>
          </cell>
          <cell r="L185">
            <v>6920.28</v>
          </cell>
          <cell r="M185" t="str">
            <v>0</v>
          </cell>
          <cell r="N185" t="str">
            <v>0</v>
          </cell>
          <cell r="O185" t="str">
            <v>0</v>
          </cell>
          <cell r="P185" t="str">
            <v>0</v>
          </cell>
        </row>
        <row r="186">
          <cell r="C186" t="str">
            <v>Total Locations</v>
          </cell>
          <cell r="D186" t="str">
            <v>Telephone - Dial-up Hub Service</v>
          </cell>
          <cell r="E186" t="str">
            <v>0</v>
          </cell>
          <cell r="F186" t="str">
            <v>0</v>
          </cell>
          <cell r="G186" t="str">
            <v>0</v>
          </cell>
          <cell r="H186" t="str">
            <v>0</v>
          </cell>
          <cell r="I186" t="str">
            <v>0</v>
          </cell>
          <cell r="J186" t="str">
            <v>0</v>
          </cell>
          <cell r="K186" t="str">
            <v>0</v>
          </cell>
          <cell r="L186" t="str">
            <v>0</v>
          </cell>
          <cell r="M186" t="str">
            <v>0</v>
          </cell>
          <cell r="N186" t="str">
            <v>0</v>
          </cell>
          <cell r="O186" t="str">
            <v>0</v>
          </cell>
          <cell r="P186" t="str">
            <v>0</v>
          </cell>
        </row>
        <row r="187">
          <cell r="C187" t="str">
            <v>Total Locations</v>
          </cell>
          <cell r="D187" t="str">
            <v>Telephone - Long Distance</v>
          </cell>
          <cell r="E187">
            <v>5905.68</v>
          </cell>
          <cell r="F187">
            <v>7067.9599999999919</v>
          </cell>
          <cell r="G187">
            <v>6084.99</v>
          </cell>
          <cell r="H187">
            <v>4022.3799999999901</v>
          </cell>
          <cell r="I187">
            <v>5271.52</v>
          </cell>
          <cell r="J187">
            <v>5305.0400000000081</v>
          </cell>
          <cell r="K187">
            <v>4265.28</v>
          </cell>
          <cell r="L187">
            <v>5481.25</v>
          </cell>
          <cell r="M187" t="str">
            <v>0</v>
          </cell>
          <cell r="N187" t="str">
            <v>0</v>
          </cell>
          <cell r="O187" t="str">
            <v>0</v>
          </cell>
          <cell r="P187" t="str">
            <v>0</v>
          </cell>
        </row>
        <row r="188">
          <cell r="C188" t="str">
            <v>Total Locations</v>
          </cell>
          <cell r="D188" t="str">
            <v>Telephone - Pagers</v>
          </cell>
          <cell r="E188">
            <v>-388.93</v>
          </cell>
          <cell r="F188">
            <v>5141.6400000000003</v>
          </cell>
          <cell r="G188">
            <v>6518.5200000000114</v>
          </cell>
          <cell r="H188">
            <v>1196.77</v>
          </cell>
          <cell r="I188">
            <v>1548.81</v>
          </cell>
          <cell r="J188">
            <v>2149.1999999999998</v>
          </cell>
          <cell r="K188">
            <v>1749.57</v>
          </cell>
          <cell r="L188">
            <v>1611.53</v>
          </cell>
          <cell r="M188" t="str">
            <v>0</v>
          </cell>
          <cell r="N188" t="str">
            <v>0</v>
          </cell>
          <cell r="O188" t="str">
            <v>0</v>
          </cell>
          <cell r="P188" t="str">
            <v>0</v>
          </cell>
        </row>
        <row r="189">
          <cell r="C189" t="str">
            <v>Total Locations</v>
          </cell>
          <cell r="D189" t="str">
            <v>Telephone - Direct</v>
          </cell>
          <cell r="E189">
            <v>346154.31</v>
          </cell>
          <cell r="F189">
            <v>334.05</v>
          </cell>
          <cell r="G189">
            <v>242.62</v>
          </cell>
          <cell r="H189">
            <v>152.75</v>
          </cell>
          <cell r="I189">
            <v>357.75</v>
          </cell>
          <cell r="J189">
            <v>467.9</v>
          </cell>
          <cell r="K189">
            <v>1737.81</v>
          </cell>
          <cell r="L189">
            <v>1014.91</v>
          </cell>
          <cell r="M189" t="str">
            <v>0</v>
          </cell>
          <cell r="N189" t="str">
            <v>0</v>
          </cell>
          <cell r="O189" t="str">
            <v>0</v>
          </cell>
          <cell r="P189" t="str">
            <v>0</v>
          </cell>
        </row>
        <row r="190">
          <cell r="C190" t="str">
            <v>Total Locations</v>
          </cell>
          <cell r="D190" t="str">
            <v>800 # Charges</v>
          </cell>
          <cell r="E190" t="str">
            <v>0</v>
          </cell>
          <cell r="F190" t="str">
            <v>0</v>
          </cell>
          <cell r="G190" t="str">
            <v>0</v>
          </cell>
          <cell r="H190" t="str">
            <v>0</v>
          </cell>
          <cell r="I190" t="str">
            <v>0</v>
          </cell>
          <cell r="J190" t="str">
            <v>0</v>
          </cell>
          <cell r="K190" t="str">
            <v>0</v>
          </cell>
          <cell r="L190" t="str">
            <v>0</v>
          </cell>
          <cell r="M190" t="str">
            <v>0</v>
          </cell>
          <cell r="N190" t="str">
            <v>0</v>
          </cell>
          <cell r="O190" t="str">
            <v>0</v>
          </cell>
          <cell r="P190" t="str">
            <v>0</v>
          </cell>
        </row>
        <row r="191">
          <cell r="C191" t="str">
            <v>Total Locations</v>
          </cell>
          <cell r="D191" t="str">
            <v>Audio &amp; Video Conferencing</v>
          </cell>
          <cell r="E191">
            <v>16511.75</v>
          </cell>
          <cell r="F191">
            <v>-4876.9200000000055</v>
          </cell>
          <cell r="G191">
            <v>1831.67</v>
          </cell>
          <cell r="H191">
            <v>2434.6</v>
          </cell>
          <cell r="I191">
            <v>1861.18</v>
          </cell>
          <cell r="J191">
            <v>2954.85</v>
          </cell>
          <cell r="K191">
            <v>3185.9200000000055</v>
          </cell>
          <cell r="L191">
            <v>2970.84</v>
          </cell>
          <cell r="M191" t="str">
            <v>0</v>
          </cell>
          <cell r="N191" t="str">
            <v>0</v>
          </cell>
          <cell r="O191" t="str">
            <v>0</v>
          </cell>
          <cell r="P191" t="str">
            <v>0</v>
          </cell>
        </row>
        <row r="192">
          <cell r="C192" t="str">
            <v>Total Locations</v>
          </cell>
          <cell r="D192" t="str">
            <v>Cellular Service</v>
          </cell>
          <cell r="E192">
            <v>32025.34</v>
          </cell>
          <cell r="F192">
            <v>13954.2</v>
          </cell>
          <cell r="G192">
            <v>10950.31</v>
          </cell>
          <cell r="H192">
            <v>8986.98</v>
          </cell>
          <cell r="I192">
            <v>6446.01</v>
          </cell>
          <cell r="J192">
            <v>6044.91</v>
          </cell>
          <cell r="K192">
            <v>9462.5300000000007</v>
          </cell>
          <cell r="L192">
            <v>1822.61</v>
          </cell>
          <cell r="M192" t="str">
            <v>0</v>
          </cell>
          <cell r="N192" t="str">
            <v>0</v>
          </cell>
          <cell r="O192" t="str">
            <v>0</v>
          </cell>
          <cell r="P192" t="str">
            <v>0</v>
          </cell>
        </row>
        <row r="193">
          <cell r="C193" t="str">
            <v>Total Locations</v>
          </cell>
          <cell r="D193" t="str">
            <v>Internet Service Provider Charges</v>
          </cell>
          <cell r="E193">
            <v>-158440.82</v>
          </cell>
          <cell r="F193">
            <v>610343.94999999995</v>
          </cell>
          <cell r="G193">
            <v>154072.46</v>
          </cell>
          <cell r="H193">
            <v>373063.2</v>
          </cell>
          <cell r="I193">
            <v>-8172.74</v>
          </cell>
          <cell r="J193">
            <v>209362.8</v>
          </cell>
          <cell r="K193">
            <v>140339</v>
          </cell>
          <cell r="L193">
            <v>109030.21</v>
          </cell>
          <cell r="M193" t="str">
            <v>0</v>
          </cell>
          <cell r="N193" t="str">
            <v>0</v>
          </cell>
          <cell r="O193" t="str">
            <v>0</v>
          </cell>
          <cell r="P193" t="str">
            <v>0</v>
          </cell>
        </row>
        <row r="194">
          <cell r="C194" t="str">
            <v>Total Locations</v>
          </cell>
          <cell r="D194" t="str">
            <v>LEC Charges</v>
          </cell>
          <cell r="E194">
            <v>12264.01</v>
          </cell>
          <cell r="F194">
            <v>88755.18</v>
          </cell>
          <cell r="G194">
            <v>18473</v>
          </cell>
          <cell r="H194">
            <v>27945.82</v>
          </cell>
          <cell r="I194">
            <v>114959.7</v>
          </cell>
          <cell r="J194">
            <v>89198.39</v>
          </cell>
          <cell r="K194">
            <v>89027.28</v>
          </cell>
          <cell r="L194">
            <v>83476.47</v>
          </cell>
          <cell r="M194" t="str">
            <v>0</v>
          </cell>
          <cell r="N194" t="str">
            <v>0</v>
          </cell>
          <cell r="O194" t="str">
            <v>0</v>
          </cell>
          <cell r="P194" t="str">
            <v>0</v>
          </cell>
        </row>
        <row r="195">
          <cell r="C195" t="str">
            <v>Total Locations</v>
          </cell>
          <cell r="D195" t="str">
            <v>IXC Charges</v>
          </cell>
          <cell r="E195">
            <v>782854.53</v>
          </cell>
          <cell r="F195">
            <v>862585.74</v>
          </cell>
          <cell r="G195">
            <v>681379.76</v>
          </cell>
          <cell r="H195">
            <v>853635.24</v>
          </cell>
          <cell r="I195">
            <v>300546.44</v>
          </cell>
          <cell r="J195">
            <v>303163.03999999998</v>
          </cell>
          <cell r="K195">
            <v>195942.06</v>
          </cell>
          <cell r="L195">
            <v>159841.23000000001</v>
          </cell>
          <cell r="M195" t="str">
            <v>0</v>
          </cell>
          <cell r="N195" t="str">
            <v>0</v>
          </cell>
          <cell r="O195" t="str">
            <v>0</v>
          </cell>
          <cell r="P195" t="str">
            <v>0</v>
          </cell>
        </row>
        <row r="196">
          <cell r="C196" t="str">
            <v>Total Locations</v>
          </cell>
          <cell r="D196" t="str">
            <v>VOX Voice Connection Charges (History 6/97 - 2/99)</v>
          </cell>
          <cell r="E196">
            <v>-55000</v>
          </cell>
          <cell r="F196">
            <v>34881.040000000001</v>
          </cell>
          <cell r="G196">
            <v>14198.29</v>
          </cell>
          <cell r="H196">
            <v>12923.69</v>
          </cell>
          <cell r="I196">
            <v>-3579.04</v>
          </cell>
          <cell r="J196">
            <v>4867.2</v>
          </cell>
          <cell r="K196">
            <v>9900.9699999999993</v>
          </cell>
          <cell r="L196">
            <v>9971.4599999999991</v>
          </cell>
          <cell r="M196" t="str">
            <v>0</v>
          </cell>
          <cell r="N196" t="str">
            <v>0</v>
          </cell>
          <cell r="O196" t="str">
            <v>0</v>
          </cell>
          <cell r="P196" t="str">
            <v>0</v>
          </cell>
        </row>
        <row r="197">
          <cell r="C197" t="str">
            <v>Total Locations</v>
          </cell>
          <cell r="D197" t="str">
            <v>Operating Leases - Telecom</v>
          </cell>
          <cell r="E197">
            <v>368705.5</v>
          </cell>
          <cell r="F197">
            <v>251021.7</v>
          </cell>
          <cell r="G197">
            <v>250932.16</v>
          </cell>
          <cell r="H197">
            <v>250932.16</v>
          </cell>
          <cell r="I197">
            <v>269476.44</v>
          </cell>
          <cell r="J197">
            <v>238999.98</v>
          </cell>
          <cell r="K197">
            <v>259566.49</v>
          </cell>
          <cell r="L197">
            <v>259244.43</v>
          </cell>
          <cell r="M197" t="str">
            <v>0</v>
          </cell>
          <cell r="N197" t="str">
            <v>0</v>
          </cell>
          <cell r="O197" t="str">
            <v>0</v>
          </cell>
          <cell r="P197" t="str">
            <v>0</v>
          </cell>
        </row>
        <row r="198">
          <cell r="C198" t="str">
            <v>Total Locations</v>
          </cell>
          <cell r="D198" t="str">
            <v>Office Supplies - Allocated</v>
          </cell>
          <cell r="E198">
            <v>5467.35</v>
          </cell>
          <cell r="F198">
            <v>1649.69</v>
          </cell>
          <cell r="G198">
            <v>6247</v>
          </cell>
          <cell r="H198">
            <v>654.29</v>
          </cell>
          <cell r="I198">
            <v>3217.24</v>
          </cell>
          <cell r="J198">
            <v>3734.34</v>
          </cell>
          <cell r="K198">
            <v>1219.31</v>
          </cell>
          <cell r="L198">
            <v>6689.64</v>
          </cell>
          <cell r="M198" t="str">
            <v>0</v>
          </cell>
          <cell r="N198" t="str">
            <v>0</v>
          </cell>
          <cell r="O198" t="str">
            <v>0</v>
          </cell>
          <cell r="P198" t="str">
            <v>0</v>
          </cell>
        </row>
        <row r="199">
          <cell r="C199" t="str">
            <v>Total Locations</v>
          </cell>
          <cell r="D199" t="str">
            <v>Office Supplies - Direct</v>
          </cell>
          <cell r="E199">
            <v>3094.16</v>
          </cell>
          <cell r="F199">
            <v>1976.58</v>
          </cell>
          <cell r="G199">
            <v>2505.3000000000002</v>
          </cell>
          <cell r="H199">
            <v>1888.63</v>
          </cell>
          <cell r="I199">
            <v>4962.16</v>
          </cell>
          <cell r="J199">
            <v>4746.6899999999996</v>
          </cell>
          <cell r="K199">
            <v>1873.08</v>
          </cell>
          <cell r="L199">
            <v>4116.1000000000004</v>
          </cell>
          <cell r="M199" t="str">
            <v>0</v>
          </cell>
          <cell r="N199" t="str">
            <v>0</v>
          </cell>
          <cell r="O199" t="str">
            <v>0</v>
          </cell>
          <cell r="P199" t="str">
            <v>0</v>
          </cell>
        </row>
        <row r="200">
          <cell r="C200" t="str">
            <v>Total Locations</v>
          </cell>
          <cell r="D200" t="str">
            <v>Warehouse Supplies</v>
          </cell>
          <cell r="E200" t="str">
            <v>0</v>
          </cell>
          <cell r="F200" t="str">
            <v>0</v>
          </cell>
          <cell r="G200" t="str">
            <v>0</v>
          </cell>
          <cell r="H200" t="str">
            <v>0</v>
          </cell>
          <cell r="I200" t="str">
            <v>0</v>
          </cell>
          <cell r="J200" t="str">
            <v>0</v>
          </cell>
          <cell r="K200" t="str">
            <v>0</v>
          </cell>
          <cell r="L200" t="str">
            <v>0</v>
          </cell>
          <cell r="M200" t="str">
            <v>0</v>
          </cell>
          <cell r="N200" t="str">
            <v>0</v>
          </cell>
          <cell r="O200" t="str">
            <v>0</v>
          </cell>
          <cell r="P200" t="str">
            <v>0</v>
          </cell>
        </row>
        <row r="201">
          <cell r="C201" t="str">
            <v>Total Locations</v>
          </cell>
          <cell r="D201" t="str">
            <v>Safety Supplies</v>
          </cell>
          <cell r="E201" t="str">
            <v>0</v>
          </cell>
          <cell r="F201" t="str">
            <v>0</v>
          </cell>
          <cell r="G201" t="str">
            <v>0</v>
          </cell>
          <cell r="H201" t="str">
            <v>0</v>
          </cell>
          <cell r="I201" t="str">
            <v>0</v>
          </cell>
          <cell r="J201" t="str">
            <v>0</v>
          </cell>
          <cell r="K201" t="str">
            <v>0</v>
          </cell>
          <cell r="L201" t="str">
            <v>0</v>
          </cell>
          <cell r="M201" t="str">
            <v>0</v>
          </cell>
          <cell r="N201" t="str">
            <v>0</v>
          </cell>
          <cell r="O201" t="str">
            <v>0</v>
          </cell>
          <cell r="P201" t="str">
            <v>0</v>
          </cell>
        </row>
        <row r="202">
          <cell r="C202" t="str">
            <v>Total Locations</v>
          </cell>
          <cell r="D202" t="str">
            <v>Postage - US Postmaster</v>
          </cell>
          <cell r="E202" t="str">
            <v>0</v>
          </cell>
          <cell r="F202">
            <v>3292.9</v>
          </cell>
          <cell r="G202">
            <v>1500.29</v>
          </cell>
          <cell r="H202">
            <v>32.119999999999997</v>
          </cell>
          <cell r="I202" t="str">
            <v>0</v>
          </cell>
          <cell r="J202">
            <v>1520.58</v>
          </cell>
          <cell r="K202">
            <v>1775.67</v>
          </cell>
          <cell r="L202">
            <v>762.09</v>
          </cell>
          <cell r="M202" t="str">
            <v>0</v>
          </cell>
          <cell r="N202" t="str">
            <v>0</v>
          </cell>
          <cell r="O202" t="str">
            <v>0</v>
          </cell>
          <cell r="P202" t="str">
            <v>0</v>
          </cell>
        </row>
        <row r="203">
          <cell r="C203" t="str">
            <v>Total Locations</v>
          </cell>
          <cell r="D203" t="str">
            <v>Fed-Ex Charges</v>
          </cell>
          <cell r="E203">
            <v>2719.22</v>
          </cell>
          <cell r="F203">
            <v>3444.31</v>
          </cell>
          <cell r="G203">
            <v>1000.98</v>
          </cell>
          <cell r="H203">
            <v>923.18</v>
          </cell>
          <cell r="I203">
            <v>736.95</v>
          </cell>
          <cell r="J203">
            <v>439.32</v>
          </cell>
          <cell r="K203">
            <v>481.51</v>
          </cell>
          <cell r="L203">
            <v>1390.91</v>
          </cell>
          <cell r="M203" t="str">
            <v>0</v>
          </cell>
          <cell r="N203" t="str">
            <v>0</v>
          </cell>
          <cell r="O203" t="str">
            <v>0</v>
          </cell>
          <cell r="P203" t="str">
            <v>0</v>
          </cell>
        </row>
        <row r="204">
          <cell r="C204" t="str">
            <v>Total Locations</v>
          </cell>
          <cell r="D204" t="str">
            <v>UPS Charges</v>
          </cell>
          <cell r="E204" t="str">
            <v>0</v>
          </cell>
          <cell r="F204" t="str">
            <v>0</v>
          </cell>
          <cell r="G204" t="str">
            <v>0</v>
          </cell>
          <cell r="H204" t="str">
            <v>0</v>
          </cell>
          <cell r="I204" t="str">
            <v>0</v>
          </cell>
          <cell r="J204" t="str">
            <v>0</v>
          </cell>
          <cell r="K204" t="str">
            <v>0</v>
          </cell>
          <cell r="L204" t="str">
            <v>0</v>
          </cell>
          <cell r="M204" t="str">
            <v>0</v>
          </cell>
          <cell r="N204" t="str">
            <v>0</v>
          </cell>
          <cell r="O204" t="str">
            <v>0</v>
          </cell>
          <cell r="P204" t="str">
            <v>0</v>
          </cell>
        </row>
        <row r="205">
          <cell r="C205" t="str">
            <v>Total Locations</v>
          </cell>
          <cell r="D205" t="str">
            <v>Courier Charges</v>
          </cell>
          <cell r="E205" t="str">
            <v>0</v>
          </cell>
          <cell r="F205" t="str">
            <v>0</v>
          </cell>
          <cell r="G205">
            <v>10</v>
          </cell>
          <cell r="H205" t="str">
            <v>0</v>
          </cell>
          <cell r="I205" t="str">
            <v>0</v>
          </cell>
          <cell r="J205">
            <v>72.55</v>
          </cell>
          <cell r="K205">
            <v>98.19</v>
          </cell>
          <cell r="L205">
            <v>253</v>
          </cell>
          <cell r="M205" t="str">
            <v>0</v>
          </cell>
          <cell r="N205" t="str">
            <v>0</v>
          </cell>
          <cell r="O205" t="str">
            <v>0</v>
          </cell>
          <cell r="P205" t="str">
            <v>0</v>
          </cell>
        </row>
        <row r="206">
          <cell r="C206" t="str">
            <v>Total Locations</v>
          </cell>
          <cell r="D206" t="str">
            <v>Freight Non-Inventory</v>
          </cell>
          <cell r="E206">
            <v>2474.64</v>
          </cell>
          <cell r="F206">
            <v>3211.76</v>
          </cell>
          <cell r="G206">
            <v>4963.2700000000004</v>
          </cell>
          <cell r="H206" t="str">
            <v>0</v>
          </cell>
          <cell r="I206">
            <v>8827.17</v>
          </cell>
          <cell r="J206">
            <v>8031.65</v>
          </cell>
          <cell r="K206">
            <v>9078.86</v>
          </cell>
          <cell r="L206">
            <v>14126.28</v>
          </cell>
          <cell r="M206" t="str">
            <v>0</v>
          </cell>
          <cell r="N206" t="str">
            <v>0</v>
          </cell>
          <cell r="O206" t="str">
            <v>0</v>
          </cell>
          <cell r="P206" t="str">
            <v>0</v>
          </cell>
        </row>
        <row r="207">
          <cell r="C207" t="str">
            <v>Total Locations</v>
          </cell>
          <cell r="D207" t="str">
            <v>Taxes &amp; Licenses</v>
          </cell>
          <cell r="E207">
            <v>170</v>
          </cell>
          <cell r="F207" t="str">
            <v>0</v>
          </cell>
          <cell r="G207" t="str">
            <v>0</v>
          </cell>
          <cell r="H207" t="str">
            <v>0</v>
          </cell>
          <cell r="I207" t="str">
            <v>0</v>
          </cell>
          <cell r="J207" t="str">
            <v>0</v>
          </cell>
          <cell r="K207" t="str">
            <v>0</v>
          </cell>
          <cell r="L207" t="str">
            <v>0</v>
          </cell>
          <cell r="M207" t="str">
            <v>0</v>
          </cell>
          <cell r="N207" t="str">
            <v>0</v>
          </cell>
          <cell r="O207" t="str">
            <v>0</v>
          </cell>
          <cell r="P207" t="str">
            <v>0</v>
          </cell>
        </row>
        <row r="208">
          <cell r="C208" t="str">
            <v>Total Locations</v>
          </cell>
          <cell r="D208" t="str">
            <v>Insurance</v>
          </cell>
          <cell r="E208">
            <v>7442.78</v>
          </cell>
          <cell r="F208">
            <v>8651.5499999999993</v>
          </cell>
          <cell r="G208">
            <v>7378.15</v>
          </cell>
          <cell r="H208">
            <v>8932.2900000000009</v>
          </cell>
          <cell r="I208">
            <v>8367.2000000000007</v>
          </cell>
          <cell r="J208">
            <v>24495.93</v>
          </cell>
          <cell r="K208">
            <v>146135.62</v>
          </cell>
          <cell r="L208">
            <v>88666.32</v>
          </cell>
          <cell r="M208" t="str">
            <v>0</v>
          </cell>
          <cell r="N208" t="str">
            <v>0</v>
          </cell>
          <cell r="O208" t="str">
            <v>0</v>
          </cell>
          <cell r="P208" t="str">
            <v>0</v>
          </cell>
        </row>
        <row r="209">
          <cell r="C209" t="str">
            <v>Total Locations</v>
          </cell>
          <cell r="D209" t="str">
            <v>Bank and Other Charges</v>
          </cell>
          <cell r="E209" t="str">
            <v>0</v>
          </cell>
          <cell r="F209" t="str">
            <v>0</v>
          </cell>
          <cell r="G209" t="str">
            <v>0</v>
          </cell>
          <cell r="H209" t="str">
            <v>0</v>
          </cell>
          <cell r="I209" t="str">
            <v>0</v>
          </cell>
          <cell r="J209" t="str">
            <v>0</v>
          </cell>
          <cell r="K209" t="str">
            <v>0</v>
          </cell>
          <cell r="L209" t="str">
            <v>0</v>
          </cell>
          <cell r="M209" t="str">
            <v>0</v>
          </cell>
          <cell r="N209" t="str">
            <v>0</v>
          </cell>
          <cell r="O209" t="str">
            <v>0</v>
          </cell>
          <cell r="P209" t="str">
            <v>0</v>
          </cell>
        </row>
        <row r="210">
          <cell r="C210" t="str">
            <v>Total Locations</v>
          </cell>
          <cell r="D210" t="str">
            <v>Bad Debt Expenses</v>
          </cell>
          <cell r="E210" t="str">
            <v>0</v>
          </cell>
          <cell r="F210" t="str">
            <v>0</v>
          </cell>
          <cell r="G210" t="str">
            <v>0</v>
          </cell>
          <cell r="H210" t="str">
            <v>0</v>
          </cell>
          <cell r="I210" t="str">
            <v>0</v>
          </cell>
          <cell r="J210" t="str">
            <v>0</v>
          </cell>
          <cell r="K210" t="str">
            <v>0</v>
          </cell>
          <cell r="L210" t="str">
            <v>0</v>
          </cell>
          <cell r="M210" t="str">
            <v>0</v>
          </cell>
          <cell r="N210" t="str">
            <v>0</v>
          </cell>
          <cell r="O210" t="str">
            <v>0</v>
          </cell>
          <cell r="P210" t="str">
            <v>0</v>
          </cell>
        </row>
        <row r="211">
          <cell r="C211" t="str">
            <v>Total Locations</v>
          </cell>
          <cell r="D211" t="str">
            <v>Travel &amp; Entertainment</v>
          </cell>
          <cell r="E211">
            <v>8840.7800000000007</v>
          </cell>
          <cell r="F211">
            <v>-47222.95</v>
          </cell>
          <cell r="G211">
            <v>55982.39</v>
          </cell>
          <cell r="H211">
            <v>60386.28</v>
          </cell>
          <cell r="I211">
            <v>19189.03</v>
          </cell>
          <cell r="J211">
            <v>46904.3</v>
          </cell>
          <cell r="K211">
            <v>34963.71</v>
          </cell>
          <cell r="L211">
            <v>46074.47</v>
          </cell>
          <cell r="M211" t="str">
            <v>0</v>
          </cell>
          <cell r="N211" t="str">
            <v>0</v>
          </cell>
          <cell r="O211" t="str">
            <v>0</v>
          </cell>
          <cell r="P211" t="str">
            <v>0</v>
          </cell>
        </row>
        <row r="212">
          <cell r="C212" t="str">
            <v>Total Locations</v>
          </cell>
          <cell r="D212" t="str">
            <v>Legal Fees</v>
          </cell>
          <cell r="E212" t="str">
            <v>0</v>
          </cell>
          <cell r="F212" t="str">
            <v>0</v>
          </cell>
          <cell r="G212" t="str">
            <v>0</v>
          </cell>
          <cell r="H212" t="str">
            <v>0</v>
          </cell>
          <cell r="I212" t="str">
            <v>0</v>
          </cell>
          <cell r="J212" t="str">
            <v>0</v>
          </cell>
          <cell r="K212" t="str">
            <v>0</v>
          </cell>
          <cell r="L212">
            <v>3645</v>
          </cell>
          <cell r="M212" t="str">
            <v>0</v>
          </cell>
          <cell r="N212" t="str">
            <v>0</v>
          </cell>
          <cell r="O212" t="str">
            <v>0</v>
          </cell>
          <cell r="P212" t="str">
            <v>0</v>
          </cell>
        </row>
        <row r="213">
          <cell r="C213" t="str">
            <v>Total Locations</v>
          </cell>
          <cell r="D213" t="str">
            <v>Public Company Charges</v>
          </cell>
          <cell r="E213">
            <v>51.88</v>
          </cell>
          <cell r="F213" t="str">
            <v>0</v>
          </cell>
          <cell r="G213" t="str">
            <v>0</v>
          </cell>
          <cell r="H213">
            <v>106.05</v>
          </cell>
          <cell r="I213" t="str">
            <v>0</v>
          </cell>
          <cell r="J213">
            <v>487.42</v>
          </cell>
          <cell r="K213" t="str">
            <v>0</v>
          </cell>
          <cell r="L213" t="str">
            <v>0</v>
          </cell>
          <cell r="M213" t="str">
            <v>0</v>
          </cell>
          <cell r="N213" t="str">
            <v>0</v>
          </cell>
          <cell r="O213" t="str">
            <v>0</v>
          </cell>
          <cell r="P213" t="str">
            <v>0</v>
          </cell>
        </row>
        <row r="214">
          <cell r="C214" t="str">
            <v>Total Locations</v>
          </cell>
          <cell r="D214" t="str">
            <v>Professional Consulting</v>
          </cell>
          <cell r="E214">
            <v>-1297.21</v>
          </cell>
          <cell r="F214">
            <v>86.49</v>
          </cell>
          <cell r="G214" t="str">
            <v>0</v>
          </cell>
          <cell r="H214" t="str">
            <v>0</v>
          </cell>
          <cell r="I214" t="str">
            <v>0</v>
          </cell>
          <cell r="J214" t="str">
            <v>0</v>
          </cell>
          <cell r="K214" t="str">
            <v>0</v>
          </cell>
          <cell r="L214">
            <v>4100</v>
          </cell>
          <cell r="M214" t="str">
            <v>0</v>
          </cell>
          <cell r="N214" t="str">
            <v>0</v>
          </cell>
          <cell r="O214" t="str">
            <v>0</v>
          </cell>
          <cell r="P214" t="str">
            <v>0</v>
          </cell>
        </row>
        <row r="215">
          <cell r="C215" t="str">
            <v>Total Locations</v>
          </cell>
          <cell r="D215" t="str">
            <v>Outside Services</v>
          </cell>
          <cell r="E215">
            <v>33770.97</v>
          </cell>
          <cell r="F215">
            <v>-946.34</v>
          </cell>
          <cell r="G215">
            <v>95423.07</v>
          </cell>
          <cell r="H215">
            <v>7416.27</v>
          </cell>
          <cell r="I215">
            <v>22664.97</v>
          </cell>
          <cell r="J215">
            <v>40082.32</v>
          </cell>
          <cell r="K215">
            <v>26198.15</v>
          </cell>
          <cell r="L215">
            <v>14595.53</v>
          </cell>
          <cell r="M215" t="str">
            <v>0</v>
          </cell>
          <cell r="N215" t="str">
            <v>0</v>
          </cell>
          <cell r="O215" t="str">
            <v>0</v>
          </cell>
          <cell r="P215" t="str">
            <v>0</v>
          </cell>
        </row>
        <row r="216">
          <cell r="C216" t="str">
            <v>Total Locations</v>
          </cell>
          <cell r="D216" t="str">
            <v>Accounting Fees</v>
          </cell>
          <cell r="E216" t="str">
            <v>0</v>
          </cell>
          <cell r="F216" t="str">
            <v>0</v>
          </cell>
          <cell r="G216" t="str">
            <v>0</v>
          </cell>
          <cell r="H216" t="str">
            <v>0</v>
          </cell>
          <cell r="I216" t="str">
            <v>0</v>
          </cell>
          <cell r="J216" t="str">
            <v>0</v>
          </cell>
          <cell r="K216" t="str">
            <v>0</v>
          </cell>
          <cell r="L216" t="str">
            <v>0</v>
          </cell>
          <cell r="M216" t="str">
            <v>0</v>
          </cell>
          <cell r="N216" t="str">
            <v>0</v>
          </cell>
          <cell r="O216" t="str">
            <v>0</v>
          </cell>
          <cell r="P216" t="str">
            <v>0</v>
          </cell>
        </row>
        <row r="217">
          <cell r="C217" t="str">
            <v>Total Locations</v>
          </cell>
          <cell r="D217" t="str">
            <v>HR - Fees</v>
          </cell>
          <cell r="E217" t="str">
            <v>0</v>
          </cell>
          <cell r="F217" t="str">
            <v>0</v>
          </cell>
          <cell r="G217" t="str">
            <v>0</v>
          </cell>
          <cell r="H217" t="str">
            <v>0</v>
          </cell>
          <cell r="I217" t="str">
            <v>0</v>
          </cell>
          <cell r="J217" t="str">
            <v>0</v>
          </cell>
          <cell r="K217" t="str">
            <v>0</v>
          </cell>
          <cell r="L217" t="str">
            <v>0</v>
          </cell>
          <cell r="M217" t="str">
            <v>0</v>
          </cell>
          <cell r="N217" t="str">
            <v>0</v>
          </cell>
          <cell r="O217" t="str">
            <v>0</v>
          </cell>
          <cell r="P217" t="str">
            <v>0</v>
          </cell>
        </row>
        <row r="218">
          <cell r="C218" t="str">
            <v>Total Locations</v>
          </cell>
          <cell r="D218" t="str">
            <v>Special Projects</v>
          </cell>
          <cell r="E218" t="str">
            <v>0</v>
          </cell>
          <cell r="F218" t="str">
            <v>0</v>
          </cell>
          <cell r="G218" t="str">
            <v>0</v>
          </cell>
          <cell r="H218" t="str">
            <v>0</v>
          </cell>
          <cell r="I218" t="str">
            <v>0</v>
          </cell>
          <cell r="J218" t="str">
            <v>0</v>
          </cell>
          <cell r="K218" t="str">
            <v>0</v>
          </cell>
          <cell r="L218" t="str">
            <v>0</v>
          </cell>
          <cell r="M218" t="str">
            <v>0</v>
          </cell>
          <cell r="N218" t="str">
            <v>0</v>
          </cell>
          <cell r="O218" t="str">
            <v>0</v>
          </cell>
          <cell r="P218" t="str">
            <v>0</v>
          </cell>
        </row>
        <row r="219">
          <cell r="C219" t="str">
            <v>Total Locations</v>
          </cell>
          <cell r="D219" t="str">
            <v>Other Administrative Expenses</v>
          </cell>
          <cell r="E219">
            <v>4034.04</v>
          </cell>
          <cell r="F219">
            <v>1044.52</v>
          </cell>
          <cell r="G219">
            <v>1695.77</v>
          </cell>
          <cell r="H219">
            <v>32231.06</v>
          </cell>
          <cell r="I219">
            <v>1071.6099999999999</v>
          </cell>
          <cell r="J219">
            <v>4949.62</v>
          </cell>
          <cell r="K219">
            <v>690.24</v>
          </cell>
          <cell r="L219">
            <v>26499.27</v>
          </cell>
          <cell r="M219" t="str">
            <v>0</v>
          </cell>
          <cell r="N219" t="str">
            <v>0</v>
          </cell>
          <cell r="O219" t="str">
            <v>0</v>
          </cell>
          <cell r="P219" t="str">
            <v>0</v>
          </cell>
        </row>
        <row r="220">
          <cell r="E220" t="str">
            <v>-</v>
          </cell>
          <cell r="F220" t="str">
            <v>-</v>
          </cell>
          <cell r="G220" t="str">
            <v>-</v>
          </cell>
          <cell r="H220" t="str">
            <v>-</v>
          </cell>
          <cell r="I220" t="str">
            <v>-</v>
          </cell>
          <cell r="J220" t="str">
            <v>-</v>
          </cell>
          <cell r="K220" t="str">
            <v>-</v>
          </cell>
          <cell r="L220" t="str">
            <v>-</v>
          </cell>
          <cell r="M220" t="str">
            <v>-</v>
          </cell>
          <cell r="N220" t="str">
            <v>-</v>
          </cell>
          <cell r="O220" t="str">
            <v>-</v>
          </cell>
          <cell r="P220" t="str">
            <v>-</v>
          </cell>
        </row>
        <row r="221">
          <cell r="C221" t="str">
            <v>Total Locations</v>
          </cell>
          <cell r="D221" t="str">
            <v>Administrative Expenses</v>
          </cell>
          <cell r="E221">
            <v>7604875.6500000004</v>
          </cell>
          <cell r="F221">
            <v>8130493.6200000001</v>
          </cell>
          <cell r="G221">
            <v>7927502.3899999987</v>
          </cell>
          <cell r="H221">
            <v>8177464.5799999991</v>
          </cell>
          <cell r="I221">
            <v>7677988.8000000007</v>
          </cell>
          <cell r="J221">
            <v>7826043.2400000012</v>
          </cell>
          <cell r="K221">
            <v>3733459.35</v>
          </cell>
          <cell r="L221">
            <v>4759592.7699999996</v>
          </cell>
          <cell r="M221" t="str">
            <v>0</v>
          </cell>
          <cell r="N221" t="str">
            <v>0</v>
          </cell>
          <cell r="O221" t="str">
            <v>0</v>
          </cell>
          <cell r="P221" t="str">
            <v>0</v>
          </cell>
        </row>
        <row r="223">
          <cell r="C223" t="str">
            <v>Total Locations</v>
          </cell>
          <cell r="D223" t="str">
            <v>TRU-Contra Expenses (Parent)</v>
          </cell>
          <cell r="E223" t="str">
            <v>0</v>
          </cell>
          <cell r="F223">
            <v>-4164</v>
          </cell>
          <cell r="G223">
            <v>-4164</v>
          </cell>
          <cell r="H223" t="str">
            <v>0</v>
          </cell>
          <cell r="I223">
            <v>-3164</v>
          </cell>
          <cell r="J223">
            <v>-2082</v>
          </cell>
          <cell r="K223" t="str">
            <v>0</v>
          </cell>
          <cell r="L223">
            <v>-4164</v>
          </cell>
          <cell r="M223" t="str">
            <v>0</v>
          </cell>
          <cell r="N223" t="str">
            <v>0</v>
          </cell>
          <cell r="O223" t="str">
            <v>0</v>
          </cell>
          <cell r="P223" t="str">
            <v>0</v>
          </cell>
        </row>
        <row r="224">
          <cell r="C224" t="str">
            <v>Total Locations</v>
          </cell>
          <cell r="D224" t="str">
            <v>Unspecified OPEX</v>
          </cell>
          <cell r="E224" t="str">
            <v>0</v>
          </cell>
          <cell r="F224" t="str">
            <v>0</v>
          </cell>
          <cell r="G224" t="str">
            <v>0</v>
          </cell>
          <cell r="H224" t="str">
            <v>0</v>
          </cell>
          <cell r="I224" t="str">
            <v>0</v>
          </cell>
          <cell r="J224" t="str">
            <v>0</v>
          </cell>
          <cell r="K224" t="str">
            <v>0</v>
          </cell>
          <cell r="L224" t="str">
            <v>0</v>
          </cell>
          <cell r="M224" t="str">
            <v>0</v>
          </cell>
          <cell r="N224" t="str">
            <v>0</v>
          </cell>
          <cell r="O224" t="str">
            <v>0</v>
          </cell>
          <cell r="P224" t="str">
            <v>0</v>
          </cell>
        </row>
        <row r="225">
          <cell r="E225" t="str">
            <v>-</v>
          </cell>
          <cell r="F225" t="str">
            <v>-</v>
          </cell>
          <cell r="G225" t="str">
            <v>-</v>
          </cell>
          <cell r="H225" t="str">
            <v>-</v>
          </cell>
          <cell r="I225" t="str">
            <v>-</v>
          </cell>
          <cell r="J225" t="str">
            <v>-</v>
          </cell>
          <cell r="K225" t="str">
            <v>-</v>
          </cell>
          <cell r="L225" t="str">
            <v>-</v>
          </cell>
          <cell r="M225" t="str">
            <v>-</v>
          </cell>
          <cell r="N225" t="str">
            <v>-</v>
          </cell>
          <cell r="O225" t="str">
            <v>-</v>
          </cell>
          <cell r="P225" t="str">
            <v>-</v>
          </cell>
        </row>
        <row r="226">
          <cell r="C226" t="str">
            <v>Total Locations</v>
          </cell>
          <cell r="D226" t="str">
            <v>Operating Expenses</v>
          </cell>
          <cell r="E226">
            <v>9768410.0200000014</v>
          </cell>
          <cell r="F226">
            <v>10110092.17</v>
          </cell>
          <cell r="G226">
            <v>9673193.9799999986</v>
          </cell>
          <cell r="H226">
            <v>10186739.51</v>
          </cell>
          <cell r="I226">
            <v>9397091.0600000005</v>
          </cell>
          <cell r="J226">
            <v>9405023.2800000012</v>
          </cell>
          <cell r="K226">
            <v>5498811.2899999991</v>
          </cell>
          <cell r="L226">
            <v>6558707.8099999996</v>
          </cell>
          <cell r="M226" t="str">
            <v>0</v>
          </cell>
          <cell r="N226" t="str">
            <v>0</v>
          </cell>
          <cell r="O226" t="str">
            <v>0</v>
          </cell>
          <cell r="P226" t="str">
            <v>0</v>
          </cell>
        </row>
        <row r="272">
          <cell r="E272" t="str">
            <v>US Core Businesses</v>
          </cell>
        </row>
        <row r="273">
          <cell r="E273" t="str">
            <v>Project</v>
          </cell>
        </row>
        <row r="274">
          <cell r="E274" t="str">
            <v>Total Products</v>
          </cell>
        </row>
        <row r="275">
          <cell r="E275" t="str">
            <v>Tech - Infrastructure</v>
          </cell>
        </row>
        <row r="276">
          <cell r="E276" t="str">
            <v>FY2001</v>
          </cell>
          <cell r="F276" t="str">
            <v>FY2001</v>
          </cell>
          <cell r="G276" t="str">
            <v>FY2001</v>
          </cell>
          <cell r="H276" t="str">
            <v>FY2001</v>
          </cell>
          <cell r="I276" t="str">
            <v>FY2001</v>
          </cell>
          <cell r="J276" t="str">
            <v>FY2001</v>
          </cell>
          <cell r="K276" t="str">
            <v>FY2001</v>
          </cell>
          <cell r="L276" t="str">
            <v>FY2001</v>
          </cell>
          <cell r="M276" t="str">
            <v>FY2001</v>
          </cell>
          <cell r="N276" t="str">
            <v>FY2001</v>
          </cell>
          <cell r="O276" t="str">
            <v>FY2001</v>
          </cell>
          <cell r="P276" t="str">
            <v>FY2001</v>
          </cell>
        </row>
        <row r="277">
          <cell r="E277" t="str">
            <v>FY01 Plan</v>
          </cell>
          <cell r="F277" t="str">
            <v>FY01 Plan</v>
          </cell>
          <cell r="G277" t="str">
            <v>FY01 Plan</v>
          </cell>
          <cell r="H277" t="str">
            <v>FY01 Plan</v>
          </cell>
          <cell r="I277" t="str">
            <v>FY01 Plan</v>
          </cell>
          <cell r="J277" t="str">
            <v>FY01 Plan</v>
          </cell>
          <cell r="K277" t="str">
            <v>FY01 Plan</v>
          </cell>
          <cell r="L277" t="str">
            <v>FY01 Plan</v>
          </cell>
          <cell r="M277" t="str">
            <v>FY01 Plan</v>
          </cell>
          <cell r="N277" t="str">
            <v>FY01 Plan</v>
          </cell>
          <cell r="O277" t="str">
            <v>FY01 Plan</v>
          </cell>
          <cell r="P277" t="str">
            <v>FY01 Plan</v>
          </cell>
        </row>
        <row r="278">
          <cell r="E278" t="str">
            <v>Jan</v>
          </cell>
          <cell r="F278" t="str">
            <v>Feb</v>
          </cell>
          <cell r="G278" t="str">
            <v>Mar</v>
          </cell>
          <cell r="H278" t="str">
            <v>Apr</v>
          </cell>
          <cell r="I278" t="str">
            <v>May</v>
          </cell>
          <cell r="J278" t="str">
            <v>Jun</v>
          </cell>
          <cell r="K278" t="str">
            <v>Jul</v>
          </cell>
          <cell r="L278" t="str">
            <v>Aug</v>
          </cell>
          <cell r="M278" t="str">
            <v>Sep</v>
          </cell>
          <cell r="N278" t="str">
            <v>Oct</v>
          </cell>
          <cell r="O278" t="str">
            <v>Nov</v>
          </cell>
          <cell r="P278" t="str">
            <v>Dec</v>
          </cell>
        </row>
        <row r="280">
          <cell r="C280" t="str">
            <v>Total Locations</v>
          </cell>
          <cell r="D280" t="str">
            <v>Total Heads</v>
          </cell>
          <cell r="E280">
            <v>325</v>
          </cell>
          <cell r="F280">
            <v>273</v>
          </cell>
          <cell r="G280">
            <v>274</v>
          </cell>
          <cell r="H280">
            <v>279</v>
          </cell>
          <cell r="I280">
            <v>280</v>
          </cell>
          <cell r="J280">
            <v>280</v>
          </cell>
          <cell r="K280">
            <v>280</v>
          </cell>
          <cell r="L280">
            <v>280</v>
          </cell>
          <cell r="M280">
            <v>280</v>
          </cell>
          <cell r="N280">
            <v>280</v>
          </cell>
          <cell r="O280">
            <v>280</v>
          </cell>
          <cell r="P280">
            <v>280</v>
          </cell>
        </row>
        <row r="281">
          <cell r="D281" t="str">
            <v>Regular Heads</v>
          </cell>
          <cell r="E281">
            <v>324</v>
          </cell>
          <cell r="F281">
            <v>272</v>
          </cell>
          <cell r="G281">
            <v>273</v>
          </cell>
          <cell r="H281">
            <v>278</v>
          </cell>
          <cell r="I281">
            <v>279</v>
          </cell>
          <cell r="J281">
            <v>279</v>
          </cell>
          <cell r="K281">
            <v>279</v>
          </cell>
          <cell r="L281">
            <v>279</v>
          </cell>
          <cell r="M281">
            <v>279</v>
          </cell>
          <cell r="N281">
            <v>279</v>
          </cell>
          <cell r="O281">
            <v>279</v>
          </cell>
          <cell r="P281">
            <v>279</v>
          </cell>
        </row>
        <row r="282">
          <cell r="D282" t="str">
            <v>Total Temps</v>
          </cell>
          <cell r="E282">
            <v>1</v>
          </cell>
          <cell r="F282">
            <v>1</v>
          </cell>
          <cell r="G282">
            <v>1</v>
          </cell>
          <cell r="H282">
            <v>1</v>
          </cell>
          <cell r="I282">
            <v>1</v>
          </cell>
          <cell r="J282">
            <v>1</v>
          </cell>
          <cell r="K282">
            <v>1</v>
          </cell>
          <cell r="L282">
            <v>1</v>
          </cell>
          <cell r="M282">
            <v>1</v>
          </cell>
          <cell r="N282">
            <v>1</v>
          </cell>
          <cell r="O282">
            <v>1</v>
          </cell>
          <cell r="P282">
            <v>1</v>
          </cell>
        </row>
        <row r="283">
          <cell r="D283" t="str">
            <v>Third Party Contractors</v>
          </cell>
          <cell r="E283" t="str">
            <v>0</v>
          </cell>
          <cell r="F283" t="str">
            <v>0</v>
          </cell>
          <cell r="G283" t="str">
            <v>0</v>
          </cell>
          <cell r="H283" t="str">
            <v>0</v>
          </cell>
          <cell r="I283" t="str">
            <v>0</v>
          </cell>
          <cell r="J283" t="str">
            <v>0</v>
          </cell>
          <cell r="K283" t="str">
            <v>0</v>
          </cell>
          <cell r="L283" t="str">
            <v>0</v>
          </cell>
          <cell r="M283" t="str">
            <v>0</v>
          </cell>
          <cell r="N283" t="str">
            <v>0</v>
          </cell>
          <cell r="O283" t="str">
            <v>0</v>
          </cell>
          <cell r="P283" t="str">
            <v>0</v>
          </cell>
        </row>
        <row r="284">
          <cell r="D284" t="str">
            <v>Independent Contractors</v>
          </cell>
          <cell r="E284" t="str">
            <v>0</v>
          </cell>
          <cell r="F284" t="str">
            <v>0</v>
          </cell>
          <cell r="G284" t="str">
            <v>0</v>
          </cell>
          <cell r="H284" t="str">
            <v>0</v>
          </cell>
          <cell r="I284" t="str">
            <v>0</v>
          </cell>
          <cell r="J284" t="str">
            <v>0</v>
          </cell>
          <cell r="K284" t="str">
            <v>0</v>
          </cell>
          <cell r="L284" t="str">
            <v>0</v>
          </cell>
          <cell r="M284" t="str">
            <v>0</v>
          </cell>
          <cell r="N284" t="str">
            <v>0</v>
          </cell>
          <cell r="O284" t="str">
            <v>0</v>
          </cell>
          <cell r="P284" t="str">
            <v>0</v>
          </cell>
        </row>
        <row r="286">
          <cell r="C286" t="str">
            <v>(Hide)</v>
          </cell>
          <cell r="D286" t="str">
            <v>(Hide)</v>
          </cell>
          <cell r="E286" t="str">
            <v>Actl</v>
          </cell>
          <cell r="F286" t="str">
            <v>Actl</v>
          </cell>
          <cell r="G286" t="str">
            <v>Actl</v>
          </cell>
          <cell r="H286" t="str">
            <v>Actl</v>
          </cell>
          <cell r="I286" t="str">
            <v>Actl</v>
          </cell>
          <cell r="J286" t="str">
            <v>Actl</v>
          </cell>
          <cell r="K286" t="str">
            <v>Actl</v>
          </cell>
          <cell r="L286" t="str">
            <v>Actl</v>
          </cell>
          <cell r="M286" t="str">
            <v>Actl</v>
          </cell>
          <cell r="N286" t="str">
            <v>Actl</v>
          </cell>
          <cell r="O286" t="str">
            <v>Actl</v>
          </cell>
          <cell r="P286" t="str">
            <v>Actl</v>
          </cell>
        </row>
        <row r="287">
          <cell r="E287">
            <v>36892</v>
          </cell>
          <cell r="F287">
            <v>36923</v>
          </cell>
          <cell r="G287">
            <v>36951</v>
          </cell>
          <cell r="H287">
            <v>36982</v>
          </cell>
          <cell r="I287">
            <v>37012</v>
          </cell>
          <cell r="J287">
            <v>37043</v>
          </cell>
          <cell r="K287">
            <v>37073</v>
          </cell>
          <cell r="L287">
            <v>37104</v>
          </cell>
          <cell r="M287">
            <v>37135</v>
          </cell>
          <cell r="N287">
            <v>37165</v>
          </cell>
          <cell r="O287">
            <v>37196</v>
          </cell>
          <cell r="P287">
            <v>37226</v>
          </cell>
        </row>
        <row r="290">
          <cell r="C290" t="str">
            <v>Total Locations</v>
          </cell>
          <cell r="D290" t="str">
            <v>Salaries</v>
          </cell>
          <cell r="E290">
            <v>1531980.9882999999</v>
          </cell>
          <cell r="F290">
            <v>1530272.3241999999</v>
          </cell>
          <cell r="G290">
            <v>1351982.1825000001</v>
          </cell>
          <cell r="H290">
            <v>1655967.8838</v>
          </cell>
          <cell r="I290">
            <v>1662586.7588</v>
          </cell>
          <cell r="J290">
            <v>1662586.7588</v>
          </cell>
          <cell r="K290">
            <v>1662586.7588</v>
          </cell>
          <cell r="L290">
            <v>1662586.7588</v>
          </cell>
          <cell r="M290">
            <v>1662586.7588</v>
          </cell>
          <cell r="N290">
            <v>1662586.7588</v>
          </cell>
          <cell r="O290">
            <v>1662586.7588</v>
          </cell>
          <cell r="P290">
            <v>1662586.7588</v>
          </cell>
        </row>
        <row r="291">
          <cell r="C291" t="str">
            <v>Total Locations</v>
          </cell>
          <cell r="D291" t="str">
            <v>Hourly Wages</v>
          </cell>
          <cell r="E291" t="str">
            <v>0</v>
          </cell>
          <cell r="F291" t="str">
            <v>0</v>
          </cell>
          <cell r="G291" t="str">
            <v>0</v>
          </cell>
          <cell r="H291" t="str">
            <v>0</v>
          </cell>
          <cell r="I291" t="str">
            <v>0</v>
          </cell>
          <cell r="J291" t="str">
            <v>0</v>
          </cell>
          <cell r="K291" t="str">
            <v>0</v>
          </cell>
          <cell r="L291" t="str">
            <v>0</v>
          </cell>
          <cell r="M291" t="str">
            <v>0</v>
          </cell>
          <cell r="N291" t="str">
            <v>0</v>
          </cell>
          <cell r="O291" t="str">
            <v>0</v>
          </cell>
          <cell r="P291" t="str">
            <v>0</v>
          </cell>
        </row>
        <row r="292">
          <cell r="C292" t="str">
            <v>Total Locations</v>
          </cell>
          <cell r="D292" t="str">
            <v>Overtime</v>
          </cell>
          <cell r="E292" t="str">
            <v>0</v>
          </cell>
          <cell r="F292" t="str">
            <v>0</v>
          </cell>
          <cell r="G292" t="str">
            <v>0</v>
          </cell>
          <cell r="H292" t="str">
            <v>0</v>
          </cell>
          <cell r="I292" t="str">
            <v>0</v>
          </cell>
          <cell r="J292" t="str">
            <v>0</v>
          </cell>
          <cell r="K292" t="str">
            <v>0</v>
          </cell>
          <cell r="L292" t="str">
            <v>0</v>
          </cell>
          <cell r="M292" t="str">
            <v>0</v>
          </cell>
          <cell r="N292" t="str">
            <v>0</v>
          </cell>
          <cell r="O292" t="str">
            <v>0</v>
          </cell>
          <cell r="P292" t="str">
            <v>0</v>
          </cell>
        </row>
        <row r="293">
          <cell r="C293" t="str">
            <v>Total Locations</v>
          </cell>
          <cell r="D293" t="str">
            <v>Holidays</v>
          </cell>
          <cell r="E293" t="str">
            <v>0</v>
          </cell>
          <cell r="F293" t="str">
            <v>0</v>
          </cell>
          <cell r="G293" t="str">
            <v>0</v>
          </cell>
          <cell r="H293" t="str">
            <v>0</v>
          </cell>
          <cell r="I293" t="str">
            <v>0</v>
          </cell>
          <cell r="J293" t="str">
            <v>0</v>
          </cell>
          <cell r="K293" t="str">
            <v>0</v>
          </cell>
          <cell r="L293" t="str">
            <v>0</v>
          </cell>
          <cell r="M293" t="str">
            <v>0</v>
          </cell>
          <cell r="N293" t="str">
            <v>0</v>
          </cell>
          <cell r="O293" t="str">
            <v>0</v>
          </cell>
          <cell r="P293" t="str">
            <v>0</v>
          </cell>
        </row>
        <row r="294">
          <cell r="C294" t="str">
            <v>Total Locations</v>
          </cell>
          <cell r="D294" t="str">
            <v>Vacation</v>
          </cell>
          <cell r="E294" t="str">
            <v>0</v>
          </cell>
          <cell r="F294" t="str">
            <v>0</v>
          </cell>
          <cell r="G294" t="str">
            <v>0</v>
          </cell>
          <cell r="H294" t="str">
            <v>0</v>
          </cell>
          <cell r="I294" t="str">
            <v>0</v>
          </cell>
          <cell r="J294" t="str">
            <v>0</v>
          </cell>
          <cell r="K294" t="str">
            <v>0</v>
          </cell>
          <cell r="L294" t="str">
            <v>0</v>
          </cell>
          <cell r="M294" t="str">
            <v>0</v>
          </cell>
          <cell r="N294" t="str">
            <v>0</v>
          </cell>
          <cell r="O294" t="str">
            <v>0</v>
          </cell>
          <cell r="P294" t="str">
            <v>0</v>
          </cell>
        </row>
        <row r="295">
          <cell r="C295" t="str">
            <v>Total Locations</v>
          </cell>
          <cell r="D295" t="str">
            <v>Sick Leave</v>
          </cell>
          <cell r="E295" t="str">
            <v>0</v>
          </cell>
          <cell r="F295" t="str">
            <v>0</v>
          </cell>
          <cell r="G295" t="str">
            <v>0</v>
          </cell>
          <cell r="H295" t="str">
            <v>0</v>
          </cell>
          <cell r="I295" t="str">
            <v>0</v>
          </cell>
          <cell r="J295" t="str">
            <v>0</v>
          </cell>
          <cell r="K295" t="str">
            <v>0</v>
          </cell>
          <cell r="L295" t="str">
            <v>0</v>
          </cell>
          <cell r="M295" t="str">
            <v>0</v>
          </cell>
          <cell r="N295" t="str">
            <v>0</v>
          </cell>
          <cell r="O295" t="str">
            <v>0</v>
          </cell>
          <cell r="P295" t="str">
            <v>0</v>
          </cell>
        </row>
        <row r="296">
          <cell r="C296" t="str">
            <v>Total Locations</v>
          </cell>
          <cell r="D296" t="str">
            <v>Contra - Salary Expense</v>
          </cell>
          <cell r="E296" t="str">
            <v>0</v>
          </cell>
          <cell r="F296" t="str">
            <v>0</v>
          </cell>
          <cell r="G296" t="str">
            <v>0</v>
          </cell>
          <cell r="H296" t="str">
            <v>0</v>
          </cell>
          <cell r="I296" t="str">
            <v>0</v>
          </cell>
          <cell r="J296" t="str">
            <v>0</v>
          </cell>
          <cell r="K296" t="str">
            <v>0</v>
          </cell>
          <cell r="L296" t="str">
            <v>0</v>
          </cell>
          <cell r="M296" t="str">
            <v>0</v>
          </cell>
          <cell r="N296" t="str">
            <v>0</v>
          </cell>
          <cell r="O296" t="str">
            <v>0</v>
          </cell>
          <cell r="P296" t="str">
            <v>0</v>
          </cell>
        </row>
        <row r="297">
          <cell r="C297" t="str">
            <v>Total Locations</v>
          </cell>
          <cell r="D297" t="str">
            <v>Temporary Employees</v>
          </cell>
          <cell r="E297">
            <v>-2821.5401000000002</v>
          </cell>
          <cell r="F297">
            <v>42727.320099999997</v>
          </cell>
          <cell r="G297" t="str">
            <v>0</v>
          </cell>
          <cell r="H297">
            <v>3440</v>
          </cell>
          <cell r="I297">
            <v>3440</v>
          </cell>
          <cell r="J297">
            <v>3440</v>
          </cell>
          <cell r="K297">
            <v>3440</v>
          </cell>
          <cell r="L297">
            <v>3440</v>
          </cell>
          <cell r="M297">
            <v>3440</v>
          </cell>
          <cell r="N297">
            <v>3440</v>
          </cell>
          <cell r="O297">
            <v>3440</v>
          </cell>
          <cell r="P297">
            <v>3440</v>
          </cell>
        </row>
        <row r="298">
          <cell r="C298" t="str">
            <v>Total Locations</v>
          </cell>
          <cell r="D298" t="str">
            <v>Total Bonuses</v>
          </cell>
          <cell r="E298">
            <v>216299.9786</v>
          </cell>
          <cell r="F298">
            <v>168710.3622</v>
          </cell>
          <cell r="G298">
            <v>124714.05990000001</v>
          </cell>
          <cell r="H298">
            <v>139214.0594</v>
          </cell>
          <cell r="I298">
            <v>96714.0579</v>
          </cell>
          <cell r="J298">
            <v>84089.391900000002</v>
          </cell>
          <cell r="K298">
            <v>73163.22570000001</v>
          </cell>
          <cell r="L298">
            <v>59717.502399999998</v>
          </cell>
          <cell r="M298">
            <v>49533.167600000001</v>
          </cell>
          <cell r="N298">
            <v>45369.3341</v>
          </cell>
          <cell r="O298">
            <v>47036.001100000001</v>
          </cell>
          <cell r="P298">
            <v>42184.666800000006</v>
          </cell>
        </row>
        <row r="299">
          <cell r="C299" t="str">
            <v>Total Locations</v>
          </cell>
          <cell r="D299" t="str">
            <v>Payroll Taxes</v>
          </cell>
          <cell r="E299">
            <v>178440.28979999994</v>
          </cell>
          <cell r="F299">
            <v>162983.28219999999</v>
          </cell>
          <cell r="G299">
            <v>149035.56910000002</v>
          </cell>
          <cell r="H299">
            <v>194757.33149999997</v>
          </cell>
          <cell r="I299">
            <v>187097.91159999999</v>
          </cell>
          <cell r="J299">
            <v>185415.7905</v>
          </cell>
          <cell r="K299">
            <v>186457.56390000001</v>
          </cell>
          <cell r="L299">
            <v>187257.04439999998</v>
          </cell>
          <cell r="M299">
            <v>187697.04439999998</v>
          </cell>
          <cell r="N299">
            <v>187972.04439999998</v>
          </cell>
          <cell r="O299">
            <v>188247.04439999998</v>
          </cell>
          <cell r="P299">
            <v>188522.04439999998</v>
          </cell>
        </row>
        <row r="300">
          <cell r="C300" t="str">
            <v>Total Locations</v>
          </cell>
          <cell r="D300" t="str">
            <v>Total Medical Benefits</v>
          </cell>
          <cell r="E300">
            <v>62153.299199999994</v>
          </cell>
          <cell r="F300">
            <v>52551.06</v>
          </cell>
          <cell r="G300">
            <v>66010</v>
          </cell>
          <cell r="H300">
            <v>67850</v>
          </cell>
          <cell r="I300">
            <v>68770</v>
          </cell>
          <cell r="J300">
            <v>69460</v>
          </cell>
          <cell r="K300">
            <v>70150</v>
          </cell>
          <cell r="L300">
            <v>70840</v>
          </cell>
          <cell r="M300">
            <v>71530</v>
          </cell>
          <cell r="N300">
            <v>72220</v>
          </cell>
          <cell r="O300">
            <v>72910</v>
          </cell>
          <cell r="P300">
            <v>73600</v>
          </cell>
        </row>
        <row r="301">
          <cell r="C301" t="str">
            <v>Total Locations</v>
          </cell>
          <cell r="D301" t="str">
            <v>Metro Bus Passes</v>
          </cell>
          <cell r="E301" t="str">
            <v>0</v>
          </cell>
          <cell r="F301" t="str">
            <v>0</v>
          </cell>
          <cell r="G301" t="str">
            <v>0</v>
          </cell>
          <cell r="H301" t="str">
            <v>0</v>
          </cell>
          <cell r="I301" t="str">
            <v>0</v>
          </cell>
          <cell r="J301" t="str">
            <v>0</v>
          </cell>
          <cell r="K301" t="str">
            <v>0</v>
          </cell>
          <cell r="L301" t="str">
            <v>0</v>
          </cell>
          <cell r="M301" t="str">
            <v>0</v>
          </cell>
          <cell r="N301" t="str">
            <v>0</v>
          </cell>
          <cell r="O301" t="str">
            <v>0</v>
          </cell>
          <cell r="P301" t="str">
            <v>0</v>
          </cell>
        </row>
        <row r="302">
          <cell r="C302" t="str">
            <v>Total Locations</v>
          </cell>
          <cell r="D302" t="str">
            <v>Employee Relations</v>
          </cell>
          <cell r="E302" t="str">
            <v>0</v>
          </cell>
          <cell r="F302" t="str">
            <v>0</v>
          </cell>
          <cell r="G302" t="str">
            <v>0</v>
          </cell>
          <cell r="H302" t="str">
            <v>0</v>
          </cell>
          <cell r="I302" t="str">
            <v>0</v>
          </cell>
          <cell r="J302" t="str">
            <v>0</v>
          </cell>
          <cell r="K302" t="str">
            <v>0</v>
          </cell>
          <cell r="L302" t="str">
            <v>0</v>
          </cell>
          <cell r="M302" t="str">
            <v>0</v>
          </cell>
          <cell r="N302" t="str">
            <v>0</v>
          </cell>
          <cell r="O302" t="str">
            <v>0</v>
          </cell>
          <cell r="P302" t="str">
            <v>0</v>
          </cell>
        </row>
        <row r="303">
          <cell r="C303" t="str">
            <v>Total Locations</v>
          </cell>
          <cell r="D303" t="str">
            <v>Employee Awards</v>
          </cell>
          <cell r="E303" t="str">
            <v>0</v>
          </cell>
          <cell r="F303" t="str">
            <v>0</v>
          </cell>
          <cell r="G303" t="str">
            <v>0</v>
          </cell>
          <cell r="H303" t="str">
            <v>0</v>
          </cell>
          <cell r="I303" t="str">
            <v>0</v>
          </cell>
          <cell r="J303" t="str">
            <v>0</v>
          </cell>
          <cell r="K303" t="str">
            <v>0</v>
          </cell>
          <cell r="L303" t="str">
            <v>0</v>
          </cell>
          <cell r="M303" t="str">
            <v>0</v>
          </cell>
          <cell r="N303" t="str">
            <v>0</v>
          </cell>
          <cell r="O303" t="str">
            <v>0</v>
          </cell>
          <cell r="P303" t="str">
            <v>0</v>
          </cell>
        </row>
        <row r="304">
          <cell r="C304" t="str">
            <v>Total Locations</v>
          </cell>
          <cell r="D304" t="str">
            <v>Parking Withheld from Payroll</v>
          </cell>
          <cell r="E304" t="str">
            <v>0</v>
          </cell>
          <cell r="F304" t="str">
            <v>0</v>
          </cell>
          <cell r="G304" t="str">
            <v>0</v>
          </cell>
          <cell r="H304" t="str">
            <v>0</v>
          </cell>
          <cell r="I304" t="str">
            <v>0</v>
          </cell>
          <cell r="J304" t="str">
            <v>0</v>
          </cell>
          <cell r="K304" t="str">
            <v>0</v>
          </cell>
          <cell r="L304" t="str">
            <v>0</v>
          </cell>
          <cell r="M304" t="str">
            <v>0</v>
          </cell>
          <cell r="N304" t="str">
            <v>0</v>
          </cell>
          <cell r="O304" t="str">
            <v>0</v>
          </cell>
          <cell r="P304" t="str">
            <v>0</v>
          </cell>
        </row>
        <row r="305">
          <cell r="C305" t="str">
            <v>Total Locations</v>
          </cell>
          <cell r="D305" t="str">
            <v>Employee Deductions</v>
          </cell>
          <cell r="E305" t="str">
            <v>0</v>
          </cell>
          <cell r="F305" t="str">
            <v>0</v>
          </cell>
          <cell r="G305" t="str">
            <v>0</v>
          </cell>
          <cell r="H305" t="str">
            <v>0</v>
          </cell>
          <cell r="I305" t="str">
            <v>0</v>
          </cell>
          <cell r="J305" t="str">
            <v>0</v>
          </cell>
          <cell r="K305" t="str">
            <v>0</v>
          </cell>
          <cell r="L305" t="str">
            <v>0</v>
          </cell>
          <cell r="M305" t="str">
            <v>0</v>
          </cell>
          <cell r="N305" t="str">
            <v>0</v>
          </cell>
          <cell r="O305" t="str">
            <v>0</v>
          </cell>
          <cell r="P305" t="str">
            <v>0</v>
          </cell>
        </row>
        <row r="306">
          <cell r="C306" t="str">
            <v>Total Locations</v>
          </cell>
          <cell r="D306" t="str">
            <v>Training and Education</v>
          </cell>
          <cell r="E306">
            <v>144364.6471</v>
          </cell>
          <cell r="F306">
            <v>5423.45</v>
          </cell>
          <cell r="G306">
            <v>46761.712400000011</v>
          </cell>
          <cell r="H306">
            <v>47613.990600000012</v>
          </cell>
          <cell r="I306">
            <v>47778.414000000012</v>
          </cell>
          <cell r="J306">
            <v>47778.414000000012</v>
          </cell>
          <cell r="K306">
            <v>47778.414000000012</v>
          </cell>
          <cell r="L306">
            <v>47778.414000000012</v>
          </cell>
          <cell r="M306">
            <v>47778.414000000012</v>
          </cell>
          <cell r="N306">
            <v>47778.414000000012</v>
          </cell>
          <cell r="O306">
            <v>47778.414000000012</v>
          </cell>
          <cell r="P306">
            <v>47778.414000000012</v>
          </cell>
        </row>
        <row r="307">
          <cell r="C307" t="str">
            <v>Total Locations</v>
          </cell>
          <cell r="D307" t="str">
            <v>New Hire Orientation</v>
          </cell>
          <cell r="E307" t="str">
            <v>0</v>
          </cell>
          <cell r="F307" t="str">
            <v>0</v>
          </cell>
          <cell r="G307" t="str">
            <v>0</v>
          </cell>
          <cell r="H307" t="str">
            <v>0</v>
          </cell>
          <cell r="I307" t="str">
            <v>0</v>
          </cell>
          <cell r="J307" t="str">
            <v>0</v>
          </cell>
          <cell r="K307" t="str">
            <v>0</v>
          </cell>
          <cell r="L307" t="str">
            <v>0</v>
          </cell>
          <cell r="M307" t="str">
            <v>0</v>
          </cell>
          <cell r="N307" t="str">
            <v>0</v>
          </cell>
          <cell r="O307" t="str">
            <v>0</v>
          </cell>
          <cell r="P307" t="str">
            <v>0</v>
          </cell>
        </row>
        <row r="308">
          <cell r="C308" t="str">
            <v>Total Locations</v>
          </cell>
          <cell r="D308" t="str">
            <v>Program Development - Training</v>
          </cell>
          <cell r="E308" t="str">
            <v>0</v>
          </cell>
          <cell r="F308" t="str">
            <v>0</v>
          </cell>
          <cell r="G308" t="str">
            <v>0</v>
          </cell>
          <cell r="H308" t="str">
            <v>0</v>
          </cell>
          <cell r="I308" t="str">
            <v>0</v>
          </cell>
          <cell r="J308" t="str">
            <v>0</v>
          </cell>
          <cell r="K308" t="str">
            <v>0</v>
          </cell>
          <cell r="L308" t="str">
            <v>0</v>
          </cell>
          <cell r="M308" t="str">
            <v>0</v>
          </cell>
          <cell r="N308" t="str">
            <v>0</v>
          </cell>
          <cell r="O308" t="str">
            <v>0</v>
          </cell>
          <cell r="P308" t="str">
            <v>0</v>
          </cell>
        </row>
        <row r="309">
          <cell r="C309" t="str">
            <v>Total Locations</v>
          </cell>
          <cell r="D309" t="str">
            <v>Stock Compensation Charges</v>
          </cell>
          <cell r="E309" t="str">
            <v>0</v>
          </cell>
          <cell r="F309" t="str">
            <v>0</v>
          </cell>
          <cell r="G309" t="str">
            <v>0</v>
          </cell>
          <cell r="H309" t="str">
            <v>0</v>
          </cell>
          <cell r="I309" t="str">
            <v>0</v>
          </cell>
          <cell r="J309" t="str">
            <v>0</v>
          </cell>
          <cell r="K309" t="str">
            <v>0</v>
          </cell>
          <cell r="L309" t="str">
            <v>0</v>
          </cell>
          <cell r="M309" t="str">
            <v>0</v>
          </cell>
          <cell r="N309" t="str">
            <v>0</v>
          </cell>
          <cell r="O309" t="str">
            <v>0</v>
          </cell>
          <cell r="P309" t="str">
            <v>0</v>
          </cell>
        </row>
        <row r="310">
          <cell r="C310" t="str">
            <v>Total Locations</v>
          </cell>
          <cell r="D310" t="str">
            <v>Recruiting</v>
          </cell>
          <cell r="E310">
            <v>24691.500500000002</v>
          </cell>
          <cell r="F310">
            <v>14499.899899999999</v>
          </cell>
          <cell r="G310">
            <v>40000</v>
          </cell>
          <cell r="H310">
            <v>80000</v>
          </cell>
          <cell r="I310">
            <v>40000</v>
          </cell>
          <cell r="J310">
            <v>30000</v>
          </cell>
          <cell r="K310">
            <v>30000</v>
          </cell>
          <cell r="L310">
            <v>30000</v>
          </cell>
          <cell r="M310">
            <v>30000</v>
          </cell>
          <cell r="N310">
            <v>30000</v>
          </cell>
          <cell r="O310">
            <v>30000</v>
          </cell>
          <cell r="P310">
            <v>30000</v>
          </cell>
        </row>
        <row r="311">
          <cell r="C311" t="str">
            <v>Total Locations</v>
          </cell>
          <cell r="D311" t="str">
            <v>Contra Employee Exp</v>
          </cell>
          <cell r="E311" t="str">
            <v>0</v>
          </cell>
          <cell r="F311" t="str">
            <v>0</v>
          </cell>
          <cell r="G311" t="str">
            <v>0</v>
          </cell>
          <cell r="H311" t="str">
            <v>0</v>
          </cell>
          <cell r="I311" t="str">
            <v>0</v>
          </cell>
          <cell r="J311" t="str">
            <v>0</v>
          </cell>
          <cell r="K311" t="str">
            <v>0</v>
          </cell>
          <cell r="L311" t="str">
            <v>0</v>
          </cell>
          <cell r="M311" t="str">
            <v>0</v>
          </cell>
          <cell r="N311" t="str">
            <v>0</v>
          </cell>
          <cell r="O311" t="str">
            <v>0</v>
          </cell>
          <cell r="P311" t="str">
            <v>0</v>
          </cell>
        </row>
        <row r="312">
          <cell r="E312" t="str">
            <v>-</v>
          </cell>
          <cell r="F312" t="str">
            <v>-</v>
          </cell>
          <cell r="G312" t="str">
            <v>-</v>
          </cell>
          <cell r="H312" t="str">
            <v>-</v>
          </cell>
          <cell r="I312" t="str">
            <v>-</v>
          </cell>
          <cell r="J312" t="str">
            <v>-</v>
          </cell>
          <cell r="K312" t="str">
            <v>-</v>
          </cell>
          <cell r="L312" t="str">
            <v>-</v>
          </cell>
          <cell r="M312" t="str">
            <v>-</v>
          </cell>
          <cell r="N312" t="str">
            <v>-</v>
          </cell>
          <cell r="O312" t="str">
            <v>-</v>
          </cell>
          <cell r="P312" t="str">
            <v>-</v>
          </cell>
        </row>
        <row r="313">
          <cell r="C313" t="str">
            <v>Total Locations</v>
          </cell>
          <cell r="D313" t="str">
            <v>Employee Expenses</v>
          </cell>
          <cell r="E313">
            <v>2155109.1634</v>
          </cell>
          <cell r="F313">
            <v>1977167.6986</v>
          </cell>
          <cell r="G313">
            <v>1778503.5239000001</v>
          </cell>
          <cell r="H313">
            <v>2188843.2653000001</v>
          </cell>
          <cell r="I313">
            <v>2106387.1422999999</v>
          </cell>
          <cell r="J313">
            <v>2082770.3551999999</v>
          </cell>
          <cell r="K313">
            <v>2073575.9624000001</v>
          </cell>
          <cell r="L313">
            <v>2061619.7196000002</v>
          </cell>
          <cell r="M313">
            <v>2052565.3848000001</v>
          </cell>
          <cell r="N313">
            <v>2049366.5513000002</v>
          </cell>
          <cell r="O313">
            <v>2051998.2183000001</v>
          </cell>
          <cell r="P313">
            <v>2048111.8840000001</v>
          </cell>
        </row>
        <row r="316">
          <cell r="C316" t="str">
            <v>Total Locations</v>
          </cell>
          <cell r="D316" t="str">
            <v>Facility Costs</v>
          </cell>
          <cell r="E316">
            <v>689454.46310000005</v>
          </cell>
          <cell r="F316">
            <v>745805.35690000001</v>
          </cell>
          <cell r="G316">
            <v>557743.61119999993</v>
          </cell>
          <cell r="H316">
            <v>563804.11119999993</v>
          </cell>
          <cell r="I316">
            <v>565016.21120000002</v>
          </cell>
          <cell r="J316">
            <v>565016.21120000002</v>
          </cell>
          <cell r="K316">
            <v>565016.21120000002</v>
          </cell>
          <cell r="L316">
            <v>565016.21120000002</v>
          </cell>
          <cell r="M316">
            <v>565016.21120000002</v>
          </cell>
          <cell r="N316">
            <v>565016.21120000002</v>
          </cell>
          <cell r="O316">
            <v>565016.21120000002</v>
          </cell>
          <cell r="P316">
            <v>565016.21120000002</v>
          </cell>
        </row>
        <row r="317">
          <cell r="C317" t="str">
            <v>Total Locations</v>
          </cell>
          <cell r="D317" t="str">
            <v>Leasehold Depreciation Expense</v>
          </cell>
          <cell r="E317" t="str">
            <v>0</v>
          </cell>
          <cell r="F317" t="str">
            <v>0</v>
          </cell>
          <cell r="G317">
            <v>187829.82810000001</v>
          </cell>
          <cell r="H317">
            <v>158101.4062</v>
          </cell>
          <cell r="I317">
            <v>158101.4062</v>
          </cell>
          <cell r="J317">
            <v>158101.4062</v>
          </cell>
          <cell r="K317">
            <v>158101.4062</v>
          </cell>
          <cell r="L317">
            <v>158101.4062</v>
          </cell>
          <cell r="M317">
            <v>158101.4062</v>
          </cell>
          <cell r="N317">
            <v>158101.4062</v>
          </cell>
          <cell r="O317">
            <v>158101.4062</v>
          </cell>
          <cell r="P317">
            <v>158101.4062</v>
          </cell>
        </row>
        <row r="318">
          <cell r="C318" t="str">
            <v>Total Locations</v>
          </cell>
          <cell r="D318" t="str">
            <v>Deprec Expense - F&amp;F - Allocated</v>
          </cell>
          <cell r="E318" t="str">
            <v>0</v>
          </cell>
          <cell r="F318" t="str">
            <v>0</v>
          </cell>
          <cell r="G318" t="str">
            <v>0</v>
          </cell>
          <cell r="H318" t="str">
            <v>0</v>
          </cell>
          <cell r="I318" t="str">
            <v>0</v>
          </cell>
          <cell r="J318" t="str">
            <v>0</v>
          </cell>
          <cell r="K318" t="str">
            <v>0</v>
          </cell>
          <cell r="L318" t="str">
            <v>0</v>
          </cell>
          <cell r="M318" t="str">
            <v>0</v>
          </cell>
          <cell r="N318" t="str">
            <v>0</v>
          </cell>
          <cell r="O318" t="str">
            <v>0</v>
          </cell>
          <cell r="P318" t="str">
            <v>0</v>
          </cell>
        </row>
        <row r="319">
          <cell r="C319" t="str">
            <v>Total Locations</v>
          </cell>
          <cell r="D319" t="str">
            <v>Deprec Expense - Equipment - Allocated</v>
          </cell>
          <cell r="E319" t="str">
            <v>0</v>
          </cell>
          <cell r="F319" t="str">
            <v>0</v>
          </cell>
          <cell r="G319" t="str">
            <v>0</v>
          </cell>
          <cell r="H319" t="str">
            <v>0</v>
          </cell>
          <cell r="I319" t="str">
            <v>0</v>
          </cell>
          <cell r="J319" t="str">
            <v>0</v>
          </cell>
          <cell r="K319" t="str">
            <v>0</v>
          </cell>
          <cell r="L319" t="str">
            <v>0</v>
          </cell>
          <cell r="M319" t="str">
            <v>0</v>
          </cell>
          <cell r="N319" t="str">
            <v>0</v>
          </cell>
          <cell r="O319" t="str">
            <v>0</v>
          </cell>
          <cell r="P319" t="str">
            <v>0</v>
          </cell>
        </row>
        <row r="320">
          <cell r="C320" t="str">
            <v>Total Locations</v>
          </cell>
          <cell r="D320" t="str">
            <v>Deprec Expense - HC Contingent Assets - Direct</v>
          </cell>
          <cell r="E320" t="str">
            <v>0</v>
          </cell>
          <cell r="F320" t="str">
            <v>0</v>
          </cell>
          <cell r="G320" t="str">
            <v>0</v>
          </cell>
          <cell r="H320" t="str">
            <v>0</v>
          </cell>
          <cell r="I320" t="str">
            <v>0</v>
          </cell>
          <cell r="J320" t="str">
            <v>0</v>
          </cell>
          <cell r="K320" t="str">
            <v>0</v>
          </cell>
          <cell r="L320" t="str">
            <v>0</v>
          </cell>
          <cell r="M320" t="str">
            <v>0</v>
          </cell>
          <cell r="N320" t="str">
            <v>0</v>
          </cell>
          <cell r="O320" t="str">
            <v>0</v>
          </cell>
          <cell r="P320" t="str">
            <v>0</v>
          </cell>
        </row>
        <row r="321">
          <cell r="C321" t="str">
            <v>Total Locations</v>
          </cell>
          <cell r="D321" t="str">
            <v>Deprec Expense - Vehicles</v>
          </cell>
          <cell r="E321" t="str">
            <v>0</v>
          </cell>
          <cell r="F321" t="str">
            <v>0</v>
          </cell>
          <cell r="G321" t="str">
            <v>0</v>
          </cell>
          <cell r="H321" t="str">
            <v>0</v>
          </cell>
          <cell r="I321" t="str">
            <v>0</v>
          </cell>
          <cell r="J321" t="str">
            <v>0</v>
          </cell>
          <cell r="K321" t="str">
            <v>0</v>
          </cell>
          <cell r="L321" t="str">
            <v>0</v>
          </cell>
          <cell r="M321" t="str">
            <v>0</v>
          </cell>
          <cell r="N321" t="str">
            <v>0</v>
          </cell>
          <cell r="O321" t="str">
            <v>0</v>
          </cell>
          <cell r="P321" t="str">
            <v>0</v>
          </cell>
        </row>
        <row r="322">
          <cell r="C322" t="str">
            <v>Total Locations</v>
          </cell>
          <cell r="D322" t="str">
            <v>Deprec Expense - HC Contingent Assets - Allocated</v>
          </cell>
          <cell r="E322" t="str">
            <v>0</v>
          </cell>
          <cell r="F322" t="str">
            <v>0</v>
          </cell>
          <cell r="G322" t="str">
            <v>0</v>
          </cell>
          <cell r="H322" t="str">
            <v>0</v>
          </cell>
          <cell r="I322" t="str">
            <v>0</v>
          </cell>
          <cell r="J322" t="str">
            <v>0</v>
          </cell>
          <cell r="K322" t="str">
            <v>0</v>
          </cell>
          <cell r="L322" t="str">
            <v>0</v>
          </cell>
          <cell r="M322" t="str">
            <v>0</v>
          </cell>
          <cell r="N322" t="str">
            <v>0</v>
          </cell>
          <cell r="O322" t="str">
            <v>0</v>
          </cell>
          <cell r="P322" t="str">
            <v>0</v>
          </cell>
        </row>
        <row r="323">
          <cell r="C323" t="str">
            <v>Total Locations</v>
          </cell>
          <cell r="D323" t="str">
            <v>Deprec Expense - Low Value Computer Equip - Direct</v>
          </cell>
          <cell r="E323" t="str">
            <v>0</v>
          </cell>
          <cell r="F323" t="str">
            <v>0</v>
          </cell>
          <cell r="G323" t="str">
            <v>0</v>
          </cell>
          <cell r="H323" t="str">
            <v>0</v>
          </cell>
          <cell r="I323" t="str">
            <v>0</v>
          </cell>
          <cell r="J323" t="str">
            <v>0</v>
          </cell>
          <cell r="K323" t="str">
            <v>0</v>
          </cell>
          <cell r="L323" t="str">
            <v>0</v>
          </cell>
          <cell r="M323" t="str">
            <v>0</v>
          </cell>
          <cell r="N323" t="str">
            <v>0</v>
          </cell>
          <cell r="O323" t="str">
            <v>0</v>
          </cell>
          <cell r="P323" t="str">
            <v>0</v>
          </cell>
        </row>
        <row r="324">
          <cell r="C324" t="str">
            <v>Total Locations</v>
          </cell>
          <cell r="D324" t="str">
            <v>Deprec Expense - Technology Infrastructure</v>
          </cell>
          <cell r="E324" t="str">
            <v>0</v>
          </cell>
          <cell r="F324" t="str">
            <v>0</v>
          </cell>
          <cell r="G324" t="str">
            <v>0</v>
          </cell>
          <cell r="H324" t="str">
            <v>0</v>
          </cell>
          <cell r="I324" t="str">
            <v>0</v>
          </cell>
          <cell r="J324" t="str">
            <v>0</v>
          </cell>
          <cell r="K324" t="str">
            <v>0</v>
          </cell>
          <cell r="L324" t="str">
            <v>0</v>
          </cell>
          <cell r="M324" t="str">
            <v>0</v>
          </cell>
          <cell r="N324" t="str">
            <v>0</v>
          </cell>
          <cell r="O324" t="str">
            <v>0</v>
          </cell>
          <cell r="P324" t="str">
            <v>0</v>
          </cell>
        </row>
        <row r="325">
          <cell r="C325" t="str">
            <v>Total Locations</v>
          </cell>
          <cell r="D325" t="str">
            <v>Deprec Expense - Internal Software Develop Salaries</v>
          </cell>
          <cell r="E325" t="str">
            <v>0</v>
          </cell>
          <cell r="F325" t="str">
            <v>0</v>
          </cell>
          <cell r="G325" t="str">
            <v>0</v>
          </cell>
          <cell r="H325" t="str">
            <v>0</v>
          </cell>
          <cell r="I325" t="str">
            <v>0</v>
          </cell>
          <cell r="J325" t="str">
            <v>0</v>
          </cell>
          <cell r="K325" t="str">
            <v>0</v>
          </cell>
          <cell r="L325" t="str">
            <v>0</v>
          </cell>
          <cell r="M325" t="str">
            <v>0</v>
          </cell>
          <cell r="N325" t="str">
            <v>0</v>
          </cell>
          <cell r="O325" t="str">
            <v>0</v>
          </cell>
          <cell r="P325" t="str">
            <v>0</v>
          </cell>
        </row>
        <row r="326">
          <cell r="C326" t="str">
            <v>Total Locations</v>
          </cell>
          <cell r="D326" t="str">
            <v>Deprec Expense - Software</v>
          </cell>
          <cell r="E326" t="str">
            <v>0</v>
          </cell>
          <cell r="F326" t="str">
            <v>0</v>
          </cell>
          <cell r="G326" t="str">
            <v>0</v>
          </cell>
          <cell r="H326" t="str">
            <v>0</v>
          </cell>
          <cell r="I326" t="str">
            <v>0</v>
          </cell>
          <cell r="J326" t="str">
            <v>0</v>
          </cell>
          <cell r="K326" t="str">
            <v>0</v>
          </cell>
          <cell r="L326" t="str">
            <v>0</v>
          </cell>
          <cell r="M326" t="str">
            <v>0</v>
          </cell>
          <cell r="N326" t="str">
            <v>0</v>
          </cell>
          <cell r="O326" t="str">
            <v>0</v>
          </cell>
          <cell r="P326" t="str">
            <v>0</v>
          </cell>
        </row>
        <row r="327">
          <cell r="C327" t="str">
            <v>Total Locations</v>
          </cell>
          <cell r="D327" t="str">
            <v>Deprec Expense - F&amp;F - Direct</v>
          </cell>
          <cell r="E327" t="str">
            <v>0</v>
          </cell>
          <cell r="F327" t="str">
            <v>0</v>
          </cell>
          <cell r="G327" t="str">
            <v>0</v>
          </cell>
          <cell r="H327" t="str">
            <v>0</v>
          </cell>
          <cell r="I327" t="str">
            <v>0</v>
          </cell>
          <cell r="J327" t="str">
            <v>0</v>
          </cell>
          <cell r="K327" t="str">
            <v>0</v>
          </cell>
          <cell r="L327" t="str">
            <v>0</v>
          </cell>
          <cell r="M327" t="str">
            <v>0</v>
          </cell>
          <cell r="N327" t="str">
            <v>0</v>
          </cell>
          <cell r="O327" t="str">
            <v>0</v>
          </cell>
          <cell r="P327" t="str">
            <v>0</v>
          </cell>
        </row>
        <row r="328">
          <cell r="C328" t="str">
            <v>Total Locations</v>
          </cell>
          <cell r="D328" t="str">
            <v>Deprec Expense - Equipment - Direct</v>
          </cell>
          <cell r="E328">
            <v>1195723.2840999998</v>
          </cell>
          <cell r="F328">
            <v>1138517.2801999999</v>
          </cell>
          <cell r="G328">
            <v>1071827.6878</v>
          </cell>
          <cell r="H328">
            <v>1139063.0745000001</v>
          </cell>
          <cell r="I328">
            <v>1095546.2046000001</v>
          </cell>
          <cell r="J328">
            <v>1088413.9234</v>
          </cell>
          <cell r="K328">
            <v>705328.03469999996</v>
          </cell>
          <cell r="L328">
            <v>645376.74190000002</v>
          </cell>
          <cell r="M328">
            <v>641705.5915000001</v>
          </cell>
          <cell r="N328">
            <v>629168.549</v>
          </cell>
          <cell r="O328">
            <v>593156.49419999996</v>
          </cell>
          <cell r="P328">
            <v>582732.37399999995</v>
          </cell>
        </row>
        <row r="329">
          <cell r="C329" t="str">
            <v>Total Locations</v>
          </cell>
          <cell r="D329" t="str">
            <v>Deprec Expense - Heavy Equipment</v>
          </cell>
          <cell r="E329" t="str">
            <v>0</v>
          </cell>
          <cell r="F329" t="str">
            <v>0</v>
          </cell>
          <cell r="G329" t="str">
            <v>0</v>
          </cell>
          <cell r="H329" t="str">
            <v>0</v>
          </cell>
          <cell r="I329" t="str">
            <v>0</v>
          </cell>
          <cell r="J329" t="str">
            <v>0</v>
          </cell>
          <cell r="K329" t="str">
            <v>0</v>
          </cell>
          <cell r="L329" t="str">
            <v>0</v>
          </cell>
          <cell r="M329" t="str">
            <v>0</v>
          </cell>
          <cell r="N329" t="str">
            <v>0</v>
          </cell>
          <cell r="O329" t="str">
            <v>0</v>
          </cell>
          <cell r="P329" t="str">
            <v>0</v>
          </cell>
        </row>
        <row r="330">
          <cell r="C330" t="str">
            <v>Total Locations</v>
          </cell>
          <cell r="D330" t="str">
            <v>Deprec Expense - Capital Lease</v>
          </cell>
          <cell r="E330" t="str">
            <v>0</v>
          </cell>
          <cell r="F330" t="str">
            <v>0</v>
          </cell>
          <cell r="G330" t="str">
            <v>0</v>
          </cell>
          <cell r="H330" t="str">
            <v>0</v>
          </cell>
          <cell r="I330" t="str">
            <v>0</v>
          </cell>
          <cell r="J330" t="str">
            <v>0</v>
          </cell>
          <cell r="K330" t="str">
            <v>0</v>
          </cell>
          <cell r="L330" t="str">
            <v>0</v>
          </cell>
          <cell r="M330" t="str">
            <v>0</v>
          </cell>
          <cell r="N330" t="str">
            <v>0</v>
          </cell>
          <cell r="O330" t="str">
            <v>0</v>
          </cell>
          <cell r="P330" t="str">
            <v>0</v>
          </cell>
        </row>
        <row r="332">
          <cell r="C332" t="str">
            <v>(Hide)</v>
          </cell>
          <cell r="D332" t="str">
            <v>(Hide)</v>
          </cell>
          <cell r="E332" t="str">
            <v>Actl</v>
          </cell>
          <cell r="F332" t="str">
            <v>Actl</v>
          </cell>
          <cell r="G332" t="str">
            <v>Actl</v>
          </cell>
          <cell r="H332" t="str">
            <v>Actl</v>
          </cell>
          <cell r="I332" t="str">
            <v>Actl</v>
          </cell>
          <cell r="J332" t="str">
            <v>Actl</v>
          </cell>
          <cell r="K332" t="str">
            <v>Actl</v>
          </cell>
          <cell r="L332" t="str">
            <v>Actl</v>
          </cell>
          <cell r="M332" t="str">
            <v>Actl</v>
          </cell>
          <cell r="N332" t="str">
            <v>Actl</v>
          </cell>
          <cell r="O332" t="str">
            <v>Actl</v>
          </cell>
          <cell r="P332" t="str">
            <v>Actl</v>
          </cell>
        </row>
        <row r="333">
          <cell r="E333">
            <v>36892</v>
          </cell>
          <cell r="F333">
            <v>36923</v>
          </cell>
          <cell r="G333">
            <v>36951</v>
          </cell>
          <cell r="H333">
            <v>36982</v>
          </cell>
          <cell r="I333">
            <v>37012</v>
          </cell>
          <cell r="J333">
            <v>37043</v>
          </cell>
          <cell r="K333">
            <v>37073</v>
          </cell>
          <cell r="L333">
            <v>37104</v>
          </cell>
          <cell r="M333">
            <v>37135</v>
          </cell>
          <cell r="N333">
            <v>37165</v>
          </cell>
          <cell r="O333">
            <v>37196</v>
          </cell>
          <cell r="P333">
            <v>37226</v>
          </cell>
        </row>
        <row r="335">
          <cell r="C335" t="str">
            <v>Total Locations</v>
          </cell>
          <cell r="D335" t="str">
            <v>Operating Leases - Technology Infrastructure</v>
          </cell>
          <cell r="E335">
            <v>3928994.9240000001</v>
          </cell>
          <cell r="F335">
            <v>3708854.2549000001</v>
          </cell>
          <cell r="G335">
            <v>4273925.7969000004</v>
          </cell>
          <cell r="H335">
            <v>4305753.9219000004</v>
          </cell>
          <cell r="I335">
            <v>4400508.1719000004</v>
          </cell>
          <cell r="J335">
            <v>4588588.2344000004</v>
          </cell>
          <cell r="K335">
            <v>2780859.375</v>
          </cell>
          <cell r="L335">
            <v>2945859.375</v>
          </cell>
          <cell r="M335">
            <v>3090820.2656</v>
          </cell>
          <cell r="N335">
            <v>3180381.2969</v>
          </cell>
          <cell r="O335">
            <v>3265790.9844</v>
          </cell>
          <cell r="P335">
            <v>3268074.1562000001</v>
          </cell>
        </row>
        <row r="336">
          <cell r="C336" t="str">
            <v>Total Locations</v>
          </cell>
          <cell r="D336" t="str">
            <v>Operating Leases - Computer</v>
          </cell>
          <cell r="E336" t="str">
            <v>0</v>
          </cell>
          <cell r="F336" t="str">
            <v>0</v>
          </cell>
          <cell r="G336" t="str">
            <v>0</v>
          </cell>
          <cell r="H336" t="str">
            <v>0</v>
          </cell>
          <cell r="I336" t="str">
            <v>0</v>
          </cell>
          <cell r="J336" t="str">
            <v>0</v>
          </cell>
          <cell r="K336" t="str">
            <v>0</v>
          </cell>
          <cell r="L336" t="str">
            <v>0</v>
          </cell>
          <cell r="M336" t="str">
            <v>0</v>
          </cell>
          <cell r="N336" t="str">
            <v>0</v>
          </cell>
          <cell r="O336" t="str">
            <v>0</v>
          </cell>
          <cell r="P336" t="str">
            <v>0</v>
          </cell>
        </row>
        <row r="337">
          <cell r="C337" t="str">
            <v>Total Locations</v>
          </cell>
          <cell r="D337" t="str">
            <v>Operating Leases - Equipment</v>
          </cell>
          <cell r="E337" t="str">
            <v>0</v>
          </cell>
          <cell r="F337" t="str">
            <v>0</v>
          </cell>
          <cell r="G337" t="str">
            <v>0</v>
          </cell>
          <cell r="H337" t="str">
            <v>0</v>
          </cell>
          <cell r="I337" t="str">
            <v>0</v>
          </cell>
          <cell r="J337" t="str">
            <v>0</v>
          </cell>
          <cell r="K337" t="str">
            <v>0</v>
          </cell>
          <cell r="L337" t="str">
            <v>0</v>
          </cell>
          <cell r="M337" t="str">
            <v>0</v>
          </cell>
          <cell r="N337" t="str">
            <v>0</v>
          </cell>
          <cell r="O337" t="str">
            <v>0</v>
          </cell>
          <cell r="P337" t="str">
            <v>0</v>
          </cell>
        </row>
        <row r="338">
          <cell r="C338" t="str">
            <v>Total Locations</v>
          </cell>
          <cell r="D338" t="str">
            <v>Office Relocation Expense</v>
          </cell>
          <cell r="E338" t="str">
            <v>0</v>
          </cell>
          <cell r="F338" t="str">
            <v>0</v>
          </cell>
          <cell r="G338" t="str">
            <v>0</v>
          </cell>
          <cell r="H338" t="str">
            <v>0</v>
          </cell>
          <cell r="I338" t="str">
            <v>0</v>
          </cell>
          <cell r="J338" t="str">
            <v>0</v>
          </cell>
          <cell r="K338" t="str">
            <v>0</v>
          </cell>
          <cell r="L338" t="str">
            <v>0</v>
          </cell>
          <cell r="M338" t="str">
            <v>0</v>
          </cell>
          <cell r="N338" t="str">
            <v>0</v>
          </cell>
          <cell r="O338" t="str">
            <v>0</v>
          </cell>
          <cell r="P338" t="str">
            <v>0</v>
          </cell>
        </row>
        <row r="339">
          <cell r="C339" t="str">
            <v>Total Locations</v>
          </cell>
          <cell r="D339" t="str">
            <v>Software Expense</v>
          </cell>
          <cell r="E339" t="str">
            <v>0</v>
          </cell>
          <cell r="F339" t="str">
            <v>0</v>
          </cell>
          <cell r="G339" t="str">
            <v>0</v>
          </cell>
          <cell r="H339" t="str">
            <v>0</v>
          </cell>
          <cell r="I339" t="str">
            <v>0</v>
          </cell>
          <cell r="J339" t="str">
            <v>0</v>
          </cell>
          <cell r="K339" t="str">
            <v>0</v>
          </cell>
          <cell r="L339" t="str">
            <v>0</v>
          </cell>
          <cell r="M339" t="str">
            <v>0</v>
          </cell>
          <cell r="N339" t="str">
            <v>0</v>
          </cell>
          <cell r="O339" t="str">
            <v>0</v>
          </cell>
          <cell r="P339" t="str">
            <v>0</v>
          </cell>
        </row>
        <row r="340">
          <cell r="C340" t="str">
            <v>Total Locations</v>
          </cell>
          <cell r="D340" t="str">
            <v>Software Licenses</v>
          </cell>
          <cell r="E340">
            <v>100000</v>
          </cell>
          <cell r="F340">
            <v>100000</v>
          </cell>
          <cell r="G340">
            <v>100000</v>
          </cell>
          <cell r="H340">
            <v>100000</v>
          </cell>
          <cell r="I340">
            <v>100000</v>
          </cell>
          <cell r="J340">
            <v>100000</v>
          </cell>
          <cell r="K340">
            <v>100000</v>
          </cell>
          <cell r="L340">
            <v>100000</v>
          </cell>
          <cell r="M340">
            <v>100000</v>
          </cell>
          <cell r="N340">
            <v>100000</v>
          </cell>
          <cell r="O340">
            <v>100000</v>
          </cell>
          <cell r="P340">
            <v>100000</v>
          </cell>
        </row>
        <row r="341">
          <cell r="C341" t="str">
            <v>Total Locations</v>
          </cell>
          <cell r="D341" t="str">
            <v>Software &amp; Hardware Maintenance</v>
          </cell>
          <cell r="E341">
            <v>733399.45260000008</v>
          </cell>
          <cell r="F341">
            <v>692787.16910000006</v>
          </cell>
          <cell r="G341">
            <v>717222.98439999996</v>
          </cell>
          <cell r="H341">
            <v>753533.73439999996</v>
          </cell>
          <cell r="I341">
            <v>760344.48439999996</v>
          </cell>
          <cell r="J341">
            <v>767155.26569999999</v>
          </cell>
          <cell r="K341">
            <v>726301.85939999996</v>
          </cell>
          <cell r="L341">
            <v>729839.45310000004</v>
          </cell>
          <cell r="M341">
            <v>733377.04689999996</v>
          </cell>
          <cell r="N341">
            <v>722844.64069999999</v>
          </cell>
          <cell r="O341">
            <v>725062.26569999999</v>
          </cell>
          <cell r="P341">
            <v>676236.76569999999</v>
          </cell>
        </row>
        <row r="342">
          <cell r="C342" t="str">
            <v>Total Locations</v>
          </cell>
          <cell r="D342" t="str">
            <v>Equipment &lt; $2,000 - Direct</v>
          </cell>
          <cell r="E342">
            <v>-7585.6811999999991</v>
          </cell>
          <cell r="F342">
            <v>40827.230800000005</v>
          </cell>
          <cell r="G342">
            <v>57514.903299999998</v>
          </cell>
          <cell r="H342">
            <v>57514.903299999998</v>
          </cell>
          <cell r="I342">
            <v>57514.903299999998</v>
          </cell>
          <cell r="J342">
            <v>57514.903299999998</v>
          </cell>
          <cell r="K342">
            <v>57514.903299999998</v>
          </cell>
          <cell r="L342">
            <v>57514.903299999998</v>
          </cell>
          <cell r="M342">
            <v>57514.903299999998</v>
          </cell>
          <cell r="N342">
            <v>57514.903299999998</v>
          </cell>
          <cell r="O342">
            <v>57514.903299999998</v>
          </cell>
          <cell r="P342">
            <v>57514.903299999998</v>
          </cell>
        </row>
        <row r="343">
          <cell r="C343" t="str">
            <v>Total Locations</v>
          </cell>
          <cell r="D343" t="str">
            <v>Equipment &lt; $2,000 - Allocated</v>
          </cell>
          <cell r="E343" t="str">
            <v>0</v>
          </cell>
          <cell r="F343" t="str">
            <v>0</v>
          </cell>
          <cell r="G343" t="str">
            <v>0</v>
          </cell>
          <cell r="H343" t="str">
            <v>0</v>
          </cell>
          <cell r="I343" t="str">
            <v>0</v>
          </cell>
          <cell r="J343" t="str">
            <v>0</v>
          </cell>
          <cell r="K343" t="str">
            <v>0</v>
          </cell>
          <cell r="L343" t="str">
            <v>0</v>
          </cell>
          <cell r="M343" t="str">
            <v>0</v>
          </cell>
          <cell r="N343" t="str">
            <v>0</v>
          </cell>
          <cell r="O343" t="str">
            <v>0</v>
          </cell>
          <cell r="P343" t="str">
            <v>0</v>
          </cell>
        </row>
        <row r="344">
          <cell r="C344" t="str">
            <v>Total Locations</v>
          </cell>
          <cell r="D344" t="str">
            <v>Low Valued Equipment</v>
          </cell>
          <cell r="E344" t="str">
            <v>0</v>
          </cell>
          <cell r="F344" t="str">
            <v>0</v>
          </cell>
          <cell r="G344" t="str">
            <v>0</v>
          </cell>
          <cell r="H344" t="str">
            <v>0</v>
          </cell>
          <cell r="I344" t="str">
            <v>0</v>
          </cell>
          <cell r="J344" t="str">
            <v>0</v>
          </cell>
          <cell r="K344" t="str">
            <v>0</v>
          </cell>
          <cell r="L344" t="str">
            <v>0</v>
          </cell>
          <cell r="M344" t="str">
            <v>0</v>
          </cell>
          <cell r="N344" t="str">
            <v>0</v>
          </cell>
          <cell r="O344" t="str">
            <v>0</v>
          </cell>
          <cell r="P344" t="str">
            <v>0</v>
          </cell>
        </row>
        <row r="345">
          <cell r="C345" t="str">
            <v>Total Locations</v>
          </cell>
          <cell r="D345" t="str">
            <v>LEC Charges - Voice</v>
          </cell>
          <cell r="E345">
            <v>55000</v>
          </cell>
          <cell r="F345">
            <v>55000</v>
          </cell>
          <cell r="G345">
            <v>55000</v>
          </cell>
          <cell r="H345">
            <v>55000</v>
          </cell>
          <cell r="I345">
            <v>55000</v>
          </cell>
          <cell r="J345">
            <v>55000</v>
          </cell>
          <cell r="K345">
            <v>55000</v>
          </cell>
          <cell r="L345">
            <v>55000</v>
          </cell>
          <cell r="M345">
            <v>55000</v>
          </cell>
          <cell r="N345">
            <v>55000</v>
          </cell>
          <cell r="O345">
            <v>55000</v>
          </cell>
          <cell r="P345">
            <v>55000</v>
          </cell>
        </row>
        <row r="346">
          <cell r="C346" t="str">
            <v>Total Locations</v>
          </cell>
          <cell r="D346" t="str">
            <v>Telephone - Dial-up 800 Service</v>
          </cell>
          <cell r="E346">
            <v>68000</v>
          </cell>
          <cell r="F346">
            <v>61000</v>
          </cell>
          <cell r="G346">
            <v>56000</v>
          </cell>
          <cell r="H346">
            <v>49000</v>
          </cell>
          <cell r="I346">
            <v>49000</v>
          </cell>
          <cell r="J346">
            <v>49000</v>
          </cell>
          <cell r="K346">
            <v>49000</v>
          </cell>
          <cell r="L346">
            <v>49000</v>
          </cell>
          <cell r="M346">
            <v>49000</v>
          </cell>
          <cell r="N346">
            <v>55000</v>
          </cell>
          <cell r="O346">
            <v>60000</v>
          </cell>
          <cell r="P346">
            <v>60000</v>
          </cell>
        </row>
        <row r="347">
          <cell r="C347" t="str">
            <v>Total Locations</v>
          </cell>
          <cell r="D347" t="str">
            <v>Telephone - Dial-up Hub Service</v>
          </cell>
          <cell r="E347">
            <v>-427203.84000000003</v>
          </cell>
          <cell r="F347">
            <v>-385191.04</v>
          </cell>
          <cell r="G347">
            <v>-393151.36</v>
          </cell>
          <cell r="H347">
            <v>-394920.32</v>
          </cell>
          <cell r="I347">
            <v>-395583.68</v>
          </cell>
          <cell r="J347">
            <v>-393814.72</v>
          </cell>
          <cell r="K347">
            <v>-393814.72</v>
          </cell>
          <cell r="L347">
            <v>-384969.92</v>
          </cell>
          <cell r="M347">
            <v>-383864.32000000001</v>
          </cell>
          <cell r="N347">
            <v>-380326.40000000002</v>
          </cell>
          <cell r="O347">
            <v>-372587.2</v>
          </cell>
          <cell r="P347">
            <v>-373029.44</v>
          </cell>
        </row>
        <row r="348">
          <cell r="C348" t="str">
            <v>Total Locations</v>
          </cell>
          <cell r="D348" t="str">
            <v>Telephone - Long Distance</v>
          </cell>
          <cell r="E348">
            <v>65000</v>
          </cell>
          <cell r="F348">
            <v>52000</v>
          </cell>
          <cell r="G348">
            <v>48000</v>
          </cell>
          <cell r="H348">
            <v>48000</v>
          </cell>
          <cell r="I348">
            <v>48000</v>
          </cell>
          <cell r="J348">
            <v>48000</v>
          </cell>
          <cell r="K348">
            <v>48000</v>
          </cell>
          <cell r="L348">
            <v>48000</v>
          </cell>
          <cell r="M348">
            <v>-40000</v>
          </cell>
          <cell r="N348">
            <v>52000</v>
          </cell>
          <cell r="O348">
            <v>57000</v>
          </cell>
          <cell r="P348">
            <v>70000</v>
          </cell>
        </row>
        <row r="349">
          <cell r="C349" t="str">
            <v>Total Locations</v>
          </cell>
          <cell r="D349" t="str">
            <v>Telephone - Pagers</v>
          </cell>
          <cell r="E349">
            <v>48000</v>
          </cell>
          <cell r="F349">
            <v>35000</v>
          </cell>
          <cell r="G349">
            <v>32000</v>
          </cell>
          <cell r="H349">
            <v>31000</v>
          </cell>
          <cell r="I349">
            <v>31000</v>
          </cell>
          <cell r="J349">
            <v>31000</v>
          </cell>
          <cell r="K349">
            <v>31000</v>
          </cell>
          <cell r="L349">
            <v>31000</v>
          </cell>
          <cell r="M349">
            <v>31000</v>
          </cell>
          <cell r="N349">
            <v>36000</v>
          </cell>
          <cell r="O349">
            <v>44000</v>
          </cell>
          <cell r="P349">
            <v>44000</v>
          </cell>
        </row>
        <row r="350">
          <cell r="C350" t="str">
            <v>Total Locations</v>
          </cell>
          <cell r="D350" t="str">
            <v>Telephone - Direct</v>
          </cell>
          <cell r="E350" t="str">
            <v>0</v>
          </cell>
          <cell r="F350" t="str">
            <v>0</v>
          </cell>
          <cell r="G350" t="str">
            <v>0</v>
          </cell>
          <cell r="H350" t="str">
            <v>0</v>
          </cell>
          <cell r="I350" t="str">
            <v>0</v>
          </cell>
          <cell r="J350" t="str">
            <v>0</v>
          </cell>
          <cell r="K350" t="str">
            <v>0</v>
          </cell>
          <cell r="L350" t="str">
            <v>0</v>
          </cell>
          <cell r="M350" t="str">
            <v>0</v>
          </cell>
          <cell r="N350" t="str">
            <v>0</v>
          </cell>
          <cell r="O350" t="str">
            <v>0</v>
          </cell>
          <cell r="P350" t="str">
            <v>0</v>
          </cell>
        </row>
        <row r="351">
          <cell r="C351" t="str">
            <v>Total Locations</v>
          </cell>
          <cell r="D351" t="str">
            <v>800 # Charges</v>
          </cell>
          <cell r="E351" t="str">
            <v>0</v>
          </cell>
          <cell r="F351" t="str">
            <v>0</v>
          </cell>
          <cell r="G351" t="str">
            <v>0</v>
          </cell>
          <cell r="H351" t="str">
            <v>0</v>
          </cell>
          <cell r="I351" t="str">
            <v>0</v>
          </cell>
          <cell r="J351" t="str">
            <v>0</v>
          </cell>
          <cell r="K351" t="str">
            <v>0</v>
          </cell>
          <cell r="L351" t="str">
            <v>0</v>
          </cell>
          <cell r="M351" t="str">
            <v>0</v>
          </cell>
          <cell r="N351" t="str">
            <v>0</v>
          </cell>
          <cell r="O351" t="str">
            <v>0</v>
          </cell>
          <cell r="P351" t="str">
            <v>0</v>
          </cell>
        </row>
        <row r="352">
          <cell r="C352" t="str">
            <v>Total Locations</v>
          </cell>
          <cell r="D352" t="str">
            <v>Audio &amp; Video Conferencing</v>
          </cell>
          <cell r="E352">
            <v>62000</v>
          </cell>
          <cell r="F352">
            <v>58000</v>
          </cell>
          <cell r="G352">
            <v>32000</v>
          </cell>
          <cell r="H352">
            <v>32000</v>
          </cell>
          <cell r="I352">
            <v>32000</v>
          </cell>
          <cell r="J352">
            <v>32000</v>
          </cell>
          <cell r="K352">
            <v>32000</v>
          </cell>
          <cell r="L352">
            <v>32000</v>
          </cell>
          <cell r="M352">
            <v>32000</v>
          </cell>
          <cell r="N352">
            <v>32000</v>
          </cell>
          <cell r="O352">
            <v>50000</v>
          </cell>
          <cell r="P352">
            <v>68000</v>
          </cell>
        </row>
        <row r="353">
          <cell r="C353" t="str">
            <v>Total Locations</v>
          </cell>
          <cell r="D353" t="str">
            <v>Cellular Service</v>
          </cell>
          <cell r="E353">
            <v>135000</v>
          </cell>
          <cell r="F353">
            <v>112000</v>
          </cell>
          <cell r="G353">
            <v>112000</v>
          </cell>
          <cell r="H353">
            <v>112000</v>
          </cell>
          <cell r="I353">
            <v>112000</v>
          </cell>
          <cell r="J353">
            <v>112000</v>
          </cell>
          <cell r="K353">
            <v>112000</v>
          </cell>
          <cell r="L353">
            <v>112000</v>
          </cell>
          <cell r="M353">
            <v>112000</v>
          </cell>
          <cell r="N353">
            <v>112000</v>
          </cell>
          <cell r="O353">
            <v>112000</v>
          </cell>
          <cell r="P353">
            <v>112000</v>
          </cell>
        </row>
        <row r="354">
          <cell r="C354" t="str">
            <v>Total Locations</v>
          </cell>
          <cell r="D354" t="str">
            <v>Internet Service Provider Charges</v>
          </cell>
          <cell r="E354">
            <v>636677.75</v>
          </cell>
          <cell r="F354">
            <v>1561684.875</v>
          </cell>
          <cell r="G354">
            <v>1030000</v>
          </cell>
          <cell r="H354">
            <v>980000</v>
          </cell>
          <cell r="I354">
            <v>930000</v>
          </cell>
          <cell r="J354">
            <v>880000</v>
          </cell>
          <cell r="K354">
            <v>863333</v>
          </cell>
          <cell r="L354">
            <v>863333</v>
          </cell>
          <cell r="M354">
            <v>863334</v>
          </cell>
          <cell r="N354">
            <v>863333</v>
          </cell>
          <cell r="O354">
            <v>863333</v>
          </cell>
          <cell r="P354">
            <v>863334</v>
          </cell>
        </row>
        <row r="355">
          <cell r="C355" t="str">
            <v>Total Locations</v>
          </cell>
          <cell r="D355" t="str">
            <v>LEC Charges</v>
          </cell>
          <cell r="E355" t="str">
            <v>0</v>
          </cell>
          <cell r="F355" t="str">
            <v>0</v>
          </cell>
          <cell r="G355" t="str">
            <v>0</v>
          </cell>
          <cell r="H355" t="str">
            <v>0</v>
          </cell>
          <cell r="I355" t="str">
            <v>0</v>
          </cell>
          <cell r="J355" t="str">
            <v>0</v>
          </cell>
          <cell r="K355" t="str">
            <v>0</v>
          </cell>
          <cell r="L355" t="str">
            <v>0</v>
          </cell>
          <cell r="M355" t="str">
            <v>0</v>
          </cell>
          <cell r="N355" t="str">
            <v>0</v>
          </cell>
          <cell r="O355" t="str">
            <v>0</v>
          </cell>
          <cell r="P355" t="str">
            <v>0</v>
          </cell>
        </row>
        <row r="356">
          <cell r="C356" t="str">
            <v>Total Locations</v>
          </cell>
          <cell r="D356" t="str">
            <v>IXC Charges</v>
          </cell>
          <cell r="E356" t="str">
            <v>0</v>
          </cell>
          <cell r="F356" t="str">
            <v>0</v>
          </cell>
          <cell r="G356" t="str">
            <v>0</v>
          </cell>
          <cell r="H356" t="str">
            <v>0</v>
          </cell>
          <cell r="I356" t="str">
            <v>0</v>
          </cell>
          <cell r="J356" t="str">
            <v>0</v>
          </cell>
          <cell r="K356" t="str">
            <v>0</v>
          </cell>
          <cell r="L356" t="str">
            <v>0</v>
          </cell>
          <cell r="M356" t="str">
            <v>0</v>
          </cell>
          <cell r="N356" t="str">
            <v>0</v>
          </cell>
          <cell r="O356" t="str">
            <v>0</v>
          </cell>
          <cell r="P356" t="str">
            <v>0</v>
          </cell>
        </row>
        <row r="357">
          <cell r="C357" t="str">
            <v>Total Locations</v>
          </cell>
          <cell r="D357" t="str">
            <v>VOX Voice Connection Charges (History 6/97 - 2/99)</v>
          </cell>
          <cell r="E357" t="str">
            <v>0</v>
          </cell>
          <cell r="F357" t="str">
            <v>0</v>
          </cell>
          <cell r="G357" t="str">
            <v>0</v>
          </cell>
          <cell r="H357" t="str">
            <v>0</v>
          </cell>
          <cell r="I357" t="str">
            <v>0</v>
          </cell>
          <cell r="J357" t="str">
            <v>0</v>
          </cell>
          <cell r="K357" t="str">
            <v>0</v>
          </cell>
          <cell r="L357" t="str">
            <v>0</v>
          </cell>
          <cell r="M357" t="str">
            <v>0</v>
          </cell>
          <cell r="N357" t="str">
            <v>0</v>
          </cell>
          <cell r="O357" t="str">
            <v>0</v>
          </cell>
          <cell r="P357" t="str">
            <v>0</v>
          </cell>
        </row>
        <row r="358">
          <cell r="C358" t="str">
            <v>Total Locations</v>
          </cell>
          <cell r="D358" t="str">
            <v>Operating Leases - Telecom</v>
          </cell>
          <cell r="E358" t="str">
            <v>0</v>
          </cell>
          <cell r="F358" t="str">
            <v>0</v>
          </cell>
          <cell r="G358" t="str">
            <v>0</v>
          </cell>
          <cell r="H358" t="str">
            <v>0</v>
          </cell>
          <cell r="I358" t="str">
            <v>0</v>
          </cell>
          <cell r="J358" t="str">
            <v>0</v>
          </cell>
          <cell r="K358" t="str">
            <v>0</v>
          </cell>
          <cell r="L358" t="str">
            <v>0</v>
          </cell>
          <cell r="M358" t="str">
            <v>0</v>
          </cell>
          <cell r="N358" t="str">
            <v>0</v>
          </cell>
          <cell r="O358" t="str">
            <v>0</v>
          </cell>
          <cell r="P358" t="str">
            <v>0</v>
          </cell>
        </row>
        <row r="359">
          <cell r="C359" t="str">
            <v>Total Locations</v>
          </cell>
          <cell r="D359" t="str">
            <v>Office Supplies - Allocated</v>
          </cell>
          <cell r="E359" t="str">
            <v>0</v>
          </cell>
          <cell r="F359" t="str">
            <v>0</v>
          </cell>
          <cell r="G359" t="str">
            <v>0</v>
          </cell>
          <cell r="H359" t="str">
            <v>0</v>
          </cell>
          <cell r="I359" t="str">
            <v>0</v>
          </cell>
          <cell r="J359" t="str">
            <v>0</v>
          </cell>
          <cell r="K359" t="str">
            <v>0</v>
          </cell>
          <cell r="L359" t="str">
            <v>0</v>
          </cell>
          <cell r="M359" t="str">
            <v>0</v>
          </cell>
          <cell r="N359" t="str">
            <v>0</v>
          </cell>
          <cell r="O359" t="str">
            <v>0</v>
          </cell>
          <cell r="P359" t="str">
            <v>0</v>
          </cell>
        </row>
        <row r="360">
          <cell r="C360" t="str">
            <v>Total Locations</v>
          </cell>
          <cell r="D360" t="str">
            <v>Office Supplies - Direct</v>
          </cell>
          <cell r="E360" t="str">
            <v>0</v>
          </cell>
          <cell r="F360" t="str">
            <v>0</v>
          </cell>
          <cell r="G360" t="str">
            <v>0</v>
          </cell>
          <cell r="H360" t="str">
            <v>0</v>
          </cell>
          <cell r="I360" t="str">
            <v>0</v>
          </cell>
          <cell r="J360" t="str">
            <v>0</v>
          </cell>
          <cell r="K360" t="str">
            <v>0</v>
          </cell>
          <cell r="L360" t="str">
            <v>0</v>
          </cell>
          <cell r="M360" t="str">
            <v>0</v>
          </cell>
          <cell r="N360" t="str">
            <v>0</v>
          </cell>
          <cell r="O360" t="str">
            <v>0</v>
          </cell>
          <cell r="P360" t="str">
            <v>0</v>
          </cell>
        </row>
        <row r="361">
          <cell r="C361" t="str">
            <v>Total Locations</v>
          </cell>
          <cell r="D361" t="str">
            <v>Warehouse Supplies</v>
          </cell>
          <cell r="E361" t="str">
            <v>0</v>
          </cell>
          <cell r="F361" t="str">
            <v>0</v>
          </cell>
          <cell r="G361" t="str">
            <v>0</v>
          </cell>
          <cell r="H361" t="str">
            <v>0</v>
          </cell>
          <cell r="I361" t="str">
            <v>0</v>
          </cell>
          <cell r="J361" t="str">
            <v>0</v>
          </cell>
          <cell r="K361" t="str">
            <v>0</v>
          </cell>
          <cell r="L361" t="str">
            <v>0</v>
          </cell>
          <cell r="M361" t="str">
            <v>0</v>
          </cell>
          <cell r="N361" t="str">
            <v>0</v>
          </cell>
          <cell r="O361" t="str">
            <v>0</v>
          </cell>
          <cell r="P361" t="str">
            <v>0</v>
          </cell>
        </row>
        <row r="362">
          <cell r="C362" t="str">
            <v>Total Locations</v>
          </cell>
          <cell r="D362" t="str">
            <v>Safety Supplies</v>
          </cell>
          <cell r="E362" t="str">
            <v>0</v>
          </cell>
          <cell r="F362" t="str">
            <v>0</v>
          </cell>
          <cell r="G362" t="str">
            <v>0</v>
          </cell>
          <cell r="H362" t="str">
            <v>0</v>
          </cell>
          <cell r="I362" t="str">
            <v>0</v>
          </cell>
          <cell r="J362" t="str">
            <v>0</v>
          </cell>
          <cell r="K362" t="str">
            <v>0</v>
          </cell>
          <cell r="L362" t="str">
            <v>0</v>
          </cell>
          <cell r="M362" t="str">
            <v>0</v>
          </cell>
          <cell r="N362" t="str">
            <v>0</v>
          </cell>
          <cell r="O362" t="str">
            <v>0</v>
          </cell>
          <cell r="P362" t="str">
            <v>0</v>
          </cell>
        </row>
        <row r="363">
          <cell r="C363" t="str">
            <v>Total Locations</v>
          </cell>
          <cell r="D363" t="str">
            <v>Postage - US Postmaster</v>
          </cell>
          <cell r="E363" t="str">
            <v>0</v>
          </cell>
          <cell r="F363" t="str">
            <v>0</v>
          </cell>
          <cell r="G363" t="str">
            <v>0</v>
          </cell>
          <cell r="H363" t="str">
            <v>0</v>
          </cell>
          <cell r="I363" t="str">
            <v>0</v>
          </cell>
          <cell r="J363" t="str">
            <v>0</v>
          </cell>
          <cell r="K363" t="str">
            <v>0</v>
          </cell>
          <cell r="L363" t="str">
            <v>0</v>
          </cell>
          <cell r="M363" t="str">
            <v>0</v>
          </cell>
          <cell r="N363" t="str">
            <v>0</v>
          </cell>
          <cell r="O363" t="str">
            <v>0</v>
          </cell>
          <cell r="P363" t="str">
            <v>0</v>
          </cell>
        </row>
        <row r="364">
          <cell r="C364" t="str">
            <v>Total Locations</v>
          </cell>
          <cell r="D364" t="str">
            <v>Fed-Ex Charges</v>
          </cell>
          <cell r="E364" t="str">
            <v>0</v>
          </cell>
          <cell r="F364" t="str">
            <v>0</v>
          </cell>
          <cell r="G364" t="str">
            <v>0</v>
          </cell>
          <cell r="H364" t="str">
            <v>0</v>
          </cell>
          <cell r="I364" t="str">
            <v>0</v>
          </cell>
          <cell r="J364" t="str">
            <v>0</v>
          </cell>
          <cell r="K364" t="str">
            <v>0</v>
          </cell>
          <cell r="L364" t="str">
            <v>0</v>
          </cell>
          <cell r="M364" t="str">
            <v>0</v>
          </cell>
          <cell r="N364" t="str">
            <v>0</v>
          </cell>
          <cell r="O364" t="str">
            <v>0</v>
          </cell>
          <cell r="P364" t="str">
            <v>0</v>
          </cell>
        </row>
        <row r="365">
          <cell r="C365" t="str">
            <v>Total Locations</v>
          </cell>
          <cell r="D365" t="str">
            <v>UPS Charges</v>
          </cell>
          <cell r="E365" t="str">
            <v>0</v>
          </cell>
          <cell r="F365" t="str">
            <v>0</v>
          </cell>
          <cell r="G365" t="str">
            <v>0</v>
          </cell>
          <cell r="H365" t="str">
            <v>0</v>
          </cell>
          <cell r="I365" t="str">
            <v>0</v>
          </cell>
          <cell r="J365" t="str">
            <v>0</v>
          </cell>
          <cell r="K365" t="str">
            <v>0</v>
          </cell>
          <cell r="L365" t="str">
            <v>0</v>
          </cell>
          <cell r="M365" t="str">
            <v>0</v>
          </cell>
          <cell r="N365" t="str">
            <v>0</v>
          </cell>
          <cell r="O365" t="str">
            <v>0</v>
          </cell>
          <cell r="P365" t="str">
            <v>0</v>
          </cell>
        </row>
        <row r="366">
          <cell r="C366" t="str">
            <v>Total Locations</v>
          </cell>
          <cell r="D366" t="str">
            <v>Courier Charges</v>
          </cell>
          <cell r="E366" t="str">
            <v>0</v>
          </cell>
          <cell r="F366" t="str">
            <v>0</v>
          </cell>
          <cell r="G366" t="str">
            <v>0</v>
          </cell>
          <cell r="H366" t="str">
            <v>0</v>
          </cell>
          <cell r="I366" t="str">
            <v>0</v>
          </cell>
          <cell r="J366" t="str">
            <v>0</v>
          </cell>
          <cell r="K366" t="str">
            <v>0</v>
          </cell>
          <cell r="L366" t="str">
            <v>0</v>
          </cell>
          <cell r="M366" t="str">
            <v>0</v>
          </cell>
          <cell r="N366" t="str">
            <v>0</v>
          </cell>
          <cell r="O366" t="str">
            <v>0</v>
          </cell>
          <cell r="P366" t="str">
            <v>0</v>
          </cell>
        </row>
        <row r="367">
          <cell r="C367" t="str">
            <v>Total Locations</v>
          </cell>
          <cell r="D367" t="str">
            <v>Freight Non-Inventory</v>
          </cell>
          <cell r="E367" t="str">
            <v>0</v>
          </cell>
          <cell r="F367" t="str">
            <v>0</v>
          </cell>
          <cell r="G367" t="str">
            <v>0</v>
          </cell>
          <cell r="H367" t="str">
            <v>0</v>
          </cell>
          <cell r="I367" t="str">
            <v>0</v>
          </cell>
          <cell r="J367" t="str">
            <v>0</v>
          </cell>
          <cell r="K367" t="str">
            <v>0</v>
          </cell>
          <cell r="L367" t="str">
            <v>0</v>
          </cell>
          <cell r="M367" t="str">
            <v>0</v>
          </cell>
          <cell r="N367" t="str">
            <v>0</v>
          </cell>
          <cell r="O367" t="str">
            <v>0</v>
          </cell>
          <cell r="P367" t="str">
            <v>0</v>
          </cell>
        </row>
        <row r="368">
          <cell r="C368" t="str">
            <v>Total Locations</v>
          </cell>
          <cell r="D368" t="str">
            <v>Taxes &amp; Licenses</v>
          </cell>
          <cell r="E368" t="str">
            <v>0</v>
          </cell>
          <cell r="F368" t="str">
            <v>0</v>
          </cell>
          <cell r="G368" t="str">
            <v>0</v>
          </cell>
          <cell r="H368" t="str">
            <v>0</v>
          </cell>
          <cell r="I368" t="str">
            <v>0</v>
          </cell>
          <cell r="J368" t="str">
            <v>0</v>
          </cell>
          <cell r="K368" t="str">
            <v>0</v>
          </cell>
          <cell r="L368" t="str">
            <v>0</v>
          </cell>
          <cell r="M368" t="str">
            <v>0</v>
          </cell>
          <cell r="N368" t="str">
            <v>0</v>
          </cell>
          <cell r="O368" t="str">
            <v>0</v>
          </cell>
          <cell r="P368" t="str">
            <v>0</v>
          </cell>
        </row>
        <row r="369">
          <cell r="C369" t="str">
            <v>Total Locations</v>
          </cell>
          <cell r="D369" t="str">
            <v>Insurance</v>
          </cell>
          <cell r="E369" t="str">
            <v>0</v>
          </cell>
          <cell r="F369" t="str">
            <v>0</v>
          </cell>
          <cell r="G369" t="str">
            <v>0</v>
          </cell>
          <cell r="H369" t="str">
            <v>0</v>
          </cell>
          <cell r="I369" t="str">
            <v>0</v>
          </cell>
          <cell r="J369" t="str">
            <v>0</v>
          </cell>
          <cell r="K369" t="str">
            <v>0</v>
          </cell>
          <cell r="L369" t="str">
            <v>0</v>
          </cell>
          <cell r="M369" t="str">
            <v>0</v>
          </cell>
          <cell r="N369" t="str">
            <v>0</v>
          </cell>
          <cell r="O369" t="str">
            <v>0</v>
          </cell>
          <cell r="P369" t="str">
            <v>0</v>
          </cell>
        </row>
        <row r="370">
          <cell r="C370" t="str">
            <v>Total Locations</v>
          </cell>
          <cell r="D370" t="str">
            <v>Bank and Other Charges</v>
          </cell>
          <cell r="E370" t="str">
            <v>0</v>
          </cell>
          <cell r="F370" t="str">
            <v>0</v>
          </cell>
          <cell r="G370" t="str">
            <v>0</v>
          </cell>
          <cell r="H370" t="str">
            <v>0</v>
          </cell>
          <cell r="I370" t="str">
            <v>0</v>
          </cell>
          <cell r="J370" t="str">
            <v>0</v>
          </cell>
          <cell r="K370" t="str">
            <v>0</v>
          </cell>
          <cell r="L370" t="str">
            <v>0</v>
          </cell>
          <cell r="M370" t="str">
            <v>0</v>
          </cell>
          <cell r="N370" t="str">
            <v>0</v>
          </cell>
          <cell r="O370" t="str">
            <v>0</v>
          </cell>
          <cell r="P370" t="str">
            <v>0</v>
          </cell>
        </row>
        <row r="371">
          <cell r="C371" t="str">
            <v>Total Locations</v>
          </cell>
          <cell r="D371" t="str">
            <v>Bad Debt Expenses</v>
          </cell>
          <cell r="E371" t="str">
            <v>0</v>
          </cell>
          <cell r="F371" t="str">
            <v>0</v>
          </cell>
          <cell r="G371" t="str">
            <v>0</v>
          </cell>
          <cell r="H371" t="str">
            <v>0</v>
          </cell>
          <cell r="I371" t="str">
            <v>0</v>
          </cell>
          <cell r="J371" t="str">
            <v>0</v>
          </cell>
          <cell r="K371" t="str">
            <v>0</v>
          </cell>
          <cell r="L371" t="str">
            <v>0</v>
          </cell>
          <cell r="M371" t="str">
            <v>0</v>
          </cell>
          <cell r="N371" t="str">
            <v>0</v>
          </cell>
          <cell r="O371" t="str">
            <v>0</v>
          </cell>
          <cell r="P371" t="str">
            <v>0</v>
          </cell>
        </row>
        <row r="372">
          <cell r="C372" t="str">
            <v>Total Locations</v>
          </cell>
          <cell r="D372" t="str">
            <v>Travel &amp; Entertainment</v>
          </cell>
          <cell r="E372">
            <v>8840.7799000000032</v>
          </cell>
          <cell r="F372">
            <v>-47222.94920000001</v>
          </cell>
          <cell r="G372">
            <v>50091.143299999996</v>
          </cell>
          <cell r="H372">
            <v>51149.956099999996</v>
          </cell>
          <cell r="I372">
            <v>51877.352599999998</v>
          </cell>
          <cell r="J372">
            <v>51877.352599999998</v>
          </cell>
          <cell r="K372">
            <v>51877.352599999998</v>
          </cell>
          <cell r="L372">
            <v>51877.352599999998</v>
          </cell>
          <cell r="M372">
            <v>51877.352599999998</v>
          </cell>
          <cell r="N372">
            <v>51877.352599999998</v>
          </cell>
          <cell r="O372">
            <v>51877.352599999998</v>
          </cell>
          <cell r="P372">
            <v>51877.352599999998</v>
          </cell>
        </row>
        <row r="373">
          <cell r="C373" t="str">
            <v>Total Locations</v>
          </cell>
          <cell r="D373" t="str">
            <v>Legal Fees</v>
          </cell>
          <cell r="E373" t="str">
            <v>0</v>
          </cell>
          <cell r="F373" t="str">
            <v>0</v>
          </cell>
          <cell r="G373" t="str">
            <v>0</v>
          </cell>
          <cell r="H373" t="str">
            <v>0</v>
          </cell>
          <cell r="I373" t="str">
            <v>0</v>
          </cell>
          <cell r="J373" t="str">
            <v>0</v>
          </cell>
          <cell r="K373" t="str">
            <v>0</v>
          </cell>
          <cell r="L373" t="str">
            <v>0</v>
          </cell>
          <cell r="M373" t="str">
            <v>0</v>
          </cell>
          <cell r="N373" t="str">
            <v>0</v>
          </cell>
          <cell r="O373" t="str">
            <v>0</v>
          </cell>
          <cell r="P373" t="str">
            <v>0</v>
          </cell>
        </row>
        <row r="374">
          <cell r="C374" t="str">
            <v>Total Locations</v>
          </cell>
          <cell r="D374" t="str">
            <v>Public Company Charges</v>
          </cell>
          <cell r="E374" t="str">
            <v>0</v>
          </cell>
          <cell r="F374" t="str">
            <v>0</v>
          </cell>
          <cell r="G374" t="str">
            <v>0</v>
          </cell>
          <cell r="H374" t="str">
            <v>0</v>
          </cell>
          <cell r="I374" t="str">
            <v>0</v>
          </cell>
          <cell r="J374" t="str">
            <v>0</v>
          </cell>
          <cell r="K374" t="str">
            <v>0</v>
          </cell>
          <cell r="L374" t="str">
            <v>0</v>
          </cell>
          <cell r="M374" t="str">
            <v>0</v>
          </cell>
          <cell r="N374" t="str">
            <v>0</v>
          </cell>
          <cell r="O374" t="str">
            <v>0</v>
          </cell>
          <cell r="P374" t="str">
            <v>0</v>
          </cell>
        </row>
        <row r="375">
          <cell r="C375" t="str">
            <v>Total Locations</v>
          </cell>
          <cell r="D375" t="str">
            <v>Professional Consulting</v>
          </cell>
          <cell r="E375">
            <v>-1297.21</v>
          </cell>
          <cell r="F375">
            <v>86.49</v>
          </cell>
          <cell r="G375" t="str">
            <v>0</v>
          </cell>
          <cell r="H375" t="str">
            <v>0</v>
          </cell>
          <cell r="I375" t="str">
            <v>0</v>
          </cell>
          <cell r="J375" t="str">
            <v>0</v>
          </cell>
          <cell r="K375" t="str">
            <v>0</v>
          </cell>
          <cell r="L375" t="str">
            <v>0</v>
          </cell>
          <cell r="M375" t="str">
            <v>0</v>
          </cell>
          <cell r="N375" t="str">
            <v>0</v>
          </cell>
          <cell r="O375" t="str">
            <v>0</v>
          </cell>
          <cell r="P375" t="str">
            <v>0</v>
          </cell>
        </row>
        <row r="376">
          <cell r="C376" t="str">
            <v>Total Locations</v>
          </cell>
          <cell r="D376" t="str">
            <v>Outside Services</v>
          </cell>
          <cell r="E376" t="str">
            <v>0</v>
          </cell>
          <cell r="F376" t="str">
            <v>0</v>
          </cell>
          <cell r="G376" t="str">
            <v>0</v>
          </cell>
          <cell r="H376" t="str">
            <v>0</v>
          </cell>
          <cell r="I376" t="str">
            <v>0</v>
          </cell>
          <cell r="J376" t="str">
            <v>0</v>
          </cell>
          <cell r="K376" t="str">
            <v>0</v>
          </cell>
          <cell r="L376" t="str">
            <v>0</v>
          </cell>
          <cell r="M376" t="str">
            <v>0</v>
          </cell>
          <cell r="N376" t="str">
            <v>0</v>
          </cell>
          <cell r="O376" t="str">
            <v>0</v>
          </cell>
          <cell r="P376" t="str">
            <v>0</v>
          </cell>
        </row>
        <row r="377">
          <cell r="C377" t="str">
            <v>Total Locations</v>
          </cell>
          <cell r="D377" t="str">
            <v>Accounting Fees</v>
          </cell>
          <cell r="E377" t="str">
            <v>0</v>
          </cell>
          <cell r="F377" t="str">
            <v>0</v>
          </cell>
          <cell r="G377" t="str">
            <v>0</v>
          </cell>
          <cell r="H377" t="str">
            <v>0</v>
          </cell>
          <cell r="I377" t="str">
            <v>0</v>
          </cell>
          <cell r="J377" t="str">
            <v>0</v>
          </cell>
          <cell r="K377" t="str">
            <v>0</v>
          </cell>
          <cell r="L377" t="str">
            <v>0</v>
          </cell>
          <cell r="M377" t="str">
            <v>0</v>
          </cell>
          <cell r="N377" t="str">
            <v>0</v>
          </cell>
          <cell r="O377" t="str">
            <v>0</v>
          </cell>
          <cell r="P377" t="str">
            <v>0</v>
          </cell>
        </row>
        <row r="378">
          <cell r="C378" t="str">
            <v>Total Locations</v>
          </cell>
          <cell r="D378" t="str">
            <v>HR - Fees</v>
          </cell>
          <cell r="E378" t="str">
            <v>0</v>
          </cell>
          <cell r="F378" t="str">
            <v>0</v>
          </cell>
          <cell r="G378" t="str">
            <v>0</v>
          </cell>
          <cell r="H378" t="str">
            <v>0</v>
          </cell>
          <cell r="I378" t="str">
            <v>0</v>
          </cell>
          <cell r="J378" t="str">
            <v>0</v>
          </cell>
          <cell r="K378" t="str">
            <v>0</v>
          </cell>
          <cell r="L378" t="str">
            <v>0</v>
          </cell>
          <cell r="M378" t="str">
            <v>0</v>
          </cell>
          <cell r="N378" t="str">
            <v>0</v>
          </cell>
          <cell r="O378" t="str">
            <v>0</v>
          </cell>
          <cell r="P378" t="str">
            <v>0</v>
          </cell>
        </row>
        <row r="379">
          <cell r="C379" t="str">
            <v>Total Locations</v>
          </cell>
          <cell r="D379" t="str">
            <v>Special Projects</v>
          </cell>
          <cell r="E379" t="str">
            <v>0</v>
          </cell>
          <cell r="F379" t="str">
            <v>0</v>
          </cell>
          <cell r="G379" t="str">
            <v>0</v>
          </cell>
          <cell r="H379" t="str">
            <v>0</v>
          </cell>
          <cell r="I379" t="str">
            <v>0</v>
          </cell>
          <cell r="J379" t="str">
            <v>0</v>
          </cell>
          <cell r="K379" t="str">
            <v>0</v>
          </cell>
          <cell r="L379" t="str">
            <v>0</v>
          </cell>
          <cell r="M379" t="str">
            <v>0</v>
          </cell>
          <cell r="N379" t="str">
            <v>0</v>
          </cell>
          <cell r="O379" t="str">
            <v>0</v>
          </cell>
          <cell r="P379" t="str">
            <v>0</v>
          </cell>
        </row>
        <row r="380">
          <cell r="C380" t="str">
            <v>Total Locations</v>
          </cell>
          <cell r="D380" t="str">
            <v>Other Administrative Expenses</v>
          </cell>
          <cell r="E380">
            <v>336921.31539999996</v>
          </cell>
          <cell r="F380">
            <v>197805.80049999995</v>
          </cell>
          <cell r="G380">
            <v>39730.836299999995</v>
          </cell>
          <cell r="H380">
            <v>40330.802199999998</v>
          </cell>
          <cell r="I380">
            <v>40428.239199999996</v>
          </cell>
          <cell r="J380">
            <v>40428.239199999996</v>
          </cell>
          <cell r="K380">
            <v>40428.239199999996</v>
          </cell>
          <cell r="L380">
            <v>40428.239199999996</v>
          </cell>
          <cell r="M380">
            <v>40428.239199999996</v>
          </cell>
          <cell r="N380">
            <v>40428.239199999996</v>
          </cell>
          <cell r="O380">
            <v>40428.239199999996</v>
          </cell>
          <cell r="P380">
            <v>40428.239199999996</v>
          </cell>
        </row>
        <row r="381">
          <cell r="E381" t="str">
            <v>-</v>
          </cell>
          <cell r="F381" t="str">
            <v>-</v>
          </cell>
          <cell r="G381" t="str">
            <v>-</v>
          </cell>
          <cell r="H381" t="str">
            <v>-</v>
          </cell>
          <cell r="I381" t="str">
            <v>-</v>
          </cell>
          <cell r="J381" t="str">
            <v>-</v>
          </cell>
          <cell r="K381" t="str">
            <v>-</v>
          </cell>
          <cell r="L381" t="str">
            <v>-</v>
          </cell>
          <cell r="M381" t="str">
            <v>-</v>
          </cell>
          <cell r="N381" t="str">
            <v>-</v>
          </cell>
          <cell r="O381" t="str">
            <v>-</v>
          </cell>
          <cell r="P381" t="str">
            <v>-</v>
          </cell>
        </row>
        <row r="382">
          <cell r="C382" t="str">
            <v>Total Locations</v>
          </cell>
          <cell r="D382" t="str">
            <v>Administrative Expenses</v>
          </cell>
          <cell r="E382">
            <v>7626925.2379000001</v>
          </cell>
          <cell r="F382">
            <v>8126954.4682000009</v>
          </cell>
          <cell r="G382">
            <v>8027735.4313000003</v>
          </cell>
          <cell r="H382">
            <v>8081331.5898000011</v>
          </cell>
          <cell r="I382">
            <v>8090753.2934000017</v>
          </cell>
          <cell r="J382">
            <v>8230280.8160000015</v>
          </cell>
          <cell r="K382">
            <v>5981945.6615999993</v>
          </cell>
          <cell r="L382">
            <v>6099376.7625000002</v>
          </cell>
          <cell r="M382">
            <v>6157310.6964999987</v>
          </cell>
          <cell r="N382">
            <v>6330339.1990999999</v>
          </cell>
          <cell r="O382">
            <v>6425693.6567999991</v>
          </cell>
          <cell r="P382">
            <v>6399285.9683999987</v>
          </cell>
        </row>
        <row r="384">
          <cell r="C384" t="str">
            <v>Total Locations</v>
          </cell>
          <cell r="D384" t="str">
            <v>TRU-Contra Expenses (Parent)</v>
          </cell>
          <cell r="E384" t="str">
            <v>0</v>
          </cell>
          <cell r="F384" t="str">
            <v>0</v>
          </cell>
          <cell r="G384" t="str">
            <v>0</v>
          </cell>
          <cell r="H384" t="str">
            <v>0</v>
          </cell>
          <cell r="I384" t="str">
            <v>0</v>
          </cell>
          <cell r="J384" t="str">
            <v>0</v>
          </cell>
          <cell r="K384" t="str">
            <v>0</v>
          </cell>
          <cell r="L384" t="str">
            <v>0</v>
          </cell>
          <cell r="M384" t="str">
            <v>0</v>
          </cell>
          <cell r="N384" t="str">
            <v>0</v>
          </cell>
          <cell r="O384" t="str">
            <v>0</v>
          </cell>
          <cell r="P384" t="str">
            <v>0</v>
          </cell>
        </row>
        <row r="385">
          <cell r="C385" t="str">
            <v>Total Locations</v>
          </cell>
          <cell r="D385" t="str">
            <v>Unspecified OPEX</v>
          </cell>
          <cell r="E385" t="str">
            <v>0</v>
          </cell>
          <cell r="F385" t="str">
            <v>0</v>
          </cell>
          <cell r="G385" t="str">
            <v>0</v>
          </cell>
          <cell r="H385" t="str">
            <v>0</v>
          </cell>
          <cell r="I385" t="str">
            <v>0</v>
          </cell>
          <cell r="J385" t="str">
            <v>0</v>
          </cell>
          <cell r="K385" t="str">
            <v>0</v>
          </cell>
          <cell r="L385" t="str">
            <v>0</v>
          </cell>
          <cell r="M385" t="str">
            <v>0</v>
          </cell>
          <cell r="N385" t="str">
            <v>0</v>
          </cell>
          <cell r="O385" t="str">
            <v>0</v>
          </cell>
          <cell r="P385" t="str">
            <v>0</v>
          </cell>
        </row>
        <row r="386">
          <cell r="E386" t="str">
            <v>-</v>
          </cell>
          <cell r="F386" t="str">
            <v>-</v>
          </cell>
          <cell r="G386" t="str">
            <v>-</v>
          </cell>
          <cell r="H386" t="str">
            <v>-</v>
          </cell>
          <cell r="I386" t="str">
            <v>-</v>
          </cell>
          <cell r="J386" t="str">
            <v>-</v>
          </cell>
          <cell r="K386" t="str">
            <v>-</v>
          </cell>
          <cell r="L386" t="str">
            <v>-</v>
          </cell>
          <cell r="M386" t="str">
            <v>-</v>
          </cell>
          <cell r="N386" t="str">
            <v>-</v>
          </cell>
          <cell r="O386" t="str">
            <v>-</v>
          </cell>
          <cell r="P386" t="str">
            <v>-</v>
          </cell>
        </row>
        <row r="387">
          <cell r="C387" t="str">
            <v>Total Locations</v>
          </cell>
          <cell r="D387" t="str">
            <v>Operating Expenses</v>
          </cell>
          <cell r="E387">
            <v>9782034.4013</v>
          </cell>
          <cell r="F387">
            <v>10104122.166800002</v>
          </cell>
          <cell r="G387">
            <v>9806238.9551999997</v>
          </cell>
          <cell r="H387">
            <v>10270174.855100002</v>
          </cell>
          <cell r="I387">
            <v>10197140.435700001</v>
          </cell>
          <cell r="J387">
            <v>10313051.171200002</v>
          </cell>
          <cell r="K387">
            <v>8055521.6239999998</v>
          </cell>
          <cell r="L387">
            <v>8160996.4821000006</v>
          </cell>
          <cell r="M387">
            <v>8209876.0812999988</v>
          </cell>
          <cell r="N387">
            <v>8379705.7504000003</v>
          </cell>
          <cell r="O387">
            <v>8477691.8750999998</v>
          </cell>
          <cell r="P387">
            <v>8447397.8523999993</v>
          </cell>
        </row>
      </sheetData>
      <sheetData sheetId="1" refreshError="1"/>
      <sheetData sheetId="2" refreshError="1"/>
      <sheetData sheetId="3" refreshError="1"/>
      <sheetData sheetId="4"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Wins"/>
      <sheetName val="Margin Roll"/>
      <sheetName val="Forecast"/>
      <sheetName val="Inject"/>
      <sheetName val="ExportSum"/>
      <sheetName val="IntlSum"/>
      <sheetName val="Appendix title"/>
      <sheetName val="Metrics"/>
      <sheetName val="Export-Metrics"/>
      <sheetName val="MarginRollQuery"/>
      <sheetName val="By Product"/>
      <sheetName val="Chart"/>
      <sheetName val="Check Data"/>
      <sheetName val="Financial Query-by Co"/>
      <sheetName val="Financial Query-by PL"/>
      <sheetName val="Financial Query-Int'l"/>
      <sheetName val="Metrics Query"/>
      <sheetName val="Metrics Query LY"/>
      <sheetName val="Export Query"/>
      <sheetName val="Export-By Prod"/>
      <sheetName val="ExportSplit Query"/>
      <sheetName val="TEHKO Query"/>
      <sheetName val="Waterfall Data"/>
      <sheetName val="Reconciliation"/>
      <sheetName val="plan by product"/>
      <sheetName val="Graphs"/>
      <sheetName val="waterfall"/>
      <sheetName val="essbase ship mgn"/>
      <sheetName val="2000 by Q"/>
      <sheetName val="Upgrades"/>
      <sheetName val="plan by prod query"/>
      <sheetName val="US_FR_FC_DPM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S All"/>
      <sheetName val="SOS Email"/>
      <sheetName val="Notes"/>
      <sheetName val="EOS"/>
      <sheetName val="URL"/>
      <sheetName val="PPR"/>
      <sheetName val="PPR-1"/>
      <sheetName val="PPR-7"/>
      <sheetName val="PPR-14"/>
      <sheetName val="PPR-FS"/>
      <sheetName val="21DP"/>
      <sheetName val="Backlog"/>
      <sheetName val="ER1"/>
      <sheetName val="ER2"/>
      <sheetName val="ER3"/>
      <sheetName val="S1"/>
      <sheetName val="S2"/>
      <sheetName val="S3"/>
      <sheetName val="RD1"/>
      <sheetName val="RD2"/>
      <sheetName val="RD3"/>
    </sheetNames>
    <sheetDataSet>
      <sheetData sheetId="0">
        <row r="5">
          <cell r="C5" t="str">
            <v>Day</v>
          </cell>
        </row>
        <row r="37">
          <cell r="H37">
            <v>1</v>
          </cell>
        </row>
        <row r="38">
          <cell r="H38">
            <v>0.85</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Rates_EachStow"/>
      <sheetName val="Rates_TransStow"/>
      <sheetName val="Rates_EachRecv"/>
      <sheetName val="Rates_TransCase"/>
      <sheetName val="Data_EachStow"/>
      <sheetName val="Data_TransStow"/>
      <sheetName val="Data_EachRecv"/>
      <sheetName val="Data_Rollup"/>
      <sheetName val="Adhocs"/>
      <sheetName val="Data_TransCase"/>
      <sheetName val="IBUpdate"/>
      <sheetName val="IndivStowReport"/>
      <sheetName val="StowScanGaps"/>
      <sheetName val="Input_Sheet_Nights"/>
      <sheetName val="TeamRates_EachStow"/>
      <sheetName val="Teams_Shift1"/>
      <sheetName val="Teams_Shift2"/>
      <sheetName val="Teams_Shift5"/>
      <sheetName val="Teams_Shift6"/>
      <sheetName val="StowDefects"/>
      <sheetName val="ReceiveDefects"/>
      <sheetName val="Data_Sweepe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14">
          <cell r="O14">
            <v>433.31116468534367</v>
          </cell>
          <cell r="AE14">
            <v>433.31116468534367</v>
          </cell>
          <cell r="AU14">
            <v>433.31116468534367</v>
          </cell>
          <cell r="BK14">
            <v>433.31116468534367</v>
          </cell>
          <cell r="CA14">
            <v>433.31116468534367</v>
          </cell>
        </row>
      </sheetData>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Pivot_Receive"/>
      <sheetName val="Pivot_Stow"/>
      <sheetName val="Pivot_Trans"/>
      <sheetName val="Pivot_TransCase"/>
      <sheetName val="Data_Receive"/>
      <sheetName val="Data_Stow"/>
      <sheetName val="Data_Trans"/>
      <sheetName val="Data_Rollup"/>
      <sheetName val="Data_TransCase"/>
      <sheetName val="TimeCalc"/>
      <sheetName val="Pivot_Prep"/>
      <sheetName val="Data_Prep"/>
      <sheetName val="IndivStowReport"/>
    </sheetNames>
    <sheetDataSet>
      <sheetData sheetId="0">
        <row r="2">
          <cell r="J2" t="str">
            <v>Daily</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0">
          <cell r="B10">
            <v>17</v>
          </cell>
        </row>
      </sheetData>
      <sheetData sheetId="11" refreshError="1"/>
      <sheetData sheetId="12" refreshError="1"/>
      <sheetData sheetId="13"/>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eekly"/>
      <sheetName val="Hours"/>
      <sheetName val="Monthly"/>
      <sheetName val="Units"/>
      <sheetName val="Hrs @ plan rate"/>
      <sheetName val="% plan"/>
      <sheetName val="hrs @ index vol &amp; @ index prod"/>
      <sheetName val="hrs @ index vol &amp; @ actual prod"/>
      <sheetName val="Hrs @ actual vol @ index prod"/>
      <sheetName val="% index"/>
      <sheetName val="US-JP"/>
      <sheetName val="InvFlow"/>
      <sheetName val="Rev04"/>
    </sheetNames>
    <sheetDataSet>
      <sheetData sheetId="0" refreshError="1"/>
      <sheetData sheetId="1" refreshError="1">
        <row r="400">
          <cell r="D400" t="str">
            <v>Receiving</v>
          </cell>
          <cell r="E400" t="str">
            <v>Stowing</v>
          </cell>
          <cell r="F400" t="str">
            <v>Mass</v>
          </cell>
          <cell r="G400" t="str">
            <v>HL Rec</v>
          </cell>
          <cell r="H400" t="str">
            <v>Picking</v>
          </cell>
          <cell r="I400" t="str">
            <v>Rebin</v>
          </cell>
          <cell r="J400" t="str">
            <v>A-VDF</v>
          </cell>
          <cell r="K400" t="str">
            <v>A-Box</v>
          </cell>
          <cell r="L400" t="str">
            <v>Gift Wrap</v>
          </cell>
          <cell r="M400" t="str">
            <v>Manual</v>
          </cell>
          <cell r="N400" t="str">
            <v>Hardline</v>
          </cell>
          <cell r="O400" t="str">
            <v>Sorting</v>
          </cell>
          <cell r="P400" t="str">
            <v>vReturn</v>
          </cell>
          <cell r="Q400" t="str">
            <v>cReturn</v>
          </cell>
          <cell r="R400" t="str">
            <v>Inventory</v>
          </cell>
          <cell r="S400" t="str">
            <v>Other</v>
          </cell>
          <cell r="T400" t="str">
            <v>Total</v>
          </cell>
          <cell r="U400" t="str">
            <v>OT</v>
          </cell>
          <cell r="V400" t="str">
            <v>Amzn</v>
          </cell>
          <cell r="W400" t="str">
            <v>Inbound</v>
          </cell>
          <cell r="X400" t="str">
            <v>Outbound</v>
          </cell>
          <cell r="Y400" t="str">
            <v>Total</v>
          </cell>
        </row>
        <row r="401">
          <cell r="D401">
            <v>822.5</v>
          </cell>
          <cell r="E401">
            <v>742.75</v>
          </cell>
          <cell r="F401">
            <v>67.5</v>
          </cell>
          <cell r="G401">
            <v>0</v>
          </cell>
          <cell r="H401">
            <v>2852</v>
          </cell>
          <cell r="I401">
            <v>584.75</v>
          </cell>
          <cell r="J401">
            <v>364.25</v>
          </cell>
          <cell r="K401">
            <v>437</v>
          </cell>
          <cell r="L401">
            <v>82</v>
          </cell>
          <cell r="M401">
            <v>695.25</v>
          </cell>
          <cell r="N401">
            <v>136.5</v>
          </cell>
          <cell r="O401">
            <v>400.5</v>
          </cell>
          <cell r="P401">
            <v>0</v>
          </cell>
          <cell r="Q401">
            <v>130.75</v>
          </cell>
          <cell r="R401">
            <v>12.5</v>
          </cell>
          <cell r="S401">
            <v>387</v>
          </cell>
          <cell r="T401">
            <v>7715.25</v>
          </cell>
          <cell r="U401">
            <v>253.5</v>
          </cell>
          <cell r="V401">
            <v>231.5</v>
          </cell>
          <cell r="W401">
            <v>1601.25</v>
          </cell>
          <cell r="X401">
            <v>5552.25</v>
          </cell>
          <cell r="Y401">
            <v>7946.75</v>
          </cell>
        </row>
        <row r="402">
          <cell r="D402">
            <v>1530.5</v>
          </cell>
          <cell r="E402">
            <v>1281.75</v>
          </cell>
          <cell r="F402">
            <v>132.5</v>
          </cell>
          <cell r="G402">
            <v>0</v>
          </cell>
          <cell r="H402">
            <v>4313.25</v>
          </cell>
          <cell r="I402">
            <v>967.25</v>
          </cell>
          <cell r="J402">
            <v>714.25</v>
          </cell>
          <cell r="K402">
            <v>729.75</v>
          </cell>
          <cell r="L402">
            <v>97.75</v>
          </cell>
          <cell r="M402">
            <v>968.5</v>
          </cell>
          <cell r="N402">
            <v>198.5</v>
          </cell>
          <cell r="O402">
            <v>747.75</v>
          </cell>
          <cell r="P402">
            <v>238.25</v>
          </cell>
          <cell r="Q402">
            <v>209.5</v>
          </cell>
          <cell r="R402">
            <v>93.5</v>
          </cell>
          <cell r="S402">
            <v>621.75</v>
          </cell>
          <cell r="T402">
            <v>12844.75</v>
          </cell>
          <cell r="U402">
            <v>1407.5</v>
          </cell>
          <cell r="V402">
            <v>378.5</v>
          </cell>
          <cell r="W402">
            <v>2812.25</v>
          </cell>
          <cell r="X402">
            <v>8737</v>
          </cell>
          <cell r="Y402">
            <v>13223.25</v>
          </cell>
        </row>
        <row r="403">
          <cell r="D403">
            <v>1695.5</v>
          </cell>
          <cell r="E403">
            <v>1453</v>
          </cell>
          <cell r="F403">
            <v>123.25</v>
          </cell>
          <cell r="G403">
            <v>0</v>
          </cell>
          <cell r="H403">
            <v>4326.25</v>
          </cell>
          <cell r="I403">
            <v>951.75</v>
          </cell>
          <cell r="J403">
            <v>655</v>
          </cell>
          <cell r="K403">
            <v>757</v>
          </cell>
          <cell r="L403">
            <v>96.25</v>
          </cell>
          <cell r="M403">
            <v>665.25</v>
          </cell>
          <cell r="N403">
            <v>236.75</v>
          </cell>
          <cell r="O403">
            <v>687.5</v>
          </cell>
          <cell r="P403">
            <v>118.5</v>
          </cell>
          <cell r="Q403">
            <v>183.5</v>
          </cell>
          <cell r="R403">
            <v>79.25</v>
          </cell>
          <cell r="S403">
            <v>742</v>
          </cell>
          <cell r="T403">
            <v>12770.75</v>
          </cell>
          <cell r="U403">
            <v>1428.75</v>
          </cell>
          <cell r="V403">
            <v>358.5</v>
          </cell>
          <cell r="W403">
            <v>3148.5</v>
          </cell>
          <cell r="X403">
            <v>8375.75</v>
          </cell>
          <cell r="Y403">
            <v>13129.25</v>
          </cell>
        </row>
        <row r="404">
          <cell r="D404">
            <v>1694.75</v>
          </cell>
          <cell r="E404">
            <v>1454.75</v>
          </cell>
          <cell r="F404">
            <v>218.75</v>
          </cell>
          <cell r="G404">
            <v>0</v>
          </cell>
          <cell r="H404">
            <v>4572</v>
          </cell>
          <cell r="I404">
            <v>984.5</v>
          </cell>
          <cell r="J404">
            <v>827.25</v>
          </cell>
          <cell r="K404">
            <v>791.25</v>
          </cell>
          <cell r="L404">
            <v>109.5</v>
          </cell>
          <cell r="M404">
            <v>937.5</v>
          </cell>
          <cell r="N404">
            <v>302</v>
          </cell>
          <cell r="O404">
            <v>767.75</v>
          </cell>
          <cell r="P404">
            <v>277.25</v>
          </cell>
          <cell r="Q404">
            <v>152.25</v>
          </cell>
          <cell r="R404">
            <v>101.5</v>
          </cell>
          <cell r="S404">
            <v>824.5</v>
          </cell>
          <cell r="T404">
            <v>14015.5</v>
          </cell>
          <cell r="U404">
            <v>1628.75</v>
          </cell>
          <cell r="V404">
            <v>357.5</v>
          </cell>
          <cell r="W404">
            <v>3149.5</v>
          </cell>
          <cell r="X404">
            <v>9291.75</v>
          </cell>
          <cell r="Y404">
            <v>14373</v>
          </cell>
        </row>
        <row r="405">
          <cell r="D405">
            <v>1907.75</v>
          </cell>
          <cell r="E405">
            <v>1522.5</v>
          </cell>
          <cell r="F405">
            <v>204</v>
          </cell>
          <cell r="G405">
            <v>0</v>
          </cell>
          <cell r="H405">
            <v>4695.75</v>
          </cell>
          <cell r="I405">
            <v>1012.75</v>
          </cell>
          <cell r="J405">
            <v>801.5</v>
          </cell>
          <cell r="K405">
            <v>836.75</v>
          </cell>
          <cell r="L405">
            <v>104.5</v>
          </cell>
          <cell r="M405">
            <v>874.25</v>
          </cell>
          <cell r="N405">
            <v>296.75</v>
          </cell>
          <cell r="O405">
            <v>758</v>
          </cell>
          <cell r="P405">
            <v>346</v>
          </cell>
          <cell r="Q405">
            <v>166.5</v>
          </cell>
          <cell r="R405">
            <v>105.25</v>
          </cell>
          <cell r="S405">
            <v>842.25</v>
          </cell>
          <cell r="T405">
            <v>14474.5</v>
          </cell>
          <cell r="U405">
            <v>1674.5</v>
          </cell>
          <cell r="V405">
            <v>365</v>
          </cell>
          <cell r="W405">
            <v>3430.25</v>
          </cell>
          <cell r="X405">
            <v>9380.25</v>
          </cell>
          <cell r="Y405">
            <v>14839.5</v>
          </cell>
        </row>
        <row r="406">
          <cell r="D406">
            <v>1931.75</v>
          </cell>
          <cell r="E406">
            <v>1589.5</v>
          </cell>
          <cell r="F406">
            <v>179</v>
          </cell>
          <cell r="G406">
            <v>0</v>
          </cell>
          <cell r="H406">
            <v>5043.5</v>
          </cell>
          <cell r="I406">
            <v>997</v>
          </cell>
          <cell r="J406">
            <v>770.25</v>
          </cell>
          <cell r="K406">
            <v>810.5</v>
          </cell>
          <cell r="L406">
            <v>98</v>
          </cell>
          <cell r="M406">
            <v>836.75</v>
          </cell>
          <cell r="N406">
            <v>281.5</v>
          </cell>
          <cell r="O406">
            <v>705.75</v>
          </cell>
          <cell r="P406">
            <v>220.5</v>
          </cell>
          <cell r="Q406">
            <v>168</v>
          </cell>
          <cell r="R406">
            <v>102.5</v>
          </cell>
          <cell r="S406">
            <v>785.5</v>
          </cell>
          <cell r="T406">
            <v>14520</v>
          </cell>
          <cell r="U406">
            <v>1387.25</v>
          </cell>
          <cell r="V406">
            <v>383</v>
          </cell>
          <cell r="W406">
            <v>3521.25</v>
          </cell>
          <cell r="X406">
            <v>9543.25</v>
          </cell>
          <cell r="Y406">
            <v>14903</v>
          </cell>
        </row>
        <row r="407">
          <cell r="D407">
            <v>1990</v>
          </cell>
          <cell r="E407">
            <v>1684.75</v>
          </cell>
          <cell r="F407">
            <v>163.5</v>
          </cell>
          <cell r="G407">
            <v>0</v>
          </cell>
          <cell r="H407">
            <v>5169</v>
          </cell>
          <cell r="I407">
            <v>1064.25</v>
          </cell>
          <cell r="J407">
            <v>825.5</v>
          </cell>
          <cell r="K407">
            <v>869</v>
          </cell>
          <cell r="L407">
            <v>120</v>
          </cell>
          <cell r="M407">
            <v>887.75</v>
          </cell>
          <cell r="N407">
            <v>265.5</v>
          </cell>
          <cell r="O407">
            <v>733.5</v>
          </cell>
          <cell r="P407">
            <v>137</v>
          </cell>
          <cell r="Q407">
            <v>162.75</v>
          </cell>
          <cell r="R407">
            <v>86.5</v>
          </cell>
          <cell r="S407">
            <v>780.5</v>
          </cell>
          <cell r="T407">
            <v>14939.5</v>
          </cell>
          <cell r="U407">
            <v>1542</v>
          </cell>
          <cell r="V407">
            <v>371</v>
          </cell>
          <cell r="W407">
            <v>3674.75</v>
          </cell>
          <cell r="X407">
            <v>9934.5</v>
          </cell>
          <cell r="Y407">
            <v>15310.5</v>
          </cell>
        </row>
        <row r="408">
          <cell r="D408">
            <v>1810.75</v>
          </cell>
          <cell r="E408">
            <v>1511.5</v>
          </cell>
          <cell r="F408">
            <v>206</v>
          </cell>
          <cell r="G408">
            <v>0</v>
          </cell>
          <cell r="H408">
            <v>5047.25</v>
          </cell>
          <cell r="I408">
            <v>1042.25</v>
          </cell>
          <cell r="J408">
            <v>812.75</v>
          </cell>
          <cell r="K408">
            <v>770.25</v>
          </cell>
          <cell r="L408">
            <v>109</v>
          </cell>
          <cell r="M408">
            <v>1164.75</v>
          </cell>
          <cell r="N408">
            <v>325.75</v>
          </cell>
          <cell r="O408">
            <v>689</v>
          </cell>
          <cell r="P408">
            <v>83.75</v>
          </cell>
          <cell r="Q408">
            <v>187</v>
          </cell>
          <cell r="R408">
            <v>111.75</v>
          </cell>
          <cell r="S408">
            <v>788.75</v>
          </cell>
          <cell r="T408">
            <v>14660.5</v>
          </cell>
          <cell r="U408">
            <v>975.25</v>
          </cell>
          <cell r="V408">
            <v>369</v>
          </cell>
          <cell r="W408">
            <v>3322.25</v>
          </cell>
          <cell r="X408">
            <v>9961</v>
          </cell>
          <cell r="Y408">
            <v>15029.5</v>
          </cell>
        </row>
        <row r="409">
          <cell r="D409">
            <v>1881.5</v>
          </cell>
          <cell r="E409">
            <v>1639</v>
          </cell>
          <cell r="F409">
            <v>248.25</v>
          </cell>
          <cell r="G409">
            <v>0</v>
          </cell>
          <cell r="H409">
            <v>5379.5</v>
          </cell>
          <cell r="I409">
            <v>1051.25</v>
          </cell>
          <cell r="J409">
            <v>808.75</v>
          </cell>
          <cell r="K409">
            <v>844.5</v>
          </cell>
          <cell r="L409">
            <v>111.5</v>
          </cell>
          <cell r="M409">
            <v>1314</v>
          </cell>
          <cell r="N409">
            <v>220.5</v>
          </cell>
          <cell r="O409">
            <v>745.75</v>
          </cell>
          <cell r="P409">
            <v>10</v>
          </cell>
          <cell r="Q409">
            <v>203.75</v>
          </cell>
          <cell r="R409">
            <v>103.25</v>
          </cell>
          <cell r="S409">
            <v>859.5</v>
          </cell>
          <cell r="T409">
            <v>15421</v>
          </cell>
          <cell r="U409">
            <v>1279.25</v>
          </cell>
          <cell r="V409">
            <v>346.5</v>
          </cell>
          <cell r="W409">
            <v>3520.5</v>
          </cell>
          <cell r="X409">
            <v>10475.75</v>
          </cell>
          <cell r="Y409">
            <v>15767.5</v>
          </cell>
        </row>
        <row r="410">
          <cell r="D410">
            <v>1826.5</v>
          </cell>
          <cell r="E410">
            <v>1632.25</v>
          </cell>
          <cell r="F410">
            <v>182.25</v>
          </cell>
          <cell r="G410">
            <v>0</v>
          </cell>
          <cell r="H410">
            <v>5404.75</v>
          </cell>
          <cell r="I410">
            <v>1033</v>
          </cell>
          <cell r="J410">
            <v>791.25</v>
          </cell>
          <cell r="K410">
            <v>861</v>
          </cell>
          <cell r="L410">
            <v>116.25</v>
          </cell>
          <cell r="M410">
            <v>1102</v>
          </cell>
          <cell r="N410">
            <v>133.25</v>
          </cell>
          <cell r="O410">
            <v>737.5</v>
          </cell>
          <cell r="P410">
            <v>256.25</v>
          </cell>
          <cell r="Q410">
            <v>210</v>
          </cell>
          <cell r="R410">
            <v>114.25</v>
          </cell>
          <cell r="S410">
            <v>1063.5</v>
          </cell>
          <cell r="T410">
            <v>15464</v>
          </cell>
          <cell r="U410">
            <v>1547.75</v>
          </cell>
          <cell r="V410">
            <v>383.5</v>
          </cell>
          <cell r="W410">
            <v>3458.75</v>
          </cell>
          <cell r="X410">
            <v>10179</v>
          </cell>
          <cell r="Y410">
            <v>15847.5</v>
          </cell>
        </row>
        <row r="411">
          <cell r="D411">
            <v>1543.75</v>
          </cell>
          <cell r="E411">
            <v>1409.75</v>
          </cell>
          <cell r="F411">
            <v>170.5</v>
          </cell>
          <cell r="G411">
            <v>0</v>
          </cell>
          <cell r="H411">
            <v>4870.25</v>
          </cell>
          <cell r="I411">
            <v>899.75</v>
          </cell>
          <cell r="J411">
            <v>705.25</v>
          </cell>
          <cell r="K411">
            <v>768.5</v>
          </cell>
          <cell r="L411">
            <v>130.75</v>
          </cell>
          <cell r="M411">
            <v>1121.25</v>
          </cell>
          <cell r="N411">
            <v>161</v>
          </cell>
          <cell r="O411">
            <v>636.25</v>
          </cell>
          <cell r="P411">
            <v>252.75</v>
          </cell>
          <cell r="Q411">
            <v>210.25</v>
          </cell>
          <cell r="R411">
            <v>148.5</v>
          </cell>
          <cell r="S411">
            <v>1120.25</v>
          </cell>
          <cell r="T411">
            <v>14148.75</v>
          </cell>
          <cell r="U411">
            <v>626</v>
          </cell>
          <cell r="V411">
            <v>330.3</v>
          </cell>
          <cell r="W411">
            <v>2953.5</v>
          </cell>
          <cell r="X411">
            <v>9293</v>
          </cell>
          <cell r="Y411">
            <v>14479.05</v>
          </cell>
        </row>
        <row r="412">
          <cell r="D412">
            <v>1547.75</v>
          </cell>
          <cell r="E412">
            <v>1480</v>
          </cell>
          <cell r="F412">
            <v>212.5</v>
          </cell>
          <cell r="G412">
            <v>0</v>
          </cell>
          <cell r="H412">
            <v>4985.75</v>
          </cell>
          <cell r="I412">
            <v>960.5</v>
          </cell>
          <cell r="J412">
            <v>711.25</v>
          </cell>
          <cell r="K412">
            <v>728.25</v>
          </cell>
          <cell r="L412">
            <v>117.25</v>
          </cell>
          <cell r="M412">
            <v>915</v>
          </cell>
          <cell r="N412">
            <v>159.75</v>
          </cell>
          <cell r="O412">
            <v>646.25</v>
          </cell>
          <cell r="P412">
            <v>84.25</v>
          </cell>
          <cell r="Q412">
            <v>197.75</v>
          </cell>
          <cell r="R412">
            <v>137.25</v>
          </cell>
          <cell r="S412">
            <v>836.5</v>
          </cell>
          <cell r="T412">
            <v>13720</v>
          </cell>
          <cell r="U412">
            <v>723</v>
          </cell>
          <cell r="V412">
            <v>406</v>
          </cell>
          <cell r="W412">
            <v>3027.75</v>
          </cell>
          <cell r="X412">
            <v>9224</v>
          </cell>
          <cell r="Y412">
            <v>14126</v>
          </cell>
        </row>
        <row r="413">
          <cell r="D413">
            <v>1674.25</v>
          </cell>
          <cell r="E413">
            <v>1476.5</v>
          </cell>
          <cell r="F413">
            <v>298.5</v>
          </cell>
          <cell r="G413">
            <v>0</v>
          </cell>
          <cell r="H413">
            <v>4737.75</v>
          </cell>
          <cell r="I413">
            <v>998.5</v>
          </cell>
          <cell r="J413">
            <v>787.75</v>
          </cell>
          <cell r="K413">
            <v>803.25</v>
          </cell>
          <cell r="L413">
            <v>130</v>
          </cell>
          <cell r="M413">
            <v>1030.5</v>
          </cell>
          <cell r="N413">
            <v>191.75</v>
          </cell>
          <cell r="O413">
            <v>789.25</v>
          </cell>
          <cell r="P413">
            <v>14.75</v>
          </cell>
          <cell r="Q413">
            <v>178.5</v>
          </cell>
          <cell r="R413">
            <v>212.75</v>
          </cell>
          <cell r="S413">
            <v>955.5</v>
          </cell>
          <cell r="T413">
            <v>14279.5</v>
          </cell>
          <cell r="U413">
            <v>1261</v>
          </cell>
          <cell r="V413">
            <v>344</v>
          </cell>
          <cell r="W413">
            <v>3150.75</v>
          </cell>
          <cell r="X413">
            <v>9468.75</v>
          </cell>
          <cell r="Y413">
            <v>14623.5</v>
          </cell>
        </row>
        <row r="414">
          <cell r="D414">
            <v>1733.75</v>
          </cell>
          <cell r="E414">
            <v>1439</v>
          </cell>
          <cell r="F414">
            <v>261.5</v>
          </cell>
          <cell r="G414">
            <v>0</v>
          </cell>
          <cell r="H414">
            <v>4968.25</v>
          </cell>
          <cell r="I414">
            <v>921.25</v>
          </cell>
          <cell r="J414">
            <v>784.75</v>
          </cell>
          <cell r="K414">
            <v>747.75</v>
          </cell>
          <cell r="L414">
            <v>120.75</v>
          </cell>
          <cell r="M414">
            <v>1020.5</v>
          </cell>
          <cell r="N414">
            <v>150.5</v>
          </cell>
          <cell r="O414">
            <v>813</v>
          </cell>
          <cell r="P414">
            <v>76.25</v>
          </cell>
          <cell r="Q414">
            <v>185.5</v>
          </cell>
          <cell r="R414">
            <v>175.5</v>
          </cell>
          <cell r="S414">
            <v>997.5</v>
          </cell>
          <cell r="T414">
            <v>14395.75</v>
          </cell>
          <cell r="U414">
            <v>772.5</v>
          </cell>
          <cell r="V414">
            <v>432.95</v>
          </cell>
          <cell r="W414">
            <v>3172.75</v>
          </cell>
          <cell r="X414">
            <v>9526.75</v>
          </cell>
          <cell r="Y414">
            <v>14828.7</v>
          </cell>
        </row>
        <row r="415">
          <cell r="D415">
            <v>1672.25</v>
          </cell>
          <cell r="E415">
            <v>1313.75</v>
          </cell>
          <cell r="F415">
            <v>196</v>
          </cell>
          <cell r="G415">
            <v>0</v>
          </cell>
          <cell r="H415">
            <v>4513.75</v>
          </cell>
          <cell r="I415">
            <v>860.25</v>
          </cell>
          <cell r="J415">
            <v>683.75</v>
          </cell>
          <cell r="K415">
            <v>703.25</v>
          </cell>
          <cell r="L415">
            <v>101.25</v>
          </cell>
          <cell r="M415">
            <v>653.75</v>
          </cell>
          <cell r="N415">
            <v>164.75</v>
          </cell>
          <cell r="O415">
            <v>607</v>
          </cell>
          <cell r="P415">
            <v>220</v>
          </cell>
          <cell r="Q415">
            <v>152.5</v>
          </cell>
          <cell r="R415">
            <v>158.5</v>
          </cell>
          <cell r="S415">
            <v>929</v>
          </cell>
          <cell r="T415">
            <v>12929.75</v>
          </cell>
          <cell r="U415">
            <v>527</v>
          </cell>
          <cell r="V415">
            <v>458.5</v>
          </cell>
          <cell r="W415">
            <v>2986</v>
          </cell>
          <cell r="X415">
            <v>8287.75</v>
          </cell>
          <cell r="Y415">
            <v>13388.25</v>
          </cell>
        </row>
        <row r="416">
          <cell r="D416">
            <v>1621.5</v>
          </cell>
          <cell r="E416">
            <v>1297.25</v>
          </cell>
          <cell r="F416">
            <v>192</v>
          </cell>
          <cell r="G416">
            <v>0</v>
          </cell>
          <cell r="H416">
            <v>4619</v>
          </cell>
          <cell r="I416">
            <v>799</v>
          </cell>
          <cell r="J416">
            <v>626.75</v>
          </cell>
          <cell r="K416">
            <v>716.5</v>
          </cell>
          <cell r="L416">
            <v>103.75</v>
          </cell>
          <cell r="M416">
            <v>684.75</v>
          </cell>
          <cell r="N416">
            <v>169.75</v>
          </cell>
          <cell r="O416">
            <v>537</v>
          </cell>
          <cell r="P416">
            <v>282</v>
          </cell>
          <cell r="Q416">
            <v>190.5</v>
          </cell>
          <cell r="R416">
            <v>103.25</v>
          </cell>
          <cell r="S416">
            <v>957</v>
          </cell>
          <cell r="T416">
            <v>12900</v>
          </cell>
          <cell r="U416">
            <v>280.75</v>
          </cell>
          <cell r="V416">
            <v>410.5</v>
          </cell>
          <cell r="W416">
            <v>2918.75</v>
          </cell>
          <cell r="X416">
            <v>8256.5</v>
          </cell>
          <cell r="Y416">
            <v>13310.5</v>
          </cell>
        </row>
        <row r="417">
          <cell r="D417">
            <v>1741.75</v>
          </cell>
          <cell r="E417">
            <v>1378.75</v>
          </cell>
          <cell r="F417">
            <v>329</v>
          </cell>
          <cell r="G417">
            <v>0</v>
          </cell>
          <cell r="H417">
            <v>4793.25</v>
          </cell>
          <cell r="I417">
            <v>917</v>
          </cell>
          <cell r="J417">
            <v>776.5</v>
          </cell>
          <cell r="K417">
            <v>805</v>
          </cell>
          <cell r="L417">
            <v>105.75</v>
          </cell>
          <cell r="M417">
            <v>978.5</v>
          </cell>
          <cell r="N417">
            <v>141.5</v>
          </cell>
          <cell r="O417">
            <v>681.25</v>
          </cell>
          <cell r="P417">
            <v>158</v>
          </cell>
          <cell r="Q417">
            <v>224</v>
          </cell>
          <cell r="R417">
            <v>98.5</v>
          </cell>
          <cell r="S417">
            <v>1300.25</v>
          </cell>
          <cell r="T417">
            <v>14429</v>
          </cell>
          <cell r="U417">
            <v>997</v>
          </cell>
          <cell r="V417">
            <v>461.75</v>
          </cell>
          <cell r="W417">
            <v>3120.5</v>
          </cell>
          <cell r="X417">
            <v>9198.75</v>
          </cell>
          <cell r="Y417">
            <v>14890.75</v>
          </cell>
        </row>
        <row r="418">
          <cell r="D418">
            <v>1895.5</v>
          </cell>
          <cell r="E418">
            <v>1492.5</v>
          </cell>
          <cell r="F418">
            <v>288.25</v>
          </cell>
          <cell r="G418">
            <v>0</v>
          </cell>
          <cell r="H418">
            <v>4835</v>
          </cell>
          <cell r="I418">
            <v>940.75</v>
          </cell>
          <cell r="J418">
            <v>731.5</v>
          </cell>
          <cell r="K418">
            <v>875.5</v>
          </cell>
          <cell r="L418">
            <v>118.5</v>
          </cell>
          <cell r="M418">
            <v>1052.25</v>
          </cell>
          <cell r="N418">
            <v>189.5</v>
          </cell>
          <cell r="O418">
            <v>707.75</v>
          </cell>
          <cell r="P418">
            <v>14</v>
          </cell>
          <cell r="Q418">
            <v>271.75</v>
          </cell>
          <cell r="R418">
            <v>81.5</v>
          </cell>
          <cell r="S418">
            <v>1262.75</v>
          </cell>
          <cell r="T418">
            <v>14757</v>
          </cell>
          <cell r="U418">
            <v>1031.75</v>
          </cell>
          <cell r="V418">
            <v>412.5</v>
          </cell>
          <cell r="W418">
            <v>3388</v>
          </cell>
          <cell r="X418">
            <v>9450.75</v>
          </cell>
          <cell r="Y418">
            <v>15169.5</v>
          </cell>
        </row>
        <row r="419">
          <cell r="D419">
            <v>1527.5</v>
          </cell>
          <cell r="E419">
            <v>1188</v>
          </cell>
          <cell r="F419">
            <v>104.75</v>
          </cell>
          <cell r="G419">
            <v>0</v>
          </cell>
          <cell r="H419">
            <v>4544.25</v>
          </cell>
          <cell r="I419">
            <v>872</v>
          </cell>
          <cell r="J419">
            <v>618.25</v>
          </cell>
          <cell r="K419">
            <v>762.25</v>
          </cell>
          <cell r="L419">
            <v>131.75</v>
          </cell>
          <cell r="M419">
            <v>557</v>
          </cell>
          <cell r="N419">
            <v>153</v>
          </cell>
          <cell r="O419">
            <v>600</v>
          </cell>
          <cell r="P419">
            <v>210.5</v>
          </cell>
          <cell r="Q419">
            <v>233</v>
          </cell>
          <cell r="R419">
            <v>111.75</v>
          </cell>
          <cell r="S419">
            <v>930</v>
          </cell>
          <cell r="T419">
            <v>12544</v>
          </cell>
          <cell r="U419">
            <v>861.5</v>
          </cell>
          <cell r="V419">
            <v>370.5</v>
          </cell>
          <cell r="W419">
            <v>2715.5</v>
          </cell>
          <cell r="X419">
            <v>8238.5</v>
          </cell>
          <cell r="Y419">
            <v>12914.5</v>
          </cell>
        </row>
        <row r="420">
          <cell r="D420">
            <v>1809.75</v>
          </cell>
          <cell r="E420">
            <v>1392.25</v>
          </cell>
          <cell r="F420">
            <v>142.5</v>
          </cell>
          <cell r="G420">
            <v>0</v>
          </cell>
          <cell r="H420">
            <v>4643.75</v>
          </cell>
          <cell r="I420">
            <v>884</v>
          </cell>
          <cell r="J420">
            <v>756.5</v>
          </cell>
          <cell r="K420">
            <v>770</v>
          </cell>
          <cell r="L420">
            <v>118.25</v>
          </cell>
          <cell r="M420">
            <v>769</v>
          </cell>
          <cell r="N420">
            <v>139</v>
          </cell>
          <cell r="O420">
            <v>679.5</v>
          </cell>
          <cell r="P420">
            <v>267.25</v>
          </cell>
          <cell r="Q420">
            <v>189</v>
          </cell>
          <cell r="R420">
            <v>94.75</v>
          </cell>
          <cell r="S420">
            <v>1361</v>
          </cell>
          <cell r="T420">
            <v>14016.5</v>
          </cell>
          <cell r="U420">
            <v>837.5</v>
          </cell>
          <cell r="V420">
            <v>424.25</v>
          </cell>
          <cell r="W420">
            <v>3202</v>
          </cell>
          <cell r="X420">
            <v>8760</v>
          </cell>
          <cell r="Y420">
            <v>14440.75</v>
          </cell>
        </row>
        <row r="421">
          <cell r="D421">
            <v>1854.75</v>
          </cell>
          <cell r="E421">
            <v>1462.75</v>
          </cell>
          <cell r="F421">
            <v>230.75</v>
          </cell>
          <cell r="G421">
            <v>0</v>
          </cell>
          <cell r="H421">
            <v>5028.5</v>
          </cell>
          <cell r="I421">
            <v>944.25</v>
          </cell>
          <cell r="J421">
            <v>746.5</v>
          </cell>
          <cell r="K421">
            <v>831.75</v>
          </cell>
          <cell r="L421">
            <v>109</v>
          </cell>
          <cell r="M421">
            <v>897.25</v>
          </cell>
          <cell r="N421">
            <v>121.25</v>
          </cell>
          <cell r="O421">
            <v>686</v>
          </cell>
          <cell r="P421">
            <v>146</v>
          </cell>
          <cell r="Q421">
            <v>171.75</v>
          </cell>
          <cell r="R421">
            <v>105</v>
          </cell>
          <cell r="S421">
            <v>1335.25</v>
          </cell>
          <cell r="T421">
            <v>14670.75</v>
          </cell>
          <cell r="U421">
            <v>982.5</v>
          </cell>
          <cell r="V421">
            <v>391</v>
          </cell>
          <cell r="W421">
            <v>3317.5</v>
          </cell>
          <cell r="X421">
            <v>9364.5</v>
          </cell>
          <cell r="Y421">
            <v>15061.75</v>
          </cell>
        </row>
        <row r="422">
          <cell r="D422">
            <v>1969.5</v>
          </cell>
          <cell r="E422">
            <v>1639.75</v>
          </cell>
          <cell r="F422">
            <v>291.25</v>
          </cell>
          <cell r="G422">
            <v>0</v>
          </cell>
          <cell r="H422">
            <v>4883.75</v>
          </cell>
          <cell r="I422">
            <v>972.25</v>
          </cell>
          <cell r="J422">
            <v>851.25</v>
          </cell>
          <cell r="K422">
            <v>854.25</v>
          </cell>
          <cell r="L422">
            <v>100.25</v>
          </cell>
          <cell r="M422">
            <v>1148.75</v>
          </cell>
          <cell r="N422">
            <v>152.25</v>
          </cell>
          <cell r="O422">
            <v>755.75</v>
          </cell>
          <cell r="P422">
            <v>18.75</v>
          </cell>
          <cell r="Q422">
            <v>208</v>
          </cell>
          <cell r="R422">
            <v>99.25</v>
          </cell>
          <cell r="S422">
            <v>1162</v>
          </cell>
          <cell r="T422">
            <v>15107</v>
          </cell>
          <cell r="U422">
            <v>1034.5</v>
          </cell>
          <cell r="V422">
            <v>367.25</v>
          </cell>
          <cell r="W422">
            <v>3609.25</v>
          </cell>
          <cell r="X422">
            <v>9718.5</v>
          </cell>
          <cell r="Y422">
            <v>15474.25</v>
          </cell>
        </row>
        <row r="423">
          <cell r="D423">
            <v>1712.5</v>
          </cell>
          <cell r="E423">
            <v>1437.75</v>
          </cell>
          <cell r="F423">
            <v>169</v>
          </cell>
          <cell r="G423">
            <v>0</v>
          </cell>
          <cell r="H423">
            <v>4962.75</v>
          </cell>
          <cell r="I423">
            <v>1005.25</v>
          </cell>
          <cell r="J423">
            <v>801.5</v>
          </cell>
          <cell r="K423">
            <v>810.5</v>
          </cell>
          <cell r="L423">
            <v>107.75</v>
          </cell>
          <cell r="M423">
            <v>943.5</v>
          </cell>
          <cell r="N423">
            <v>113.5</v>
          </cell>
          <cell r="O423">
            <v>690.25</v>
          </cell>
          <cell r="P423">
            <v>168.25</v>
          </cell>
          <cell r="Q423">
            <v>226</v>
          </cell>
          <cell r="R423">
            <v>99</v>
          </cell>
          <cell r="S423">
            <v>1142.5</v>
          </cell>
          <cell r="T423">
            <v>14390</v>
          </cell>
          <cell r="U423">
            <v>615.25</v>
          </cell>
          <cell r="V423">
            <v>427.5</v>
          </cell>
          <cell r="W423">
            <v>3150.25</v>
          </cell>
          <cell r="X423">
            <v>9435</v>
          </cell>
          <cell r="Y423">
            <v>14817.5</v>
          </cell>
        </row>
        <row r="424">
          <cell r="D424">
            <v>1721.5</v>
          </cell>
          <cell r="E424">
            <v>1514.75</v>
          </cell>
          <cell r="F424">
            <v>147.5</v>
          </cell>
          <cell r="G424">
            <v>0</v>
          </cell>
          <cell r="H424">
            <v>4832</v>
          </cell>
          <cell r="I424">
            <v>925.5</v>
          </cell>
          <cell r="J424">
            <v>715.25</v>
          </cell>
          <cell r="K424">
            <v>814.5</v>
          </cell>
          <cell r="L424">
            <v>99.25</v>
          </cell>
          <cell r="M424">
            <v>805.5</v>
          </cell>
          <cell r="N424">
            <v>114</v>
          </cell>
          <cell r="O424">
            <v>717</v>
          </cell>
          <cell r="P424">
            <v>251.75</v>
          </cell>
          <cell r="Q424">
            <v>222.5</v>
          </cell>
          <cell r="R424">
            <v>99.75</v>
          </cell>
          <cell r="S424">
            <v>1270.5</v>
          </cell>
          <cell r="T424">
            <v>14251.25</v>
          </cell>
          <cell r="U424">
            <v>601.5</v>
          </cell>
          <cell r="V424">
            <v>423.5</v>
          </cell>
          <cell r="W424">
            <v>3236.25</v>
          </cell>
          <cell r="X424">
            <v>9023</v>
          </cell>
          <cell r="Y424">
            <v>14674.75</v>
          </cell>
        </row>
        <row r="425">
          <cell r="D425">
            <v>1930.5</v>
          </cell>
          <cell r="E425">
            <v>1616.75</v>
          </cell>
          <cell r="F425">
            <v>175</v>
          </cell>
          <cell r="G425">
            <v>0</v>
          </cell>
          <cell r="H425">
            <v>4899.75</v>
          </cell>
          <cell r="I425">
            <v>947.75</v>
          </cell>
          <cell r="J425">
            <v>763.75</v>
          </cell>
          <cell r="K425">
            <v>800.75</v>
          </cell>
          <cell r="L425">
            <v>138.5</v>
          </cell>
          <cell r="M425">
            <v>819.25</v>
          </cell>
          <cell r="N425">
            <v>121.25</v>
          </cell>
          <cell r="O425">
            <v>684.5</v>
          </cell>
          <cell r="P425">
            <v>174.75</v>
          </cell>
          <cell r="Q425">
            <v>259</v>
          </cell>
          <cell r="R425">
            <v>103</v>
          </cell>
          <cell r="S425">
            <v>1409.25</v>
          </cell>
          <cell r="T425">
            <v>14843.75</v>
          </cell>
          <cell r="U425">
            <v>707.25</v>
          </cell>
          <cell r="V425">
            <v>446.5</v>
          </cell>
          <cell r="W425">
            <v>3547.25</v>
          </cell>
          <cell r="X425">
            <v>9175.5</v>
          </cell>
          <cell r="Y425">
            <v>15290.25</v>
          </cell>
        </row>
        <row r="426">
          <cell r="D426">
            <v>1931</v>
          </cell>
          <cell r="E426">
            <v>1624</v>
          </cell>
          <cell r="F426">
            <v>272.75</v>
          </cell>
          <cell r="G426">
            <v>0</v>
          </cell>
          <cell r="H426">
            <v>5105.25</v>
          </cell>
          <cell r="I426">
            <v>1017.5</v>
          </cell>
          <cell r="J426">
            <v>851.25</v>
          </cell>
          <cell r="K426">
            <v>827.5</v>
          </cell>
          <cell r="L426">
            <v>104</v>
          </cell>
          <cell r="M426">
            <v>966.5</v>
          </cell>
          <cell r="N426">
            <v>108</v>
          </cell>
          <cell r="O426">
            <v>757</v>
          </cell>
          <cell r="P426">
            <v>102.5</v>
          </cell>
          <cell r="Q426">
            <v>276</v>
          </cell>
          <cell r="R426">
            <v>95</v>
          </cell>
          <cell r="S426">
            <v>1326.25</v>
          </cell>
          <cell r="T426">
            <v>15364.5</v>
          </cell>
          <cell r="U426">
            <v>674</v>
          </cell>
          <cell r="V426">
            <v>369</v>
          </cell>
          <cell r="W426">
            <v>3555</v>
          </cell>
          <cell r="X426">
            <v>9737</v>
          </cell>
          <cell r="Y426">
            <v>15733.5</v>
          </cell>
        </row>
        <row r="427">
          <cell r="D427">
            <v>1765.25</v>
          </cell>
          <cell r="E427">
            <v>1391.75</v>
          </cell>
          <cell r="F427">
            <v>205.25</v>
          </cell>
          <cell r="G427">
            <v>0</v>
          </cell>
          <cell r="H427">
            <v>4976</v>
          </cell>
          <cell r="I427">
            <v>911.25</v>
          </cell>
          <cell r="J427">
            <v>798</v>
          </cell>
          <cell r="K427">
            <v>779.25</v>
          </cell>
          <cell r="L427">
            <v>95.75</v>
          </cell>
          <cell r="M427">
            <v>837.25</v>
          </cell>
          <cell r="N427">
            <v>104</v>
          </cell>
          <cell r="O427">
            <v>664.75</v>
          </cell>
          <cell r="P427">
            <v>119.5</v>
          </cell>
          <cell r="Q427">
            <v>310</v>
          </cell>
          <cell r="R427">
            <v>98.25</v>
          </cell>
          <cell r="S427">
            <v>1203.25</v>
          </cell>
          <cell r="T427">
            <v>14259.5</v>
          </cell>
          <cell r="U427">
            <v>488.25</v>
          </cell>
          <cell r="V427">
            <v>474.5</v>
          </cell>
          <cell r="W427">
            <v>3157</v>
          </cell>
          <cell r="X427">
            <v>9166.25</v>
          </cell>
          <cell r="Y427">
            <v>14734</v>
          </cell>
        </row>
        <row r="428">
          <cell r="D428">
            <v>1888.5</v>
          </cell>
          <cell r="E428">
            <v>1597</v>
          </cell>
          <cell r="F428">
            <v>178</v>
          </cell>
          <cell r="G428">
            <v>0</v>
          </cell>
          <cell r="H428">
            <v>4711.25</v>
          </cell>
          <cell r="I428">
            <v>912.5</v>
          </cell>
          <cell r="J428">
            <v>830.5</v>
          </cell>
          <cell r="K428">
            <v>749</v>
          </cell>
          <cell r="L428">
            <v>96</v>
          </cell>
          <cell r="M428">
            <v>901.5</v>
          </cell>
          <cell r="N428">
            <v>107.5</v>
          </cell>
          <cell r="O428">
            <v>629.75</v>
          </cell>
          <cell r="P428">
            <v>170.25</v>
          </cell>
          <cell r="Q428">
            <v>194</v>
          </cell>
          <cell r="R428">
            <v>100.75</v>
          </cell>
          <cell r="S428">
            <v>1190.75</v>
          </cell>
          <cell r="T428">
            <v>14257.25</v>
          </cell>
          <cell r="U428">
            <v>563.25</v>
          </cell>
          <cell r="V428">
            <v>519</v>
          </cell>
          <cell r="W428">
            <v>3485.5</v>
          </cell>
          <cell r="X428">
            <v>8938</v>
          </cell>
          <cell r="Y428">
            <v>14776.25</v>
          </cell>
        </row>
        <row r="429">
          <cell r="D429">
            <v>1864.75</v>
          </cell>
          <cell r="E429">
            <v>1460.5</v>
          </cell>
          <cell r="F429">
            <v>179</v>
          </cell>
          <cell r="G429">
            <v>0</v>
          </cell>
          <cell r="H429">
            <v>4878.75</v>
          </cell>
          <cell r="I429">
            <v>905.25</v>
          </cell>
          <cell r="J429">
            <v>739</v>
          </cell>
          <cell r="K429">
            <v>718.25</v>
          </cell>
          <cell r="L429">
            <v>99.5</v>
          </cell>
          <cell r="M429">
            <v>771.5</v>
          </cell>
          <cell r="N429">
            <v>217.75</v>
          </cell>
          <cell r="O429">
            <v>572.25</v>
          </cell>
          <cell r="P429">
            <v>139</v>
          </cell>
          <cell r="Q429">
            <v>230.5</v>
          </cell>
          <cell r="R429">
            <v>98.75</v>
          </cell>
          <cell r="S429">
            <v>1023</v>
          </cell>
          <cell r="T429">
            <v>13897.75</v>
          </cell>
          <cell r="U429">
            <v>291.5</v>
          </cell>
          <cell r="V429">
            <v>481.75</v>
          </cell>
          <cell r="W429">
            <v>3325.25</v>
          </cell>
          <cell r="X429">
            <v>8902.25</v>
          </cell>
          <cell r="Y429">
            <v>14379.5</v>
          </cell>
        </row>
        <row r="430">
          <cell r="D430">
            <v>1733.75</v>
          </cell>
          <cell r="E430">
            <v>1400</v>
          </cell>
          <cell r="F430">
            <v>233.75</v>
          </cell>
          <cell r="G430">
            <v>0</v>
          </cell>
          <cell r="H430">
            <v>4648</v>
          </cell>
          <cell r="I430">
            <v>896.25</v>
          </cell>
          <cell r="J430">
            <v>801.5</v>
          </cell>
          <cell r="K430">
            <v>814</v>
          </cell>
          <cell r="L430">
            <v>89</v>
          </cell>
          <cell r="M430">
            <v>785</v>
          </cell>
          <cell r="N430">
            <v>435</v>
          </cell>
          <cell r="O430">
            <v>591.75</v>
          </cell>
          <cell r="P430">
            <v>25</v>
          </cell>
          <cell r="Q430">
            <v>180</v>
          </cell>
          <cell r="R430">
            <v>81.5</v>
          </cell>
          <cell r="S430">
            <v>1068.25</v>
          </cell>
          <cell r="T430">
            <v>13782.75</v>
          </cell>
          <cell r="U430">
            <v>527</v>
          </cell>
          <cell r="V430">
            <v>539.25</v>
          </cell>
          <cell r="W430">
            <v>3133.75</v>
          </cell>
          <cell r="X430">
            <v>9060.5</v>
          </cell>
          <cell r="Y430">
            <v>14322</v>
          </cell>
        </row>
        <row r="431">
          <cell r="D431">
            <v>1748.25</v>
          </cell>
          <cell r="E431">
            <v>1378.25</v>
          </cell>
          <cell r="F431">
            <v>186</v>
          </cell>
          <cell r="G431">
            <v>0</v>
          </cell>
          <cell r="H431">
            <v>4869.5</v>
          </cell>
          <cell r="I431">
            <v>897</v>
          </cell>
          <cell r="J431">
            <v>808</v>
          </cell>
          <cell r="K431">
            <v>831</v>
          </cell>
          <cell r="L431">
            <v>88.25</v>
          </cell>
          <cell r="M431">
            <v>628.25</v>
          </cell>
          <cell r="N431">
            <v>389.25</v>
          </cell>
          <cell r="O431">
            <v>704</v>
          </cell>
          <cell r="P431">
            <v>25</v>
          </cell>
          <cell r="Q431">
            <v>176.75</v>
          </cell>
          <cell r="R431">
            <v>99.25</v>
          </cell>
          <cell r="S431">
            <v>1215.75</v>
          </cell>
          <cell r="T431">
            <v>14044.5</v>
          </cell>
          <cell r="U431">
            <v>526.5</v>
          </cell>
          <cell r="V431">
            <v>514.54999999999995</v>
          </cell>
          <cell r="W431">
            <v>3126.5</v>
          </cell>
          <cell r="X431">
            <v>9215.25</v>
          </cell>
          <cell r="Y431">
            <v>14559.05</v>
          </cell>
        </row>
        <row r="432">
          <cell r="D432">
            <v>1823</v>
          </cell>
          <cell r="E432">
            <v>1485.25</v>
          </cell>
          <cell r="F432">
            <v>159.25</v>
          </cell>
          <cell r="G432">
            <v>0</v>
          </cell>
          <cell r="H432">
            <v>4939.75</v>
          </cell>
          <cell r="I432">
            <v>947.25</v>
          </cell>
          <cell r="J432">
            <v>828.75</v>
          </cell>
          <cell r="K432">
            <v>847</v>
          </cell>
          <cell r="L432">
            <v>96</v>
          </cell>
          <cell r="M432">
            <v>684</v>
          </cell>
          <cell r="N432">
            <v>377</v>
          </cell>
          <cell r="O432">
            <v>766.25</v>
          </cell>
          <cell r="P432">
            <v>107.75</v>
          </cell>
          <cell r="Q432">
            <v>206</v>
          </cell>
          <cell r="R432">
            <v>119.5</v>
          </cell>
          <cell r="S432">
            <v>1221</v>
          </cell>
          <cell r="T432">
            <v>14607.75</v>
          </cell>
          <cell r="U432">
            <v>647.5</v>
          </cell>
          <cell r="V432">
            <v>521.5</v>
          </cell>
          <cell r="W432">
            <v>3308.25</v>
          </cell>
          <cell r="X432">
            <v>9486</v>
          </cell>
          <cell r="Y432">
            <v>15129.25</v>
          </cell>
        </row>
        <row r="433">
          <cell r="D433">
            <v>1573</v>
          </cell>
          <cell r="E433">
            <v>1347.75</v>
          </cell>
          <cell r="F433">
            <v>98.75</v>
          </cell>
          <cell r="G433">
            <v>0</v>
          </cell>
          <cell r="H433">
            <v>4362.5</v>
          </cell>
          <cell r="I433">
            <v>818.25</v>
          </cell>
          <cell r="J433">
            <v>658.5</v>
          </cell>
          <cell r="K433">
            <v>781.25</v>
          </cell>
          <cell r="L433">
            <v>89.25</v>
          </cell>
          <cell r="M433">
            <v>576.25</v>
          </cell>
          <cell r="N433">
            <v>305</v>
          </cell>
          <cell r="O433">
            <v>628.75</v>
          </cell>
          <cell r="P433">
            <v>210.25</v>
          </cell>
          <cell r="Q433">
            <v>195.25</v>
          </cell>
          <cell r="R433">
            <v>95</v>
          </cell>
          <cell r="S433">
            <v>949.5</v>
          </cell>
          <cell r="T433">
            <v>12689.25</v>
          </cell>
          <cell r="U433">
            <v>159.5</v>
          </cell>
          <cell r="V433">
            <v>525.5</v>
          </cell>
          <cell r="W433">
            <v>2920.75</v>
          </cell>
          <cell r="X433">
            <v>8219.75</v>
          </cell>
          <cell r="Y433">
            <v>13214.75</v>
          </cell>
        </row>
        <row r="434">
          <cell r="D434">
            <v>1627.25</v>
          </cell>
          <cell r="E434">
            <v>1230.25</v>
          </cell>
          <cell r="F434">
            <v>157.5</v>
          </cell>
          <cell r="G434">
            <v>0</v>
          </cell>
          <cell r="H434">
            <v>4499.5</v>
          </cell>
          <cell r="I434">
            <v>834.75</v>
          </cell>
          <cell r="J434">
            <v>733</v>
          </cell>
          <cell r="K434">
            <v>804.25</v>
          </cell>
          <cell r="L434">
            <v>126</v>
          </cell>
          <cell r="M434">
            <v>671.5</v>
          </cell>
          <cell r="N434">
            <v>379</v>
          </cell>
          <cell r="O434">
            <v>662.5</v>
          </cell>
          <cell r="P434">
            <v>196.75</v>
          </cell>
          <cell r="Q434">
            <v>185</v>
          </cell>
          <cell r="R434">
            <v>110.5</v>
          </cell>
          <cell r="S434">
            <v>979.75</v>
          </cell>
          <cell r="T434">
            <v>13197.5</v>
          </cell>
          <cell r="U434">
            <v>181.25</v>
          </cell>
          <cell r="V434">
            <v>506</v>
          </cell>
          <cell r="W434">
            <v>2857.5</v>
          </cell>
          <cell r="X434">
            <v>8710.5</v>
          </cell>
          <cell r="Y434">
            <v>13703.5</v>
          </cell>
        </row>
        <row r="435">
          <cell r="D435">
            <v>1747.25</v>
          </cell>
          <cell r="E435">
            <v>1382.5</v>
          </cell>
          <cell r="F435">
            <v>210</v>
          </cell>
          <cell r="G435">
            <v>0</v>
          </cell>
          <cell r="H435">
            <v>4829.75</v>
          </cell>
          <cell r="I435">
            <v>935</v>
          </cell>
          <cell r="J435">
            <v>833.25</v>
          </cell>
          <cell r="K435">
            <v>1346.75</v>
          </cell>
          <cell r="L435">
            <v>101.75</v>
          </cell>
          <cell r="M435">
            <v>842.5</v>
          </cell>
          <cell r="N435">
            <v>375.75</v>
          </cell>
          <cell r="O435">
            <v>949.75</v>
          </cell>
          <cell r="P435">
            <v>215</v>
          </cell>
          <cell r="Q435">
            <v>187.75</v>
          </cell>
          <cell r="R435">
            <v>99.75</v>
          </cell>
          <cell r="S435">
            <v>1442.75</v>
          </cell>
          <cell r="T435">
            <v>15499.5</v>
          </cell>
          <cell r="U435">
            <v>360.25</v>
          </cell>
          <cell r="V435">
            <v>485.25</v>
          </cell>
          <cell r="W435">
            <v>3129.75</v>
          </cell>
          <cell r="X435">
            <v>10214.5</v>
          </cell>
          <cell r="Y435">
            <v>15984.75</v>
          </cell>
        </row>
        <row r="436">
          <cell r="D436">
            <v>0</v>
          </cell>
          <cell r="E436">
            <v>0</v>
          </cell>
          <cell r="F436">
            <v>0</v>
          </cell>
          <cell r="G436">
            <v>0</v>
          </cell>
          <cell r="H436">
            <v>0</v>
          </cell>
          <cell r="I436">
            <v>0</v>
          </cell>
          <cell r="J436">
            <v>0</v>
          </cell>
          <cell r="K436">
            <v>0</v>
          </cell>
          <cell r="L436">
            <v>0</v>
          </cell>
          <cell r="M436">
            <v>0</v>
          </cell>
          <cell r="N436">
            <v>0</v>
          </cell>
          <cell r="O436">
            <v>0</v>
          </cell>
          <cell r="P436">
            <v>0</v>
          </cell>
          <cell r="Q436">
            <v>0</v>
          </cell>
          <cell r="R436">
            <v>0</v>
          </cell>
          <cell r="S436">
            <v>0</v>
          </cell>
          <cell r="T436">
            <v>0</v>
          </cell>
          <cell r="U436">
            <v>0</v>
          </cell>
          <cell r="V436">
            <v>0</v>
          </cell>
          <cell r="W436">
            <v>0</v>
          </cell>
          <cell r="X436">
            <v>0</v>
          </cell>
          <cell r="Y436">
            <v>0</v>
          </cell>
        </row>
        <row r="437">
          <cell r="D437">
            <v>0</v>
          </cell>
          <cell r="E437">
            <v>0</v>
          </cell>
          <cell r="F437">
            <v>0</v>
          </cell>
          <cell r="G437">
            <v>0</v>
          </cell>
          <cell r="H437">
            <v>0</v>
          </cell>
          <cell r="I437">
            <v>0</v>
          </cell>
          <cell r="J437">
            <v>0</v>
          </cell>
          <cell r="K437">
            <v>0</v>
          </cell>
          <cell r="L437">
            <v>0</v>
          </cell>
          <cell r="M437">
            <v>0</v>
          </cell>
          <cell r="N437">
            <v>0</v>
          </cell>
          <cell r="O437">
            <v>0</v>
          </cell>
          <cell r="P437">
            <v>0</v>
          </cell>
          <cell r="Q437">
            <v>0</v>
          </cell>
          <cell r="R437">
            <v>0</v>
          </cell>
          <cell r="S437">
            <v>0</v>
          </cell>
          <cell r="T437">
            <v>0</v>
          </cell>
          <cell r="U437">
            <v>0</v>
          </cell>
          <cell r="V437">
            <v>0</v>
          </cell>
          <cell r="W437">
            <v>0</v>
          </cell>
          <cell r="X437">
            <v>0</v>
          </cell>
          <cell r="Y437">
            <v>0</v>
          </cell>
        </row>
        <row r="438">
          <cell r="D438">
            <v>0</v>
          </cell>
          <cell r="E438">
            <v>0</v>
          </cell>
          <cell r="F438">
            <v>0</v>
          </cell>
          <cell r="G438">
            <v>0</v>
          </cell>
          <cell r="H438">
            <v>0</v>
          </cell>
          <cell r="I438">
            <v>0</v>
          </cell>
          <cell r="J438">
            <v>0</v>
          </cell>
          <cell r="K438">
            <v>0</v>
          </cell>
          <cell r="L438">
            <v>0</v>
          </cell>
          <cell r="M438">
            <v>0</v>
          </cell>
          <cell r="N438">
            <v>0</v>
          </cell>
          <cell r="O438">
            <v>0</v>
          </cell>
          <cell r="P438">
            <v>0</v>
          </cell>
          <cell r="Q438">
            <v>0</v>
          </cell>
          <cell r="R438">
            <v>0</v>
          </cell>
          <cell r="S438">
            <v>0</v>
          </cell>
          <cell r="T438">
            <v>0</v>
          </cell>
          <cell r="U438">
            <v>0</v>
          </cell>
          <cell r="V438">
            <v>0</v>
          </cell>
          <cell r="W438">
            <v>0</v>
          </cell>
          <cell r="X438">
            <v>0</v>
          </cell>
          <cell r="Y438">
            <v>0</v>
          </cell>
        </row>
        <row r="439">
          <cell r="D439">
            <v>0</v>
          </cell>
          <cell r="E439">
            <v>0</v>
          </cell>
          <cell r="F439">
            <v>0</v>
          </cell>
          <cell r="G439">
            <v>0</v>
          </cell>
          <cell r="H439">
            <v>0</v>
          </cell>
          <cell r="I439">
            <v>0</v>
          </cell>
          <cell r="J439">
            <v>0</v>
          </cell>
          <cell r="K439">
            <v>0</v>
          </cell>
          <cell r="L439">
            <v>0</v>
          </cell>
          <cell r="M439">
            <v>0</v>
          </cell>
          <cell r="N439">
            <v>0</v>
          </cell>
          <cell r="O439">
            <v>0</v>
          </cell>
          <cell r="P439">
            <v>0</v>
          </cell>
          <cell r="Q439">
            <v>0</v>
          </cell>
          <cell r="R439">
            <v>0</v>
          </cell>
          <cell r="S439">
            <v>0</v>
          </cell>
          <cell r="T439">
            <v>0</v>
          </cell>
          <cell r="U439">
            <v>0</v>
          </cell>
          <cell r="V439">
            <v>0</v>
          </cell>
          <cell r="W439">
            <v>0</v>
          </cell>
          <cell r="X439">
            <v>0</v>
          </cell>
          <cell r="Y439">
            <v>0</v>
          </cell>
        </row>
        <row r="440">
          <cell r="D440">
            <v>0</v>
          </cell>
          <cell r="E440">
            <v>0</v>
          </cell>
          <cell r="F440">
            <v>0</v>
          </cell>
          <cell r="G440">
            <v>0</v>
          </cell>
          <cell r="H440">
            <v>0</v>
          </cell>
          <cell r="I440">
            <v>0</v>
          </cell>
          <cell r="J440">
            <v>0</v>
          </cell>
          <cell r="K440">
            <v>0</v>
          </cell>
          <cell r="L440">
            <v>0</v>
          </cell>
          <cell r="M440">
            <v>0</v>
          </cell>
          <cell r="N440">
            <v>0</v>
          </cell>
          <cell r="O440">
            <v>0</v>
          </cell>
          <cell r="P440">
            <v>0</v>
          </cell>
          <cell r="Q440">
            <v>0</v>
          </cell>
          <cell r="R440">
            <v>0</v>
          </cell>
          <cell r="S440">
            <v>0</v>
          </cell>
          <cell r="T440">
            <v>0</v>
          </cell>
          <cell r="U440">
            <v>0</v>
          </cell>
          <cell r="V440">
            <v>0</v>
          </cell>
          <cell r="W440">
            <v>0</v>
          </cell>
          <cell r="X440">
            <v>0</v>
          </cell>
          <cell r="Y440">
            <v>0</v>
          </cell>
        </row>
        <row r="441">
          <cell r="D441">
            <v>0</v>
          </cell>
          <cell r="E441">
            <v>0</v>
          </cell>
          <cell r="F441">
            <v>0</v>
          </cell>
          <cell r="G441">
            <v>0</v>
          </cell>
          <cell r="H441">
            <v>0</v>
          </cell>
          <cell r="I441">
            <v>0</v>
          </cell>
          <cell r="J441">
            <v>0</v>
          </cell>
          <cell r="K441">
            <v>0</v>
          </cell>
          <cell r="L441">
            <v>0</v>
          </cell>
          <cell r="M441">
            <v>0</v>
          </cell>
          <cell r="N441">
            <v>0</v>
          </cell>
          <cell r="O441">
            <v>0</v>
          </cell>
          <cell r="P441">
            <v>0</v>
          </cell>
          <cell r="Q441">
            <v>0</v>
          </cell>
          <cell r="R441">
            <v>0</v>
          </cell>
          <cell r="S441">
            <v>0</v>
          </cell>
          <cell r="T441">
            <v>0</v>
          </cell>
          <cell r="U441">
            <v>0</v>
          </cell>
          <cell r="V441">
            <v>0</v>
          </cell>
          <cell r="W441">
            <v>0</v>
          </cell>
          <cell r="X441">
            <v>0</v>
          </cell>
          <cell r="Y441">
            <v>0</v>
          </cell>
        </row>
        <row r="442">
          <cell r="D442">
            <v>0</v>
          </cell>
          <cell r="E442">
            <v>0</v>
          </cell>
          <cell r="F442">
            <v>0</v>
          </cell>
          <cell r="G442">
            <v>0</v>
          </cell>
          <cell r="H442">
            <v>0</v>
          </cell>
          <cell r="I442">
            <v>0</v>
          </cell>
          <cell r="J442">
            <v>0</v>
          </cell>
          <cell r="K442">
            <v>0</v>
          </cell>
          <cell r="L442">
            <v>0</v>
          </cell>
          <cell r="M442">
            <v>0</v>
          </cell>
          <cell r="N442">
            <v>0</v>
          </cell>
          <cell r="O442">
            <v>0</v>
          </cell>
          <cell r="P442">
            <v>0</v>
          </cell>
          <cell r="Q442">
            <v>0</v>
          </cell>
          <cell r="R442">
            <v>0</v>
          </cell>
          <cell r="S442">
            <v>0</v>
          </cell>
          <cell r="T442">
            <v>0</v>
          </cell>
          <cell r="U442">
            <v>0</v>
          </cell>
          <cell r="V442">
            <v>0</v>
          </cell>
          <cell r="W442">
            <v>0</v>
          </cell>
          <cell r="X442">
            <v>0</v>
          </cell>
          <cell r="Y442">
            <v>0</v>
          </cell>
        </row>
        <row r="443">
          <cell r="D443">
            <v>0</v>
          </cell>
          <cell r="E443">
            <v>0</v>
          </cell>
          <cell r="F443">
            <v>0</v>
          </cell>
          <cell r="G443">
            <v>0</v>
          </cell>
          <cell r="H443">
            <v>0</v>
          </cell>
          <cell r="I443">
            <v>0</v>
          </cell>
          <cell r="J443">
            <v>0</v>
          </cell>
          <cell r="K443">
            <v>0</v>
          </cell>
          <cell r="L443">
            <v>0</v>
          </cell>
          <cell r="M443">
            <v>0</v>
          </cell>
          <cell r="N443">
            <v>0</v>
          </cell>
          <cell r="O443">
            <v>0</v>
          </cell>
          <cell r="P443">
            <v>0</v>
          </cell>
          <cell r="Q443">
            <v>0</v>
          </cell>
          <cell r="R443">
            <v>0</v>
          </cell>
          <cell r="S443">
            <v>0</v>
          </cell>
          <cell r="T443">
            <v>0</v>
          </cell>
          <cell r="U443">
            <v>0</v>
          </cell>
          <cell r="V443">
            <v>0</v>
          </cell>
          <cell r="W443">
            <v>0</v>
          </cell>
          <cell r="X443">
            <v>0</v>
          </cell>
          <cell r="Y443">
            <v>0</v>
          </cell>
        </row>
        <row r="444">
          <cell r="D444">
            <v>0</v>
          </cell>
          <cell r="E444">
            <v>0</v>
          </cell>
          <cell r="F444">
            <v>0</v>
          </cell>
          <cell r="G444">
            <v>0</v>
          </cell>
          <cell r="H444">
            <v>0</v>
          </cell>
          <cell r="I444">
            <v>0</v>
          </cell>
          <cell r="J444">
            <v>0</v>
          </cell>
          <cell r="K444">
            <v>0</v>
          </cell>
          <cell r="L444">
            <v>0</v>
          </cell>
          <cell r="M444">
            <v>0</v>
          </cell>
          <cell r="N444">
            <v>0</v>
          </cell>
          <cell r="O444">
            <v>0</v>
          </cell>
          <cell r="P444">
            <v>0</v>
          </cell>
          <cell r="Q444">
            <v>0</v>
          </cell>
          <cell r="R444">
            <v>0</v>
          </cell>
          <cell r="S444">
            <v>0</v>
          </cell>
          <cell r="T444">
            <v>0</v>
          </cell>
          <cell r="U444">
            <v>0</v>
          </cell>
          <cell r="V444">
            <v>0</v>
          </cell>
          <cell r="W444">
            <v>0</v>
          </cell>
          <cell r="X444">
            <v>0</v>
          </cell>
          <cell r="Y444">
            <v>0</v>
          </cell>
        </row>
        <row r="445">
          <cell r="D445">
            <v>0</v>
          </cell>
          <cell r="E445">
            <v>0</v>
          </cell>
          <cell r="F445">
            <v>0</v>
          </cell>
          <cell r="G445">
            <v>0</v>
          </cell>
          <cell r="H445">
            <v>0</v>
          </cell>
          <cell r="I445">
            <v>0</v>
          </cell>
          <cell r="J445">
            <v>0</v>
          </cell>
          <cell r="K445">
            <v>0</v>
          </cell>
          <cell r="L445">
            <v>0</v>
          </cell>
          <cell r="M445">
            <v>0</v>
          </cell>
          <cell r="N445">
            <v>0</v>
          </cell>
          <cell r="O445">
            <v>0</v>
          </cell>
          <cell r="P445">
            <v>0</v>
          </cell>
          <cell r="Q445">
            <v>0</v>
          </cell>
          <cell r="R445">
            <v>0</v>
          </cell>
          <cell r="S445">
            <v>0</v>
          </cell>
          <cell r="T445">
            <v>0</v>
          </cell>
          <cell r="U445">
            <v>0</v>
          </cell>
          <cell r="V445">
            <v>0</v>
          </cell>
          <cell r="W445">
            <v>0</v>
          </cell>
          <cell r="X445">
            <v>0</v>
          </cell>
          <cell r="Y445">
            <v>0</v>
          </cell>
        </row>
        <row r="446">
          <cell r="D446">
            <v>0</v>
          </cell>
          <cell r="E446">
            <v>0</v>
          </cell>
          <cell r="F446">
            <v>0</v>
          </cell>
          <cell r="G446">
            <v>0</v>
          </cell>
          <cell r="H446">
            <v>0</v>
          </cell>
          <cell r="I446">
            <v>0</v>
          </cell>
          <cell r="J446">
            <v>0</v>
          </cell>
          <cell r="K446">
            <v>0</v>
          </cell>
          <cell r="L446">
            <v>0</v>
          </cell>
          <cell r="M446">
            <v>0</v>
          </cell>
          <cell r="N446">
            <v>0</v>
          </cell>
          <cell r="O446">
            <v>0</v>
          </cell>
          <cell r="P446">
            <v>0</v>
          </cell>
          <cell r="Q446">
            <v>0</v>
          </cell>
          <cell r="R446">
            <v>0</v>
          </cell>
          <cell r="S446">
            <v>0</v>
          </cell>
          <cell r="T446">
            <v>0</v>
          </cell>
          <cell r="U446">
            <v>0</v>
          </cell>
          <cell r="V446">
            <v>0</v>
          </cell>
          <cell r="W446">
            <v>0</v>
          </cell>
          <cell r="X446">
            <v>0</v>
          </cell>
          <cell r="Y446">
            <v>0</v>
          </cell>
        </row>
        <row r="447">
          <cell r="D447">
            <v>0</v>
          </cell>
          <cell r="E447">
            <v>0</v>
          </cell>
          <cell r="F447">
            <v>0</v>
          </cell>
          <cell r="G447">
            <v>0</v>
          </cell>
          <cell r="H447">
            <v>0</v>
          </cell>
          <cell r="I447">
            <v>0</v>
          </cell>
          <cell r="J447">
            <v>0</v>
          </cell>
          <cell r="K447">
            <v>0</v>
          </cell>
          <cell r="L447">
            <v>0</v>
          </cell>
          <cell r="M447">
            <v>0</v>
          </cell>
          <cell r="N447">
            <v>0</v>
          </cell>
          <cell r="O447">
            <v>0</v>
          </cell>
          <cell r="P447">
            <v>0</v>
          </cell>
          <cell r="Q447">
            <v>0</v>
          </cell>
          <cell r="R447">
            <v>0</v>
          </cell>
          <cell r="S447">
            <v>0</v>
          </cell>
          <cell r="T447">
            <v>0</v>
          </cell>
          <cell r="U447">
            <v>0</v>
          </cell>
          <cell r="V447">
            <v>0</v>
          </cell>
          <cell r="W447">
            <v>0</v>
          </cell>
          <cell r="X447">
            <v>0</v>
          </cell>
          <cell r="Y447">
            <v>0</v>
          </cell>
        </row>
        <row r="448">
          <cell r="D448">
            <v>0</v>
          </cell>
          <cell r="E448">
            <v>0</v>
          </cell>
          <cell r="F448">
            <v>0</v>
          </cell>
          <cell r="G448">
            <v>0</v>
          </cell>
          <cell r="H448">
            <v>0</v>
          </cell>
          <cell r="I448">
            <v>0</v>
          </cell>
          <cell r="J448">
            <v>0</v>
          </cell>
          <cell r="K448">
            <v>0</v>
          </cell>
          <cell r="L448">
            <v>0</v>
          </cell>
          <cell r="M448">
            <v>0</v>
          </cell>
          <cell r="N448">
            <v>0</v>
          </cell>
          <cell r="O448">
            <v>0</v>
          </cell>
          <cell r="P448">
            <v>0</v>
          </cell>
          <cell r="Q448">
            <v>0</v>
          </cell>
          <cell r="R448">
            <v>0</v>
          </cell>
          <cell r="S448">
            <v>0</v>
          </cell>
          <cell r="T448">
            <v>0</v>
          </cell>
          <cell r="U448">
            <v>0</v>
          </cell>
          <cell r="V448">
            <v>0</v>
          </cell>
          <cell r="W448">
            <v>0</v>
          </cell>
          <cell r="X448">
            <v>0</v>
          </cell>
          <cell r="Y448">
            <v>0</v>
          </cell>
        </row>
        <row r="449">
          <cell r="D449">
            <v>0</v>
          </cell>
          <cell r="E449">
            <v>0</v>
          </cell>
          <cell r="F449">
            <v>0</v>
          </cell>
          <cell r="G449">
            <v>0</v>
          </cell>
          <cell r="H449">
            <v>0</v>
          </cell>
          <cell r="I449">
            <v>0</v>
          </cell>
          <cell r="J449">
            <v>0</v>
          </cell>
          <cell r="K449">
            <v>0</v>
          </cell>
          <cell r="L449">
            <v>0</v>
          </cell>
          <cell r="M449">
            <v>0</v>
          </cell>
          <cell r="N449">
            <v>0</v>
          </cell>
          <cell r="O449">
            <v>0</v>
          </cell>
          <cell r="P449">
            <v>0</v>
          </cell>
          <cell r="Q449">
            <v>0</v>
          </cell>
          <cell r="R449">
            <v>0</v>
          </cell>
          <cell r="S449">
            <v>0</v>
          </cell>
          <cell r="T449">
            <v>0</v>
          </cell>
          <cell r="U449">
            <v>0</v>
          </cell>
          <cell r="V449">
            <v>0</v>
          </cell>
          <cell r="W449">
            <v>0</v>
          </cell>
          <cell r="X449">
            <v>0</v>
          </cell>
          <cell r="Y449">
            <v>0</v>
          </cell>
        </row>
        <row r="450">
          <cell r="D450">
            <v>0</v>
          </cell>
          <cell r="E450">
            <v>0</v>
          </cell>
          <cell r="F450">
            <v>0</v>
          </cell>
          <cell r="G450">
            <v>0</v>
          </cell>
          <cell r="H450">
            <v>0</v>
          </cell>
          <cell r="I450">
            <v>0</v>
          </cell>
          <cell r="J450">
            <v>0</v>
          </cell>
          <cell r="K450">
            <v>0</v>
          </cell>
          <cell r="L450">
            <v>0</v>
          </cell>
          <cell r="M450">
            <v>0</v>
          </cell>
          <cell r="N450">
            <v>0</v>
          </cell>
          <cell r="O450">
            <v>0</v>
          </cell>
          <cell r="P450">
            <v>0</v>
          </cell>
          <cell r="Q450">
            <v>0</v>
          </cell>
          <cell r="R450">
            <v>0</v>
          </cell>
          <cell r="S450">
            <v>0</v>
          </cell>
          <cell r="T450">
            <v>0</v>
          </cell>
          <cell r="U450">
            <v>0</v>
          </cell>
          <cell r="V450">
            <v>0</v>
          </cell>
          <cell r="W450">
            <v>0</v>
          </cell>
          <cell r="X450">
            <v>0</v>
          </cell>
          <cell r="Y450">
            <v>0</v>
          </cell>
        </row>
        <row r="451">
          <cell r="D451">
            <v>0</v>
          </cell>
          <cell r="E451">
            <v>0</v>
          </cell>
          <cell r="F451">
            <v>0</v>
          </cell>
          <cell r="G451">
            <v>0</v>
          </cell>
          <cell r="H451">
            <v>0</v>
          </cell>
          <cell r="I451">
            <v>0</v>
          </cell>
          <cell r="J451">
            <v>0</v>
          </cell>
          <cell r="K451">
            <v>0</v>
          </cell>
          <cell r="L451">
            <v>0</v>
          </cell>
          <cell r="M451">
            <v>0</v>
          </cell>
          <cell r="N451">
            <v>0</v>
          </cell>
          <cell r="O451">
            <v>0</v>
          </cell>
          <cell r="P451">
            <v>0</v>
          </cell>
          <cell r="Q451">
            <v>0</v>
          </cell>
          <cell r="R451">
            <v>0</v>
          </cell>
          <cell r="S451">
            <v>0</v>
          </cell>
          <cell r="T451">
            <v>0</v>
          </cell>
          <cell r="U451">
            <v>0</v>
          </cell>
          <cell r="V451">
            <v>0</v>
          </cell>
          <cell r="W451">
            <v>0</v>
          </cell>
          <cell r="X451">
            <v>0</v>
          </cell>
          <cell r="Y451">
            <v>0</v>
          </cell>
        </row>
        <row r="452">
          <cell r="D452">
            <v>0</v>
          </cell>
          <cell r="E452">
            <v>0</v>
          </cell>
          <cell r="F452">
            <v>0</v>
          </cell>
          <cell r="G452">
            <v>0</v>
          </cell>
          <cell r="H452">
            <v>0</v>
          </cell>
          <cell r="I452">
            <v>0</v>
          </cell>
          <cell r="J452">
            <v>0</v>
          </cell>
          <cell r="K452">
            <v>0</v>
          </cell>
          <cell r="L452">
            <v>0</v>
          </cell>
          <cell r="M452">
            <v>0</v>
          </cell>
          <cell r="N452">
            <v>0</v>
          </cell>
          <cell r="O452">
            <v>0</v>
          </cell>
          <cell r="P452">
            <v>0</v>
          </cell>
          <cell r="Q452">
            <v>0</v>
          </cell>
          <cell r="R452">
            <v>0</v>
          </cell>
          <cell r="S452">
            <v>0</v>
          </cell>
          <cell r="T452">
            <v>0</v>
          </cell>
          <cell r="U452">
            <v>0</v>
          </cell>
          <cell r="V452">
            <v>0</v>
          </cell>
          <cell r="W452">
            <v>0</v>
          </cell>
          <cell r="X452">
            <v>0</v>
          </cell>
          <cell r="Y452">
            <v>0</v>
          </cell>
        </row>
      </sheetData>
      <sheetData sheetId="2" refreshError="1"/>
      <sheetData sheetId="3" refreshError="1">
        <row r="400">
          <cell r="D400" t="str">
            <v>Receiving</v>
          </cell>
          <cell r="E400" t="str">
            <v>Stowing</v>
          </cell>
          <cell r="F400" t="str">
            <v>Mass</v>
          </cell>
          <cell r="G400" t="str">
            <v>HL Rec</v>
          </cell>
          <cell r="H400" t="str">
            <v>Picking</v>
          </cell>
          <cell r="I400" t="str">
            <v>Rebin</v>
          </cell>
          <cell r="J400" t="str">
            <v>A-VDF</v>
          </cell>
          <cell r="K400" t="str">
            <v>A-Box</v>
          </cell>
          <cell r="L400" t="str">
            <v>Gift Wrap</v>
          </cell>
          <cell r="M400" t="str">
            <v>Manual</v>
          </cell>
          <cell r="N400" t="str">
            <v>Hardline</v>
          </cell>
          <cell r="O400" t="str">
            <v>Sorting</v>
          </cell>
          <cell r="P400" t="str">
            <v>Inbound</v>
          </cell>
          <cell r="Q400" t="str">
            <v>Outbound</v>
          </cell>
          <cell r="R400" t="str">
            <v>vReturn</v>
          </cell>
          <cell r="S400" t="str">
            <v>cReturn</v>
          </cell>
          <cell r="T400" t="str">
            <v>Throughput</v>
          </cell>
        </row>
        <row r="401">
          <cell r="D401">
            <v>236288</v>
          </cell>
          <cell r="E401">
            <v>236288</v>
          </cell>
          <cell r="F401">
            <v>17820</v>
          </cell>
          <cell r="G401">
            <v>0</v>
          </cell>
          <cell r="H401">
            <v>329026</v>
          </cell>
          <cell r="I401">
            <v>247711</v>
          </cell>
          <cell r="J401">
            <v>80338</v>
          </cell>
          <cell r="K401">
            <v>46490</v>
          </cell>
          <cell r="L401">
            <v>1257</v>
          </cell>
          <cell r="M401">
            <v>12670</v>
          </cell>
          <cell r="N401">
            <v>8600</v>
          </cell>
          <cell r="O401">
            <v>148098</v>
          </cell>
          <cell r="P401">
            <v>254108</v>
          </cell>
          <cell r="Q401">
            <v>325502</v>
          </cell>
          <cell r="R401">
            <v>0</v>
          </cell>
          <cell r="S401">
            <v>2712</v>
          </cell>
          <cell r="T401">
            <v>582322</v>
          </cell>
        </row>
        <row r="402">
          <cell r="D402">
            <v>435147</v>
          </cell>
          <cell r="E402">
            <v>435147</v>
          </cell>
          <cell r="F402">
            <v>42249</v>
          </cell>
          <cell r="G402">
            <v>0</v>
          </cell>
          <cell r="H402">
            <v>579510</v>
          </cell>
          <cell r="I402">
            <v>410462</v>
          </cell>
          <cell r="J402">
            <v>126149</v>
          </cell>
          <cell r="K402">
            <v>85428</v>
          </cell>
          <cell r="L402">
            <v>1556</v>
          </cell>
          <cell r="M402">
            <v>54634</v>
          </cell>
          <cell r="N402">
            <v>5758</v>
          </cell>
          <cell r="O402">
            <v>271969</v>
          </cell>
          <cell r="P402">
            <v>477396</v>
          </cell>
          <cell r="Q402">
            <v>564935</v>
          </cell>
          <cell r="R402">
            <v>13347</v>
          </cell>
          <cell r="S402">
            <v>4819</v>
          </cell>
          <cell r="T402">
            <v>1060497</v>
          </cell>
        </row>
        <row r="403">
          <cell r="D403">
            <v>481299</v>
          </cell>
          <cell r="E403">
            <v>481299</v>
          </cell>
          <cell r="F403">
            <v>40511</v>
          </cell>
          <cell r="G403">
            <v>0</v>
          </cell>
          <cell r="H403">
            <v>555810</v>
          </cell>
          <cell r="I403">
            <v>421762</v>
          </cell>
          <cell r="J403">
            <v>127556</v>
          </cell>
          <cell r="K403">
            <v>82334</v>
          </cell>
          <cell r="L403">
            <v>1507</v>
          </cell>
          <cell r="M403">
            <v>41843</v>
          </cell>
          <cell r="N403">
            <v>5326</v>
          </cell>
          <cell r="O403">
            <v>257059</v>
          </cell>
          <cell r="P403">
            <v>521810</v>
          </cell>
          <cell r="Q403">
            <v>557834</v>
          </cell>
          <cell r="R403">
            <v>14177</v>
          </cell>
          <cell r="S403">
            <v>4794</v>
          </cell>
          <cell r="T403">
            <v>1098615</v>
          </cell>
        </row>
        <row r="404">
          <cell r="D404">
            <v>561082</v>
          </cell>
          <cell r="E404">
            <v>561082</v>
          </cell>
          <cell r="F404">
            <v>66989</v>
          </cell>
          <cell r="G404">
            <v>0</v>
          </cell>
          <cell r="H404">
            <v>607716</v>
          </cell>
          <cell r="I404">
            <v>432155</v>
          </cell>
          <cell r="J404">
            <v>125547</v>
          </cell>
          <cell r="K404">
            <v>90239</v>
          </cell>
          <cell r="L404">
            <v>1468</v>
          </cell>
          <cell r="M404">
            <v>77831</v>
          </cell>
          <cell r="N404">
            <v>9419</v>
          </cell>
          <cell r="O404">
            <v>303036</v>
          </cell>
          <cell r="P404">
            <v>628071</v>
          </cell>
          <cell r="Q404">
            <v>611851</v>
          </cell>
          <cell r="R404">
            <v>29904</v>
          </cell>
          <cell r="S404">
            <v>3857</v>
          </cell>
          <cell r="T404">
            <v>1273683</v>
          </cell>
        </row>
        <row r="405">
          <cell r="D405">
            <v>571311</v>
          </cell>
          <cell r="E405">
            <v>571311</v>
          </cell>
          <cell r="F405">
            <v>76411</v>
          </cell>
          <cell r="G405">
            <v>0</v>
          </cell>
          <cell r="H405">
            <v>615659</v>
          </cell>
          <cell r="I405">
            <v>451379</v>
          </cell>
          <cell r="J405">
            <v>143513</v>
          </cell>
          <cell r="K405">
            <v>88540</v>
          </cell>
          <cell r="L405">
            <v>1400</v>
          </cell>
          <cell r="M405">
            <v>62077</v>
          </cell>
          <cell r="N405">
            <v>6550</v>
          </cell>
          <cell r="O405">
            <v>300680</v>
          </cell>
          <cell r="P405">
            <v>647722</v>
          </cell>
          <cell r="Q405">
            <v>620291</v>
          </cell>
          <cell r="R405">
            <v>25867</v>
          </cell>
          <cell r="S405">
            <v>3560</v>
          </cell>
          <cell r="T405">
            <v>1297440</v>
          </cell>
        </row>
        <row r="406">
          <cell r="D406">
            <v>586657</v>
          </cell>
          <cell r="E406">
            <v>586657</v>
          </cell>
          <cell r="F406">
            <v>79237</v>
          </cell>
          <cell r="G406">
            <v>0</v>
          </cell>
          <cell r="H406">
            <v>616190</v>
          </cell>
          <cell r="I406">
            <v>452478</v>
          </cell>
          <cell r="J406">
            <v>119387</v>
          </cell>
          <cell r="K406">
            <v>87246</v>
          </cell>
          <cell r="L406">
            <v>1609</v>
          </cell>
          <cell r="M406">
            <v>76703</v>
          </cell>
          <cell r="N406">
            <v>5600</v>
          </cell>
          <cell r="O406">
            <v>288936</v>
          </cell>
          <cell r="P406">
            <v>665894</v>
          </cell>
          <cell r="Q406">
            <v>609479</v>
          </cell>
          <cell r="R406">
            <v>33310</v>
          </cell>
          <cell r="S406">
            <v>4291</v>
          </cell>
          <cell r="T406">
            <v>1312974</v>
          </cell>
        </row>
        <row r="407">
          <cell r="D407">
            <v>608991</v>
          </cell>
          <cell r="E407">
            <v>608991</v>
          </cell>
          <cell r="F407">
            <v>64986</v>
          </cell>
          <cell r="G407">
            <v>0</v>
          </cell>
          <cell r="H407">
            <v>625064</v>
          </cell>
          <cell r="I407">
            <v>476384</v>
          </cell>
          <cell r="J407">
            <v>137616</v>
          </cell>
          <cell r="K407">
            <v>85739</v>
          </cell>
          <cell r="L407">
            <v>1839</v>
          </cell>
          <cell r="M407">
            <v>61619</v>
          </cell>
          <cell r="N407">
            <v>5949</v>
          </cell>
          <cell r="O407">
            <v>290923</v>
          </cell>
          <cell r="P407">
            <v>673977</v>
          </cell>
          <cell r="Q407">
            <v>627660</v>
          </cell>
          <cell r="R407">
            <v>12405</v>
          </cell>
          <cell r="S407">
            <v>3468</v>
          </cell>
          <cell r="T407">
            <v>1317510</v>
          </cell>
        </row>
        <row r="408">
          <cell r="D408">
            <v>550818</v>
          </cell>
          <cell r="E408">
            <v>550818</v>
          </cell>
          <cell r="F408">
            <v>99869</v>
          </cell>
          <cell r="G408">
            <v>0</v>
          </cell>
          <cell r="H408">
            <v>598638</v>
          </cell>
          <cell r="I408">
            <v>452464</v>
          </cell>
          <cell r="J408">
            <v>112105</v>
          </cell>
          <cell r="K408">
            <v>80095</v>
          </cell>
          <cell r="L408">
            <v>1679</v>
          </cell>
          <cell r="M408">
            <v>97365</v>
          </cell>
          <cell r="N408">
            <v>7292</v>
          </cell>
          <cell r="O408">
            <v>296857</v>
          </cell>
          <cell r="P408">
            <v>650687</v>
          </cell>
          <cell r="Q408">
            <v>614926</v>
          </cell>
          <cell r="R408">
            <v>9467</v>
          </cell>
          <cell r="S408">
            <v>4241</v>
          </cell>
          <cell r="T408">
            <v>1279321</v>
          </cell>
        </row>
        <row r="409">
          <cell r="D409">
            <v>562845</v>
          </cell>
          <cell r="E409">
            <v>562845</v>
          </cell>
          <cell r="F409">
            <v>127620</v>
          </cell>
          <cell r="G409">
            <v>0</v>
          </cell>
          <cell r="H409">
            <v>647072</v>
          </cell>
          <cell r="I409">
            <v>462496</v>
          </cell>
          <cell r="J409">
            <v>161493</v>
          </cell>
          <cell r="K409">
            <v>85221</v>
          </cell>
          <cell r="L409">
            <v>1512</v>
          </cell>
          <cell r="M409">
            <v>53972</v>
          </cell>
          <cell r="N409">
            <v>9610</v>
          </cell>
          <cell r="O409">
            <v>310296</v>
          </cell>
          <cell r="P409">
            <v>690465</v>
          </cell>
          <cell r="Q409">
            <v>630994</v>
          </cell>
          <cell r="R409">
            <v>513</v>
          </cell>
          <cell r="S409">
            <v>4683</v>
          </cell>
          <cell r="T409">
            <v>1326655</v>
          </cell>
        </row>
        <row r="410">
          <cell r="D410">
            <v>555179</v>
          </cell>
          <cell r="E410">
            <v>555179</v>
          </cell>
          <cell r="F410">
            <v>67311</v>
          </cell>
          <cell r="G410">
            <v>0</v>
          </cell>
          <cell r="H410">
            <v>644547</v>
          </cell>
          <cell r="I410">
            <v>464100</v>
          </cell>
          <cell r="J410">
            <v>139516</v>
          </cell>
          <cell r="K410">
            <v>82192</v>
          </cell>
          <cell r="L410">
            <v>1895</v>
          </cell>
          <cell r="M410">
            <v>65339</v>
          </cell>
          <cell r="N410">
            <v>10185</v>
          </cell>
          <cell r="O410">
            <v>297232</v>
          </cell>
          <cell r="P410">
            <v>622490</v>
          </cell>
          <cell r="Q410">
            <v>626259</v>
          </cell>
          <cell r="R410">
            <v>16815</v>
          </cell>
          <cell r="S410">
            <v>4188</v>
          </cell>
          <cell r="T410">
            <v>1269752</v>
          </cell>
        </row>
        <row r="411">
          <cell r="D411">
            <v>487937</v>
          </cell>
          <cell r="E411">
            <v>487937</v>
          </cell>
          <cell r="F411">
            <v>64636</v>
          </cell>
          <cell r="G411">
            <v>0</v>
          </cell>
          <cell r="H411">
            <v>544882</v>
          </cell>
          <cell r="I411">
            <v>415494.29191766185</v>
          </cell>
          <cell r="J411">
            <v>100063</v>
          </cell>
          <cell r="K411">
            <v>71786</v>
          </cell>
          <cell r="L411">
            <v>2133</v>
          </cell>
          <cell r="M411">
            <v>79948</v>
          </cell>
          <cell r="N411">
            <v>6763</v>
          </cell>
          <cell r="O411">
            <v>258560</v>
          </cell>
          <cell r="P411">
            <v>552573</v>
          </cell>
          <cell r="Q411">
            <v>558189</v>
          </cell>
          <cell r="R411">
            <v>15973</v>
          </cell>
          <cell r="S411">
            <v>4653</v>
          </cell>
          <cell r="T411">
            <v>1131388</v>
          </cell>
        </row>
        <row r="412">
          <cell r="D412">
            <v>500321</v>
          </cell>
          <cell r="E412">
            <v>500321</v>
          </cell>
          <cell r="F412">
            <v>92498</v>
          </cell>
          <cell r="G412">
            <v>0</v>
          </cell>
          <cell r="H412">
            <v>588029</v>
          </cell>
          <cell r="I412">
            <v>428140</v>
          </cell>
          <cell r="J412">
            <v>141602</v>
          </cell>
          <cell r="K412">
            <v>79048</v>
          </cell>
          <cell r="L412">
            <v>2050</v>
          </cell>
          <cell r="M412">
            <v>44643</v>
          </cell>
          <cell r="N412">
            <v>8602</v>
          </cell>
          <cell r="O412">
            <v>273895</v>
          </cell>
          <cell r="P412">
            <v>592819</v>
          </cell>
          <cell r="Q412">
            <v>572013</v>
          </cell>
          <cell r="R412">
            <v>20506</v>
          </cell>
          <cell r="S412">
            <v>3915</v>
          </cell>
          <cell r="T412">
            <v>1189253</v>
          </cell>
        </row>
        <row r="413">
          <cell r="D413">
            <v>468102</v>
          </cell>
          <cell r="E413">
            <v>468102</v>
          </cell>
          <cell r="F413">
            <v>147054</v>
          </cell>
          <cell r="G413">
            <v>0</v>
          </cell>
          <cell r="H413">
            <v>617302</v>
          </cell>
          <cell r="I413">
            <v>447427</v>
          </cell>
          <cell r="J413">
            <v>115798</v>
          </cell>
          <cell r="K413">
            <v>84547</v>
          </cell>
          <cell r="L413">
            <v>1656</v>
          </cell>
          <cell r="M413">
            <v>98150</v>
          </cell>
          <cell r="N413">
            <v>9948</v>
          </cell>
          <cell r="O413">
            <v>308443</v>
          </cell>
          <cell r="P413">
            <v>615156</v>
          </cell>
          <cell r="Q413">
            <v>615305</v>
          </cell>
          <cell r="R413">
            <v>4235</v>
          </cell>
          <cell r="S413">
            <v>3448</v>
          </cell>
          <cell r="T413">
            <v>1238144</v>
          </cell>
        </row>
        <row r="414">
          <cell r="D414">
            <v>499736</v>
          </cell>
          <cell r="E414">
            <v>499736</v>
          </cell>
          <cell r="F414">
            <v>136540</v>
          </cell>
          <cell r="G414">
            <v>0</v>
          </cell>
          <cell r="H414">
            <v>591374</v>
          </cell>
          <cell r="I414">
            <v>464451</v>
          </cell>
          <cell r="J414">
            <v>132481</v>
          </cell>
          <cell r="K414">
            <v>74895</v>
          </cell>
          <cell r="L414">
            <v>1636</v>
          </cell>
          <cell r="M414">
            <v>98504</v>
          </cell>
          <cell r="N414">
            <v>8600</v>
          </cell>
          <cell r="O414">
            <v>314480</v>
          </cell>
          <cell r="P414">
            <v>636276</v>
          </cell>
          <cell r="Q414">
            <v>629153</v>
          </cell>
          <cell r="R414">
            <v>4139</v>
          </cell>
          <cell r="S414">
            <v>4248</v>
          </cell>
          <cell r="T414">
            <v>1273816</v>
          </cell>
        </row>
        <row r="415">
          <cell r="D415">
            <v>516496</v>
          </cell>
          <cell r="E415">
            <v>516496</v>
          </cell>
          <cell r="F415">
            <v>66039</v>
          </cell>
          <cell r="G415">
            <v>0</v>
          </cell>
          <cell r="H415">
            <v>544785</v>
          </cell>
          <cell r="I415">
            <v>412672</v>
          </cell>
          <cell r="J415">
            <v>127056</v>
          </cell>
          <cell r="K415">
            <v>75909</v>
          </cell>
          <cell r="L415">
            <v>1436</v>
          </cell>
          <cell r="M415">
            <v>43031</v>
          </cell>
          <cell r="N415">
            <v>6376</v>
          </cell>
          <cell r="O415">
            <v>252372</v>
          </cell>
          <cell r="P415">
            <v>582535</v>
          </cell>
          <cell r="Q415">
            <v>543356</v>
          </cell>
          <cell r="R415">
            <v>24761</v>
          </cell>
          <cell r="S415">
            <v>2683</v>
          </cell>
          <cell r="T415">
            <v>1153335</v>
          </cell>
        </row>
        <row r="416">
          <cell r="D416">
            <v>427706</v>
          </cell>
          <cell r="E416">
            <v>427706</v>
          </cell>
          <cell r="F416">
            <v>80913</v>
          </cell>
          <cell r="G416">
            <v>0</v>
          </cell>
          <cell r="H416">
            <v>553555</v>
          </cell>
          <cell r="I416">
            <v>397840</v>
          </cell>
          <cell r="J416">
            <v>139437</v>
          </cell>
          <cell r="K416">
            <v>76421</v>
          </cell>
          <cell r="L416">
            <v>1275</v>
          </cell>
          <cell r="M416">
            <v>40072</v>
          </cell>
          <cell r="N416">
            <v>5255</v>
          </cell>
          <cell r="O416">
            <v>261185</v>
          </cell>
          <cell r="P416">
            <v>508619</v>
          </cell>
          <cell r="Q416">
            <v>542665</v>
          </cell>
          <cell r="R416">
            <v>10450</v>
          </cell>
          <cell r="S416">
            <v>4253</v>
          </cell>
          <cell r="T416">
            <v>1065987</v>
          </cell>
        </row>
        <row r="417">
          <cell r="D417">
            <v>490819</v>
          </cell>
          <cell r="E417">
            <v>490819</v>
          </cell>
          <cell r="F417">
            <v>134798</v>
          </cell>
          <cell r="G417">
            <v>0</v>
          </cell>
          <cell r="H417">
            <v>593080</v>
          </cell>
          <cell r="I417">
            <v>432777</v>
          </cell>
          <cell r="J417">
            <v>127675</v>
          </cell>
          <cell r="K417">
            <v>76645</v>
          </cell>
          <cell r="L417">
            <v>1283</v>
          </cell>
          <cell r="M417">
            <v>85791</v>
          </cell>
          <cell r="N417">
            <v>7042</v>
          </cell>
          <cell r="O417">
            <v>297153</v>
          </cell>
          <cell r="P417">
            <v>625617</v>
          </cell>
          <cell r="Q417">
            <v>595121</v>
          </cell>
          <cell r="R417">
            <v>25856</v>
          </cell>
          <cell r="S417">
            <v>5161</v>
          </cell>
          <cell r="T417">
            <v>1251755</v>
          </cell>
        </row>
        <row r="418">
          <cell r="D418">
            <v>533535</v>
          </cell>
          <cell r="E418">
            <v>533535</v>
          </cell>
          <cell r="F418">
            <v>125564</v>
          </cell>
          <cell r="G418">
            <v>0</v>
          </cell>
          <cell r="H418">
            <v>587196</v>
          </cell>
          <cell r="I418">
            <v>436352</v>
          </cell>
          <cell r="J418">
            <v>131491</v>
          </cell>
          <cell r="K418">
            <v>75433</v>
          </cell>
          <cell r="L418">
            <v>1360</v>
          </cell>
          <cell r="M418">
            <v>88296</v>
          </cell>
          <cell r="N418">
            <v>10732</v>
          </cell>
          <cell r="O418">
            <v>305952</v>
          </cell>
          <cell r="P418">
            <v>659099</v>
          </cell>
          <cell r="Q418">
            <v>605888</v>
          </cell>
          <cell r="R418">
            <v>174</v>
          </cell>
          <cell r="S418">
            <v>5318</v>
          </cell>
          <cell r="T418">
            <v>1270479</v>
          </cell>
        </row>
        <row r="419">
          <cell r="D419">
            <v>427875</v>
          </cell>
          <cell r="E419">
            <v>427875</v>
          </cell>
          <cell r="F419">
            <v>19495</v>
          </cell>
          <cell r="G419">
            <v>0</v>
          </cell>
          <cell r="H419">
            <v>538921</v>
          </cell>
          <cell r="I419">
            <v>404341</v>
          </cell>
          <cell r="J419">
            <v>111275</v>
          </cell>
          <cell r="K419">
            <v>72049</v>
          </cell>
          <cell r="L419">
            <v>1889</v>
          </cell>
          <cell r="M419">
            <v>55074</v>
          </cell>
          <cell r="N419">
            <v>7669</v>
          </cell>
          <cell r="O419">
            <v>246067</v>
          </cell>
          <cell r="P419">
            <v>447370</v>
          </cell>
          <cell r="Q419">
            <v>531510</v>
          </cell>
          <cell r="R419">
            <v>12472</v>
          </cell>
          <cell r="S419">
            <v>5392</v>
          </cell>
          <cell r="T419">
            <v>996744</v>
          </cell>
        </row>
        <row r="420">
          <cell r="D420">
            <v>504780</v>
          </cell>
          <cell r="E420">
            <v>504780</v>
          </cell>
          <cell r="F420">
            <v>86800</v>
          </cell>
          <cell r="G420">
            <v>0</v>
          </cell>
          <cell r="H420">
            <v>546968</v>
          </cell>
          <cell r="I420">
            <v>406227.09503337776</v>
          </cell>
          <cell r="J420">
            <v>141493</v>
          </cell>
          <cell r="K420">
            <v>73326</v>
          </cell>
          <cell r="L420">
            <v>1729</v>
          </cell>
          <cell r="M420">
            <v>45870</v>
          </cell>
          <cell r="N420">
            <v>19221</v>
          </cell>
          <cell r="O420">
            <v>279910</v>
          </cell>
          <cell r="P420">
            <v>591580</v>
          </cell>
          <cell r="Q420">
            <v>553618</v>
          </cell>
          <cell r="R420">
            <v>29716</v>
          </cell>
          <cell r="S420">
            <v>4093</v>
          </cell>
          <cell r="T420">
            <v>1179007</v>
          </cell>
        </row>
        <row r="421">
          <cell r="D421">
            <v>529254</v>
          </cell>
          <cell r="E421">
            <v>529254</v>
          </cell>
          <cell r="F421">
            <v>87551</v>
          </cell>
          <cell r="G421">
            <v>0</v>
          </cell>
          <cell r="H421">
            <v>610717</v>
          </cell>
          <cell r="I421">
            <v>427528.6708750393</v>
          </cell>
          <cell r="J421">
            <v>128850</v>
          </cell>
          <cell r="K421">
            <v>77608</v>
          </cell>
          <cell r="L421">
            <v>1391</v>
          </cell>
          <cell r="M421">
            <v>82404</v>
          </cell>
          <cell r="N421">
            <v>8939</v>
          </cell>
          <cell r="O421">
            <v>297801</v>
          </cell>
          <cell r="P421">
            <v>616805</v>
          </cell>
          <cell r="Q421">
            <v>622990</v>
          </cell>
          <cell r="R421">
            <v>18441</v>
          </cell>
          <cell r="S421">
            <v>3449</v>
          </cell>
          <cell r="T421">
            <v>1261685</v>
          </cell>
        </row>
        <row r="422">
          <cell r="D422">
            <v>586911</v>
          </cell>
          <cell r="E422">
            <v>586911</v>
          </cell>
          <cell r="F422">
            <v>121490</v>
          </cell>
          <cell r="G422">
            <v>0</v>
          </cell>
          <cell r="H422">
            <v>628219</v>
          </cell>
          <cell r="I422">
            <v>427987.26791152381</v>
          </cell>
          <cell r="J422">
            <v>146874</v>
          </cell>
          <cell r="K422">
            <v>76174</v>
          </cell>
          <cell r="L422">
            <v>1391</v>
          </cell>
          <cell r="M422">
            <v>88950</v>
          </cell>
          <cell r="N422">
            <v>10649</v>
          </cell>
          <cell r="O422">
            <v>322647</v>
          </cell>
          <cell r="P422">
            <v>708401</v>
          </cell>
          <cell r="Q422">
            <v>630339</v>
          </cell>
          <cell r="R422">
            <v>1098</v>
          </cell>
          <cell r="S422">
            <v>4426</v>
          </cell>
          <cell r="T422">
            <v>1344264</v>
          </cell>
        </row>
        <row r="423">
          <cell r="D423">
            <v>493322</v>
          </cell>
          <cell r="E423">
            <v>493322</v>
          </cell>
          <cell r="F423">
            <v>110025</v>
          </cell>
          <cell r="G423">
            <v>0</v>
          </cell>
          <cell r="H423">
            <v>601371</v>
          </cell>
          <cell r="I423">
            <v>428825.40054644446</v>
          </cell>
          <cell r="J423">
            <v>160455</v>
          </cell>
          <cell r="K423">
            <v>76571</v>
          </cell>
          <cell r="L423">
            <v>1204</v>
          </cell>
          <cell r="M423">
            <v>43294</v>
          </cell>
          <cell r="N423">
            <v>7947</v>
          </cell>
          <cell r="O423">
            <v>288267</v>
          </cell>
          <cell r="P423">
            <v>603347</v>
          </cell>
          <cell r="Q423">
            <v>622537</v>
          </cell>
          <cell r="R423">
            <v>15829</v>
          </cell>
          <cell r="S423">
            <v>4824</v>
          </cell>
          <cell r="T423">
            <v>1246537</v>
          </cell>
        </row>
        <row r="424">
          <cell r="D424">
            <v>531528</v>
          </cell>
          <cell r="E424">
            <v>531528</v>
          </cell>
          <cell r="F424">
            <v>45931</v>
          </cell>
          <cell r="G424">
            <v>0</v>
          </cell>
          <cell r="H424">
            <v>580137</v>
          </cell>
          <cell r="I424">
            <v>436025.69717194454</v>
          </cell>
          <cell r="J424">
            <v>144878.56263969227</v>
          </cell>
          <cell r="K424">
            <v>86953.488977663394</v>
          </cell>
          <cell r="L424">
            <v>1445</v>
          </cell>
          <cell r="M424">
            <v>23590.948382644354</v>
          </cell>
          <cell r="N424">
            <v>7256</v>
          </cell>
          <cell r="O424">
            <v>262679</v>
          </cell>
          <cell r="P424">
            <v>577459</v>
          </cell>
          <cell r="Q424">
            <v>580226</v>
          </cell>
          <cell r="R424">
            <v>8899</v>
          </cell>
          <cell r="S424">
            <v>5021</v>
          </cell>
          <cell r="T424">
            <v>1171605</v>
          </cell>
        </row>
        <row r="425">
          <cell r="D425">
            <v>566862</v>
          </cell>
          <cell r="E425">
            <v>566862</v>
          </cell>
          <cell r="F425">
            <v>106036</v>
          </cell>
          <cell r="G425">
            <v>0</v>
          </cell>
          <cell r="H425">
            <v>606198</v>
          </cell>
          <cell r="I425">
            <v>446346</v>
          </cell>
          <cell r="J425">
            <v>167422</v>
          </cell>
          <cell r="K425">
            <v>82994</v>
          </cell>
          <cell r="L425">
            <v>2096</v>
          </cell>
          <cell r="M425">
            <v>34160</v>
          </cell>
          <cell r="N425">
            <v>7654</v>
          </cell>
          <cell r="O425">
            <v>292230</v>
          </cell>
          <cell r="P425">
            <v>672898</v>
          </cell>
          <cell r="Q425">
            <v>609012</v>
          </cell>
          <cell r="R425">
            <v>16098</v>
          </cell>
          <cell r="S425">
            <v>5022</v>
          </cell>
          <cell r="T425">
            <v>1303030</v>
          </cell>
        </row>
        <row r="426">
          <cell r="D426">
            <v>589554</v>
          </cell>
          <cell r="E426">
            <v>589554</v>
          </cell>
          <cell r="F426">
            <v>133983</v>
          </cell>
          <cell r="G426">
            <v>0</v>
          </cell>
          <cell r="H426">
            <v>679049</v>
          </cell>
          <cell r="I426">
            <v>487298</v>
          </cell>
          <cell r="J426">
            <v>206028</v>
          </cell>
          <cell r="K426">
            <v>105636</v>
          </cell>
          <cell r="L426">
            <v>1624</v>
          </cell>
          <cell r="M426">
            <v>25847</v>
          </cell>
          <cell r="N426">
            <v>7586</v>
          </cell>
          <cell r="O426">
            <v>345097</v>
          </cell>
          <cell r="P426">
            <v>723537</v>
          </cell>
          <cell r="Q426">
            <v>679140</v>
          </cell>
          <cell r="R426">
            <v>40028</v>
          </cell>
          <cell r="S426">
            <v>4897</v>
          </cell>
          <cell r="T426">
            <v>1447602</v>
          </cell>
        </row>
        <row r="427">
          <cell r="D427">
            <v>532563</v>
          </cell>
          <cell r="E427">
            <v>532563</v>
          </cell>
          <cell r="F427">
            <v>68127</v>
          </cell>
          <cell r="G427">
            <v>0</v>
          </cell>
          <cell r="H427">
            <v>612462</v>
          </cell>
          <cell r="I427">
            <v>456023</v>
          </cell>
          <cell r="J427">
            <v>175740.71428571429</v>
          </cell>
          <cell r="K427">
            <v>86905</v>
          </cell>
          <cell r="L427">
            <v>1098</v>
          </cell>
          <cell r="M427">
            <v>21526.285714285714</v>
          </cell>
          <cell r="N427">
            <v>7702</v>
          </cell>
          <cell r="O427">
            <v>291874</v>
          </cell>
          <cell r="P427">
            <v>600690</v>
          </cell>
          <cell r="Q427">
            <v>612500</v>
          </cell>
          <cell r="R427">
            <v>399</v>
          </cell>
          <cell r="S427">
            <v>5699</v>
          </cell>
          <cell r="T427">
            <v>1219288</v>
          </cell>
        </row>
        <row r="428">
          <cell r="D428">
            <v>560392</v>
          </cell>
          <cell r="E428">
            <v>560392</v>
          </cell>
          <cell r="F428">
            <v>66757</v>
          </cell>
          <cell r="G428">
            <v>0</v>
          </cell>
          <cell r="H428">
            <v>578708</v>
          </cell>
          <cell r="I428">
            <v>427967</v>
          </cell>
          <cell r="J428">
            <v>137524</v>
          </cell>
          <cell r="K428">
            <v>93754</v>
          </cell>
          <cell r="L428">
            <v>1189</v>
          </cell>
          <cell r="M428">
            <v>40930</v>
          </cell>
          <cell r="N428">
            <v>8037</v>
          </cell>
          <cell r="O428">
            <v>280245</v>
          </cell>
          <cell r="P428">
            <v>627149</v>
          </cell>
          <cell r="Q428">
            <v>578717</v>
          </cell>
          <cell r="R428">
            <v>15559</v>
          </cell>
          <cell r="S428">
            <v>4043</v>
          </cell>
          <cell r="T428">
            <v>1225468</v>
          </cell>
        </row>
        <row r="429">
          <cell r="D429">
            <v>539800</v>
          </cell>
          <cell r="E429">
            <v>539800</v>
          </cell>
          <cell r="F429">
            <v>78460</v>
          </cell>
          <cell r="G429">
            <v>0</v>
          </cell>
          <cell r="H429">
            <v>573269</v>
          </cell>
          <cell r="I429">
            <v>442920</v>
          </cell>
          <cell r="J429">
            <v>158975</v>
          </cell>
          <cell r="K429">
            <v>79297</v>
          </cell>
          <cell r="L429">
            <v>1273</v>
          </cell>
          <cell r="M429">
            <v>21386</v>
          </cell>
          <cell r="N429">
            <v>7952</v>
          </cell>
          <cell r="O429">
            <v>267610</v>
          </cell>
          <cell r="P429">
            <v>618260</v>
          </cell>
          <cell r="Q429">
            <v>573161</v>
          </cell>
          <cell r="R429">
            <v>21154</v>
          </cell>
          <cell r="S429">
            <v>4494</v>
          </cell>
          <cell r="T429">
            <v>1217069</v>
          </cell>
        </row>
        <row r="430">
          <cell r="D430">
            <v>494886</v>
          </cell>
          <cell r="E430">
            <v>494886</v>
          </cell>
          <cell r="F430">
            <v>107310</v>
          </cell>
          <cell r="G430">
            <v>0</v>
          </cell>
          <cell r="H430">
            <v>615192</v>
          </cell>
          <cell r="I430">
            <v>433011</v>
          </cell>
          <cell r="J430">
            <v>176754</v>
          </cell>
          <cell r="K430">
            <v>78707</v>
          </cell>
          <cell r="L430">
            <v>1185</v>
          </cell>
          <cell r="M430">
            <v>34978</v>
          </cell>
          <cell r="N430">
            <v>9269</v>
          </cell>
          <cell r="O430">
            <v>299708</v>
          </cell>
          <cell r="P430">
            <v>602196</v>
          </cell>
          <cell r="Q430">
            <v>597514</v>
          </cell>
          <cell r="R430">
            <v>1121</v>
          </cell>
          <cell r="S430">
            <v>3940</v>
          </cell>
          <cell r="T430">
            <v>1204771</v>
          </cell>
        </row>
        <row r="431">
          <cell r="D431">
            <v>521920</v>
          </cell>
          <cell r="E431">
            <v>521920</v>
          </cell>
          <cell r="F431">
            <v>107768</v>
          </cell>
          <cell r="G431">
            <v>0</v>
          </cell>
          <cell r="H431">
            <v>619220</v>
          </cell>
          <cell r="I431">
            <v>446892</v>
          </cell>
          <cell r="J431">
            <v>169593</v>
          </cell>
          <cell r="K431">
            <v>78576</v>
          </cell>
          <cell r="L431">
            <v>1228</v>
          </cell>
          <cell r="M431">
            <v>41746</v>
          </cell>
          <cell r="N431">
            <v>9536</v>
          </cell>
          <cell r="O431">
            <v>299451</v>
          </cell>
          <cell r="P431">
            <v>626402</v>
          </cell>
          <cell r="Q431">
            <v>619910</v>
          </cell>
          <cell r="R431">
            <v>530</v>
          </cell>
          <cell r="S431">
            <v>3400</v>
          </cell>
          <cell r="T431">
            <v>1253528</v>
          </cell>
        </row>
        <row r="432">
          <cell r="D432">
            <v>544428</v>
          </cell>
          <cell r="E432">
            <v>544428</v>
          </cell>
          <cell r="F432">
            <v>101534</v>
          </cell>
          <cell r="G432">
            <v>0</v>
          </cell>
          <cell r="H432">
            <v>642979</v>
          </cell>
          <cell r="I432">
            <v>458084</v>
          </cell>
          <cell r="J432">
            <v>206863</v>
          </cell>
          <cell r="K432">
            <v>91858</v>
          </cell>
          <cell r="L432">
            <v>1132</v>
          </cell>
          <cell r="M432">
            <v>18185</v>
          </cell>
          <cell r="N432">
            <v>8415</v>
          </cell>
          <cell r="O432">
            <v>325321</v>
          </cell>
          <cell r="P432">
            <v>645962</v>
          </cell>
          <cell r="Q432">
            <v>642988</v>
          </cell>
          <cell r="R432">
            <v>3856</v>
          </cell>
          <cell r="S432">
            <v>4410</v>
          </cell>
          <cell r="T432">
            <v>1297216</v>
          </cell>
        </row>
        <row r="433">
          <cell r="D433">
            <v>437929</v>
          </cell>
          <cell r="E433">
            <v>437929</v>
          </cell>
          <cell r="F433">
            <v>43505</v>
          </cell>
          <cell r="G433">
            <v>0</v>
          </cell>
          <cell r="H433">
            <v>532269</v>
          </cell>
          <cell r="I433">
            <v>407481</v>
          </cell>
          <cell r="J433">
            <v>138703</v>
          </cell>
          <cell r="K433">
            <v>72388</v>
          </cell>
          <cell r="L433">
            <v>1037</v>
          </cell>
          <cell r="M433">
            <v>26058</v>
          </cell>
          <cell r="N433">
            <v>8540</v>
          </cell>
          <cell r="O433">
            <v>245689</v>
          </cell>
          <cell r="P433">
            <v>481434</v>
          </cell>
          <cell r="Q433">
            <v>532269</v>
          </cell>
          <cell r="R433">
            <v>15874</v>
          </cell>
          <cell r="S433">
            <v>3561</v>
          </cell>
          <cell r="T433">
            <v>1033138</v>
          </cell>
        </row>
        <row r="434">
          <cell r="D434">
            <v>476193</v>
          </cell>
          <cell r="E434">
            <v>476193</v>
          </cell>
          <cell r="F434">
            <v>74786</v>
          </cell>
          <cell r="G434">
            <v>0</v>
          </cell>
          <cell r="H434">
            <v>567567</v>
          </cell>
          <cell r="I434">
            <v>419774</v>
          </cell>
          <cell r="J434">
            <v>154280</v>
          </cell>
          <cell r="K434">
            <v>83613</v>
          </cell>
          <cell r="L434">
            <v>1104</v>
          </cell>
          <cell r="M434">
            <v>29025</v>
          </cell>
          <cell r="N434">
            <v>12610</v>
          </cell>
          <cell r="O434">
            <v>279528</v>
          </cell>
          <cell r="P434">
            <v>550979</v>
          </cell>
          <cell r="Q434">
            <v>567567</v>
          </cell>
          <cell r="R434">
            <v>3920</v>
          </cell>
          <cell r="S434">
            <v>4258</v>
          </cell>
          <cell r="T434">
            <v>1126724</v>
          </cell>
        </row>
        <row r="435">
          <cell r="D435">
            <v>531474</v>
          </cell>
          <cell r="E435">
            <v>531474</v>
          </cell>
          <cell r="F435">
            <v>214063</v>
          </cell>
          <cell r="G435">
            <v>0</v>
          </cell>
          <cell r="H435">
            <v>651843</v>
          </cell>
          <cell r="I435">
            <v>458150</v>
          </cell>
          <cell r="J435">
            <v>190049</v>
          </cell>
          <cell r="K435">
            <v>92904</v>
          </cell>
          <cell r="L435">
            <v>1134</v>
          </cell>
          <cell r="M435">
            <v>34905</v>
          </cell>
          <cell r="N435">
            <v>12712</v>
          </cell>
          <cell r="O435">
            <v>330570</v>
          </cell>
          <cell r="P435">
            <v>745537</v>
          </cell>
          <cell r="Q435">
            <v>651843</v>
          </cell>
          <cell r="R435">
            <v>21299</v>
          </cell>
          <cell r="S435">
            <v>4173</v>
          </cell>
          <cell r="T435">
            <v>1422852</v>
          </cell>
        </row>
        <row r="436">
          <cell r="D436">
            <v>0</v>
          </cell>
          <cell r="E436">
            <v>0</v>
          </cell>
          <cell r="F436">
            <v>0</v>
          </cell>
          <cell r="G436">
            <v>0</v>
          </cell>
          <cell r="H436">
            <v>0</v>
          </cell>
          <cell r="I436">
            <v>0</v>
          </cell>
          <cell r="J436">
            <v>0</v>
          </cell>
          <cell r="K436">
            <v>0</v>
          </cell>
          <cell r="L436">
            <v>0</v>
          </cell>
          <cell r="M436">
            <v>0</v>
          </cell>
          <cell r="N436">
            <v>0</v>
          </cell>
          <cell r="O436">
            <v>0</v>
          </cell>
          <cell r="P436">
            <v>0</v>
          </cell>
          <cell r="Q436">
            <v>0</v>
          </cell>
          <cell r="R436">
            <v>0</v>
          </cell>
          <cell r="S436">
            <v>0</v>
          </cell>
          <cell r="T436">
            <v>0</v>
          </cell>
        </row>
        <row r="437">
          <cell r="D437">
            <v>0</v>
          </cell>
          <cell r="E437">
            <v>0</v>
          </cell>
          <cell r="F437">
            <v>0</v>
          </cell>
          <cell r="G437">
            <v>0</v>
          </cell>
          <cell r="H437">
            <v>0</v>
          </cell>
          <cell r="I437">
            <v>0</v>
          </cell>
          <cell r="J437">
            <v>0</v>
          </cell>
          <cell r="K437">
            <v>0</v>
          </cell>
          <cell r="L437">
            <v>0</v>
          </cell>
          <cell r="M437">
            <v>0</v>
          </cell>
          <cell r="N437">
            <v>0</v>
          </cell>
          <cell r="O437">
            <v>0</v>
          </cell>
          <cell r="P437">
            <v>0</v>
          </cell>
          <cell r="Q437">
            <v>0</v>
          </cell>
          <cell r="R437">
            <v>0</v>
          </cell>
          <cell r="S437">
            <v>0</v>
          </cell>
          <cell r="T437">
            <v>0</v>
          </cell>
        </row>
        <row r="438">
          <cell r="D438">
            <v>0</v>
          </cell>
          <cell r="E438">
            <v>0</v>
          </cell>
          <cell r="F438">
            <v>0</v>
          </cell>
          <cell r="G438">
            <v>0</v>
          </cell>
          <cell r="H438">
            <v>0</v>
          </cell>
          <cell r="I438">
            <v>0</v>
          </cell>
          <cell r="J438">
            <v>0</v>
          </cell>
          <cell r="K438">
            <v>0</v>
          </cell>
          <cell r="L438">
            <v>0</v>
          </cell>
          <cell r="M438">
            <v>0</v>
          </cell>
          <cell r="N438">
            <v>0</v>
          </cell>
          <cell r="O438">
            <v>0</v>
          </cell>
          <cell r="P438">
            <v>0</v>
          </cell>
          <cell r="Q438">
            <v>0</v>
          </cell>
          <cell r="R438">
            <v>0</v>
          </cell>
          <cell r="S438">
            <v>0</v>
          </cell>
          <cell r="T438">
            <v>0</v>
          </cell>
        </row>
        <row r="439">
          <cell r="D439">
            <v>0</v>
          </cell>
          <cell r="E439">
            <v>0</v>
          </cell>
          <cell r="F439">
            <v>0</v>
          </cell>
          <cell r="G439">
            <v>0</v>
          </cell>
          <cell r="H439">
            <v>0</v>
          </cell>
          <cell r="I439">
            <v>0</v>
          </cell>
          <cell r="J439">
            <v>0</v>
          </cell>
          <cell r="K439">
            <v>0</v>
          </cell>
          <cell r="L439">
            <v>0</v>
          </cell>
          <cell r="M439">
            <v>0</v>
          </cell>
          <cell r="N439">
            <v>0</v>
          </cell>
          <cell r="O439">
            <v>0</v>
          </cell>
          <cell r="P439">
            <v>0</v>
          </cell>
          <cell r="Q439">
            <v>0</v>
          </cell>
          <cell r="R439">
            <v>0</v>
          </cell>
          <cell r="S439">
            <v>0</v>
          </cell>
          <cell r="T439">
            <v>0</v>
          </cell>
        </row>
        <row r="440">
          <cell r="D440">
            <v>0</v>
          </cell>
          <cell r="E440">
            <v>0</v>
          </cell>
          <cell r="F440">
            <v>0</v>
          </cell>
          <cell r="G440">
            <v>0</v>
          </cell>
          <cell r="H440">
            <v>0</v>
          </cell>
          <cell r="I440">
            <v>0</v>
          </cell>
          <cell r="J440">
            <v>0</v>
          </cell>
          <cell r="K440">
            <v>0</v>
          </cell>
          <cell r="L440">
            <v>0</v>
          </cell>
          <cell r="M440">
            <v>0</v>
          </cell>
          <cell r="N440">
            <v>0</v>
          </cell>
          <cell r="O440">
            <v>0</v>
          </cell>
          <cell r="P440">
            <v>0</v>
          </cell>
          <cell r="Q440">
            <v>0</v>
          </cell>
          <cell r="R440">
            <v>0</v>
          </cell>
          <cell r="S440">
            <v>0</v>
          </cell>
          <cell r="T440">
            <v>0</v>
          </cell>
        </row>
        <row r="441">
          <cell r="D441">
            <v>0</v>
          </cell>
          <cell r="E441">
            <v>0</v>
          </cell>
          <cell r="F441">
            <v>0</v>
          </cell>
          <cell r="G441">
            <v>0</v>
          </cell>
          <cell r="H441">
            <v>0</v>
          </cell>
          <cell r="I441">
            <v>0</v>
          </cell>
          <cell r="J441">
            <v>0</v>
          </cell>
          <cell r="K441">
            <v>0</v>
          </cell>
          <cell r="L441">
            <v>0</v>
          </cell>
          <cell r="M441">
            <v>0</v>
          </cell>
          <cell r="N441">
            <v>0</v>
          </cell>
          <cell r="O441">
            <v>0</v>
          </cell>
          <cell r="P441">
            <v>0</v>
          </cell>
          <cell r="Q441">
            <v>0</v>
          </cell>
          <cell r="R441">
            <v>0</v>
          </cell>
          <cell r="S441">
            <v>0</v>
          </cell>
          <cell r="T441">
            <v>0</v>
          </cell>
        </row>
        <row r="442">
          <cell r="D442">
            <v>0</v>
          </cell>
          <cell r="E442">
            <v>0</v>
          </cell>
          <cell r="F442">
            <v>0</v>
          </cell>
          <cell r="G442">
            <v>0</v>
          </cell>
          <cell r="H442">
            <v>0</v>
          </cell>
          <cell r="I442">
            <v>0</v>
          </cell>
          <cell r="J442">
            <v>0</v>
          </cell>
          <cell r="K442">
            <v>0</v>
          </cell>
          <cell r="L442">
            <v>0</v>
          </cell>
          <cell r="M442">
            <v>0</v>
          </cell>
          <cell r="N442">
            <v>0</v>
          </cell>
          <cell r="O442">
            <v>0</v>
          </cell>
          <cell r="P442">
            <v>0</v>
          </cell>
          <cell r="Q442">
            <v>0</v>
          </cell>
          <cell r="R442">
            <v>0</v>
          </cell>
          <cell r="S442">
            <v>0</v>
          </cell>
          <cell r="T442">
            <v>0</v>
          </cell>
        </row>
        <row r="443">
          <cell r="D443">
            <v>0</v>
          </cell>
          <cell r="E443">
            <v>0</v>
          </cell>
          <cell r="F443">
            <v>0</v>
          </cell>
          <cell r="G443">
            <v>0</v>
          </cell>
          <cell r="H443">
            <v>0</v>
          </cell>
          <cell r="I443">
            <v>0</v>
          </cell>
          <cell r="J443">
            <v>0</v>
          </cell>
          <cell r="K443">
            <v>0</v>
          </cell>
          <cell r="L443">
            <v>0</v>
          </cell>
          <cell r="M443">
            <v>0</v>
          </cell>
          <cell r="N443">
            <v>0</v>
          </cell>
          <cell r="O443">
            <v>0</v>
          </cell>
          <cell r="P443">
            <v>0</v>
          </cell>
          <cell r="Q443">
            <v>0</v>
          </cell>
          <cell r="R443">
            <v>0</v>
          </cell>
          <cell r="S443">
            <v>0</v>
          </cell>
          <cell r="T443">
            <v>0</v>
          </cell>
        </row>
        <row r="444">
          <cell r="D444">
            <v>0</v>
          </cell>
          <cell r="E444">
            <v>0</v>
          </cell>
          <cell r="F444">
            <v>0</v>
          </cell>
          <cell r="G444">
            <v>0</v>
          </cell>
          <cell r="H444">
            <v>0</v>
          </cell>
          <cell r="I444">
            <v>0</v>
          </cell>
          <cell r="J444">
            <v>0</v>
          </cell>
          <cell r="K444">
            <v>0</v>
          </cell>
          <cell r="L444">
            <v>0</v>
          </cell>
          <cell r="M444">
            <v>0</v>
          </cell>
          <cell r="N444">
            <v>0</v>
          </cell>
          <cell r="O444">
            <v>0</v>
          </cell>
          <cell r="P444">
            <v>0</v>
          </cell>
          <cell r="Q444">
            <v>0</v>
          </cell>
          <cell r="R444">
            <v>0</v>
          </cell>
          <cell r="S444">
            <v>0</v>
          </cell>
          <cell r="T444">
            <v>0</v>
          </cell>
        </row>
        <row r="445">
          <cell r="D445">
            <v>0</v>
          </cell>
          <cell r="E445">
            <v>0</v>
          </cell>
          <cell r="F445">
            <v>0</v>
          </cell>
          <cell r="G445">
            <v>0</v>
          </cell>
          <cell r="H445">
            <v>0</v>
          </cell>
          <cell r="I445">
            <v>0</v>
          </cell>
          <cell r="J445">
            <v>0</v>
          </cell>
          <cell r="K445">
            <v>0</v>
          </cell>
          <cell r="L445">
            <v>0</v>
          </cell>
          <cell r="M445">
            <v>0</v>
          </cell>
          <cell r="N445">
            <v>0</v>
          </cell>
          <cell r="O445">
            <v>0</v>
          </cell>
          <cell r="P445">
            <v>0</v>
          </cell>
          <cell r="Q445">
            <v>0</v>
          </cell>
          <cell r="R445">
            <v>0</v>
          </cell>
          <cell r="S445">
            <v>0</v>
          </cell>
          <cell r="T445">
            <v>0</v>
          </cell>
        </row>
        <row r="446">
          <cell r="D446">
            <v>0</v>
          </cell>
          <cell r="E446">
            <v>0</v>
          </cell>
          <cell r="F446">
            <v>0</v>
          </cell>
          <cell r="G446">
            <v>0</v>
          </cell>
          <cell r="H446">
            <v>0</v>
          </cell>
          <cell r="I446">
            <v>0</v>
          </cell>
          <cell r="J446">
            <v>0</v>
          </cell>
          <cell r="K446">
            <v>0</v>
          </cell>
          <cell r="L446">
            <v>0</v>
          </cell>
          <cell r="M446">
            <v>0</v>
          </cell>
          <cell r="N446">
            <v>0</v>
          </cell>
          <cell r="O446">
            <v>0</v>
          </cell>
          <cell r="P446">
            <v>0</v>
          </cell>
          <cell r="Q446">
            <v>0</v>
          </cell>
          <cell r="R446">
            <v>0</v>
          </cell>
          <cell r="S446">
            <v>0</v>
          </cell>
          <cell r="T446">
            <v>0</v>
          </cell>
        </row>
        <row r="447">
          <cell r="D447">
            <v>0</v>
          </cell>
          <cell r="E447">
            <v>0</v>
          </cell>
          <cell r="F447">
            <v>0</v>
          </cell>
          <cell r="G447">
            <v>0</v>
          </cell>
          <cell r="H447">
            <v>0</v>
          </cell>
          <cell r="I447">
            <v>0</v>
          </cell>
          <cell r="J447">
            <v>0</v>
          </cell>
          <cell r="K447">
            <v>0</v>
          </cell>
          <cell r="L447">
            <v>0</v>
          </cell>
          <cell r="M447">
            <v>0</v>
          </cell>
          <cell r="N447">
            <v>0</v>
          </cell>
          <cell r="O447">
            <v>0</v>
          </cell>
          <cell r="P447">
            <v>0</v>
          </cell>
          <cell r="Q447">
            <v>0</v>
          </cell>
          <cell r="R447">
            <v>0</v>
          </cell>
          <cell r="S447">
            <v>0</v>
          </cell>
          <cell r="T447">
            <v>0</v>
          </cell>
        </row>
        <row r="448">
          <cell r="D448">
            <v>0</v>
          </cell>
          <cell r="E448">
            <v>0</v>
          </cell>
          <cell r="F448">
            <v>0</v>
          </cell>
          <cell r="G448">
            <v>0</v>
          </cell>
          <cell r="H448">
            <v>0</v>
          </cell>
          <cell r="I448">
            <v>0</v>
          </cell>
          <cell r="J448">
            <v>0</v>
          </cell>
          <cell r="K448">
            <v>0</v>
          </cell>
          <cell r="L448">
            <v>0</v>
          </cell>
          <cell r="M448">
            <v>0</v>
          </cell>
          <cell r="N448">
            <v>0</v>
          </cell>
          <cell r="O448">
            <v>0</v>
          </cell>
          <cell r="P448">
            <v>0</v>
          </cell>
          <cell r="Q448">
            <v>0</v>
          </cell>
          <cell r="R448">
            <v>0</v>
          </cell>
          <cell r="S448">
            <v>0</v>
          </cell>
          <cell r="T448">
            <v>0</v>
          </cell>
        </row>
        <row r="449">
          <cell r="D449">
            <v>0</v>
          </cell>
          <cell r="E449">
            <v>0</v>
          </cell>
          <cell r="F449">
            <v>0</v>
          </cell>
          <cell r="G449">
            <v>0</v>
          </cell>
          <cell r="H449">
            <v>0</v>
          </cell>
          <cell r="I449">
            <v>0</v>
          </cell>
          <cell r="J449">
            <v>0</v>
          </cell>
          <cell r="K449">
            <v>0</v>
          </cell>
          <cell r="L449">
            <v>0</v>
          </cell>
          <cell r="M449">
            <v>0</v>
          </cell>
          <cell r="N449">
            <v>0</v>
          </cell>
          <cell r="O449">
            <v>0</v>
          </cell>
          <cell r="P449">
            <v>0</v>
          </cell>
          <cell r="Q449">
            <v>0</v>
          </cell>
          <cell r="R449">
            <v>0</v>
          </cell>
          <cell r="S449">
            <v>0</v>
          </cell>
          <cell r="T449">
            <v>0</v>
          </cell>
        </row>
        <row r="450">
          <cell r="D450">
            <v>0</v>
          </cell>
          <cell r="E450">
            <v>0</v>
          </cell>
          <cell r="F450">
            <v>0</v>
          </cell>
          <cell r="G450">
            <v>0</v>
          </cell>
          <cell r="H450">
            <v>0</v>
          </cell>
          <cell r="I450">
            <v>0</v>
          </cell>
          <cell r="J450">
            <v>0</v>
          </cell>
          <cell r="K450">
            <v>0</v>
          </cell>
          <cell r="L450">
            <v>0</v>
          </cell>
          <cell r="M450">
            <v>0</v>
          </cell>
          <cell r="N450">
            <v>0</v>
          </cell>
          <cell r="O450">
            <v>0</v>
          </cell>
          <cell r="P450">
            <v>0</v>
          </cell>
          <cell r="Q450">
            <v>0</v>
          </cell>
          <cell r="R450">
            <v>0</v>
          </cell>
          <cell r="S450">
            <v>0</v>
          </cell>
          <cell r="T450">
            <v>0</v>
          </cell>
        </row>
        <row r="451">
          <cell r="D451">
            <v>0</v>
          </cell>
          <cell r="E451">
            <v>0</v>
          </cell>
          <cell r="F451">
            <v>0</v>
          </cell>
          <cell r="G451">
            <v>0</v>
          </cell>
          <cell r="H451">
            <v>0</v>
          </cell>
          <cell r="I451">
            <v>0</v>
          </cell>
          <cell r="J451">
            <v>0</v>
          </cell>
          <cell r="K451">
            <v>0</v>
          </cell>
          <cell r="L451">
            <v>0</v>
          </cell>
          <cell r="M451">
            <v>0</v>
          </cell>
          <cell r="N451">
            <v>0</v>
          </cell>
          <cell r="O451">
            <v>0</v>
          </cell>
          <cell r="P451">
            <v>0</v>
          </cell>
          <cell r="Q451">
            <v>0</v>
          </cell>
          <cell r="R451">
            <v>0</v>
          </cell>
          <cell r="S451">
            <v>0</v>
          </cell>
          <cell r="T451">
            <v>0</v>
          </cell>
        </row>
        <row r="452">
          <cell r="D452">
            <v>0</v>
          </cell>
          <cell r="E452">
            <v>0</v>
          </cell>
          <cell r="F452">
            <v>0</v>
          </cell>
          <cell r="G452">
            <v>0</v>
          </cell>
          <cell r="H452">
            <v>0</v>
          </cell>
          <cell r="I452">
            <v>0</v>
          </cell>
          <cell r="J452">
            <v>0</v>
          </cell>
          <cell r="K452">
            <v>0</v>
          </cell>
          <cell r="L452">
            <v>0</v>
          </cell>
          <cell r="M452">
            <v>0</v>
          </cell>
          <cell r="N452">
            <v>0</v>
          </cell>
          <cell r="O452">
            <v>0</v>
          </cell>
          <cell r="P452">
            <v>0</v>
          </cell>
          <cell r="Q452">
            <v>0</v>
          </cell>
          <cell r="R452">
            <v>0</v>
          </cell>
          <cell r="S452">
            <v>0</v>
          </cell>
          <cell r="T452">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SD?isEulerUpgraded=ALL&amp;processPath=&amp;fnSku=&amp;fulfillmentServiceClass=ALL&amp;exSDRange.quickRange=ALL&amp;isEulerPromiseMiss=ALL&amp;zAxis=WORK_POOL&amp;sortCode=&amp;isEulerExSDMiss=ALL&amp;exSDRange.dailyEnd=00%3A00&amp;exSDRange.dailyStart=00_1" connectionId="1" xr16:uid="{21D01FA0-B030-4C78-B172-855A1843D505}"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printerSettings" Target="../printerSettings/printerSettings3.bin"/><Relationship Id="rId1" Type="http://schemas.openxmlformats.org/officeDocument/2006/relationships/hyperlink" Target="https://outboundflow-iad.amazon.com/SMF1/buffer_size_limits"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63EB1-894D-4985-A320-2BDBDB7AF073}">
  <sheetPr codeName="Sheet34">
    <tabColor rgb="FFFFFF00"/>
  </sheetPr>
  <dimension ref="A1:E6666"/>
  <sheetViews>
    <sheetView topLeftCell="A177" zoomScale="75" zoomScaleNormal="75" workbookViewId="0"/>
  </sheetViews>
  <sheetFormatPr defaultRowHeight="15" x14ac:dyDescent="0.25"/>
  <cols>
    <col min="1" max="1" width="32.85546875" bestFit="1" customWidth="1"/>
    <col min="2" max="2" width="24" bestFit="1" customWidth="1"/>
    <col min="3" max="3" width="16.5703125" bestFit="1" customWidth="1"/>
    <col min="4" max="4" width="12.140625" bestFit="1" customWidth="1"/>
  </cols>
  <sheetData>
    <row r="1" spans="1:4" x14ac:dyDescent="0.25">
      <c r="A1" t="s">
        <v>74</v>
      </c>
      <c r="B1" t="s">
        <v>6</v>
      </c>
      <c r="C1" t="s">
        <v>75</v>
      </c>
      <c r="D1" t="s">
        <v>76</v>
      </c>
    </row>
    <row r="2" spans="1:4" x14ac:dyDescent="0.25">
      <c r="A2" t="s">
        <v>77</v>
      </c>
      <c r="B2" t="s">
        <v>2</v>
      </c>
      <c r="C2" s="1">
        <v>45871.083333333336</v>
      </c>
      <c r="D2">
        <v>30</v>
      </c>
    </row>
    <row r="3" spans="1:4" x14ac:dyDescent="0.25">
      <c r="A3" t="s">
        <v>79</v>
      </c>
      <c r="B3" t="s">
        <v>80</v>
      </c>
      <c r="C3" s="1">
        <v>45880.458333333336</v>
      </c>
      <c r="D3">
        <v>12</v>
      </c>
    </row>
    <row r="4" spans="1:4" x14ac:dyDescent="0.25">
      <c r="A4" t="s">
        <v>77</v>
      </c>
      <c r="B4" t="s">
        <v>8</v>
      </c>
      <c r="C4" s="1">
        <v>45871.604166666664</v>
      </c>
      <c r="D4">
        <v>1004</v>
      </c>
    </row>
    <row r="5" spans="1:4" x14ac:dyDescent="0.25">
      <c r="A5" t="s">
        <v>81</v>
      </c>
      <c r="B5" t="s">
        <v>8</v>
      </c>
      <c r="C5" s="1">
        <v>45871.666666666664</v>
      </c>
      <c r="D5">
        <v>948</v>
      </c>
    </row>
    <row r="6" spans="1:4" x14ac:dyDescent="0.25">
      <c r="A6" t="s">
        <v>23</v>
      </c>
      <c r="B6" t="s">
        <v>8</v>
      </c>
      <c r="C6" s="1">
        <v>45877.1875</v>
      </c>
      <c r="D6">
        <v>14</v>
      </c>
    </row>
    <row r="7" spans="1:4" x14ac:dyDescent="0.25">
      <c r="A7" t="s">
        <v>77</v>
      </c>
      <c r="B7" t="s">
        <v>8</v>
      </c>
      <c r="C7" s="1">
        <v>45873.885416666664</v>
      </c>
      <c r="D7">
        <v>7</v>
      </c>
    </row>
    <row r="8" spans="1:4" x14ac:dyDescent="0.25">
      <c r="A8" t="s">
        <v>11</v>
      </c>
      <c r="B8" t="s">
        <v>2</v>
      </c>
      <c r="C8" s="1">
        <v>45871.041666666664</v>
      </c>
      <c r="D8">
        <v>1</v>
      </c>
    </row>
    <row r="9" spans="1:4" x14ac:dyDescent="0.25">
      <c r="A9" t="s">
        <v>7</v>
      </c>
      <c r="B9" t="s">
        <v>20</v>
      </c>
      <c r="C9" s="1">
        <v>45871.395833333336</v>
      </c>
      <c r="D9">
        <v>1</v>
      </c>
    </row>
    <row r="10" spans="1:4" x14ac:dyDescent="0.25">
      <c r="A10" t="s">
        <v>7</v>
      </c>
      <c r="B10" t="s">
        <v>19</v>
      </c>
      <c r="C10" s="1">
        <v>45872.666666666664</v>
      </c>
      <c r="D10">
        <v>78</v>
      </c>
    </row>
    <row r="11" spans="1:4" x14ac:dyDescent="0.25">
      <c r="A11" t="s">
        <v>81</v>
      </c>
      <c r="B11" t="s">
        <v>0</v>
      </c>
      <c r="C11" s="1">
        <v>45871.145833333336</v>
      </c>
      <c r="D11">
        <v>187</v>
      </c>
    </row>
    <row r="12" spans="1:4" x14ac:dyDescent="0.25">
      <c r="A12" t="s">
        <v>87</v>
      </c>
      <c r="B12" t="s">
        <v>2</v>
      </c>
      <c r="C12" s="1">
        <v>45871.145833333336</v>
      </c>
      <c r="D12">
        <v>5</v>
      </c>
    </row>
    <row r="13" spans="1:4" x14ac:dyDescent="0.25">
      <c r="A13" t="s">
        <v>77</v>
      </c>
      <c r="B13" t="s">
        <v>8</v>
      </c>
      <c r="C13" s="1">
        <v>45871.458333333336</v>
      </c>
      <c r="D13">
        <v>121</v>
      </c>
    </row>
    <row r="14" spans="1:4" x14ac:dyDescent="0.25">
      <c r="A14" t="s">
        <v>7</v>
      </c>
      <c r="B14" t="s">
        <v>0</v>
      </c>
      <c r="C14" s="1">
        <v>45872.458333333336</v>
      </c>
      <c r="D14">
        <v>2</v>
      </c>
    </row>
    <row r="15" spans="1:4" x14ac:dyDescent="0.25">
      <c r="A15" t="s">
        <v>7</v>
      </c>
      <c r="B15" t="s">
        <v>1</v>
      </c>
      <c r="C15" s="1">
        <v>45872.916666666664</v>
      </c>
      <c r="D15">
        <v>13</v>
      </c>
    </row>
    <row r="16" spans="1:4" x14ac:dyDescent="0.25">
      <c r="A16" t="s">
        <v>83</v>
      </c>
      <c r="B16" t="s">
        <v>19</v>
      </c>
      <c r="C16" s="1">
        <v>45871.083333333336</v>
      </c>
      <c r="D16">
        <v>282</v>
      </c>
    </row>
    <row r="17" spans="1:4" x14ac:dyDescent="0.25">
      <c r="A17" t="s">
        <v>10</v>
      </c>
      <c r="B17" t="s">
        <v>57</v>
      </c>
      <c r="C17" s="1">
        <v>45871.145833333336</v>
      </c>
      <c r="D17">
        <v>247</v>
      </c>
    </row>
    <row r="18" spans="1:4" x14ac:dyDescent="0.25">
      <c r="A18" t="s">
        <v>9</v>
      </c>
      <c r="B18" t="s">
        <v>39</v>
      </c>
      <c r="C18" s="1">
        <v>45832.458333333336</v>
      </c>
      <c r="D18">
        <v>2</v>
      </c>
    </row>
    <row r="19" spans="1:4" x14ac:dyDescent="0.25">
      <c r="A19" t="s">
        <v>81</v>
      </c>
      <c r="B19" t="s">
        <v>1</v>
      </c>
      <c r="C19" s="1">
        <v>45872.166666666664</v>
      </c>
      <c r="D19">
        <v>12</v>
      </c>
    </row>
    <row r="20" spans="1:4" x14ac:dyDescent="0.25">
      <c r="A20" t="s">
        <v>7</v>
      </c>
      <c r="B20" t="s">
        <v>8</v>
      </c>
      <c r="C20" s="1">
        <v>45874.541666666664</v>
      </c>
      <c r="D20">
        <v>80</v>
      </c>
    </row>
    <row r="21" spans="1:4" x14ac:dyDescent="0.25">
      <c r="A21" t="s">
        <v>81</v>
      </c>
      <c r="B21" t="s">
        <v>8</v>
      </c>
      <c r="C21" s="1">
        <v>45873.541666666664</v>
      </c>
      <c r="D21">
        <v>33</v>
      </c>
    </row>
    <row r="22" spans="1:4" x14ac:dyDescent="0.25">
      <c r="A22" t="s">
        <v>23</v>
      </c>
      <c r="B22" t="s">
        <v>19</v>
      </c>
      <c r="C22" s="1">
        <v>45872.885416666664</v>
      </c>
      <c r="D22">
        <v>116</v>
      </c>
    </row>
    <row r="23" spans="1:4" x14ac:dyDescent="0.25">
      <c r="A23" t="s">
        <v>7</v>
      </c>
      <c r="B23" t="s">
        <v>2</v>
      </c>
      <c r="C23" s="1">
        <v>45876.75</v>
      </c>
      <c r="D23">
        <v>12</v>
      </c>
    </row>
    <row r="24" spans="1:4" x14ac:dyDescent="0.25">
      <c r="A24" t="s">
        <v>77</v>
      </c>
      <c r="B24" t="s">
        <v>19</v>
      </c>
      <c r="C24" s="1">
        <v>45871.145833333336</v>
      </c>
      <c r="D24">
        <v>455</v>
      </c>
    </row>
    <row r="25" spans="1:4" x14ac:dyDescent="0.25">
      <c r="A25" t="s">
        <v>12</v>
      </c>
      <c r="B25" t="s">
        <v>0</v>
      </c>
      <c r="C25" s="1">
        <v>45871.166666666664</v>
      </c>
      <c r="D25">
        <v>12</v>
      </c>
    </row>
    <row r="26" spans="1:4" x14ac:dyDescent="0.25">
      <c r="A26" t="s">
        <v>7</v>
      </c>
      <c r="B26" t="s">
        <v>0</v>
      </c>
      <c r="C26" s="1">
        <v>45872.604166666664</v>
      </c>
      <c r="D26">
        <v>120</v>
      </c>
    </row>
    <row r="27" spans="1:4" x14ac:dyDescent="0.25">
      <c r="A27" t="s">
        <v>81</v>
      </c>
      <c r="B27" t="s">
        <v>19</v>
      </c>
      <c r="C27" s="1">
        <v>45871.208333333336</v>
      </c>
      <c r="D27">
        <v>31</v>
      </c>
    </row>
    <row r="28" spans="1:4" x14ac:dyDescent="0.25">
      <c r="A28" t="s">
        <v>12</v>
      </c>
      <c r="B28" t="s">
        <v>294</v>
      </c>
      <c r="C28" s="1">
        <v>45866.458333333336</v>
      </c>
      <c r="D28">
        <v>10</v>
      </c>
    </row>
    <row r="29" spans="1:4" x14ac:dyDescent="0.25">
      <c r="A29" t="s">
        <v>23</v>
      </c>
      <c r="B29" t="s">
        <v>8</v>
      </c>
      <c r="C29" s="1">
        <v>45875.166666666664</v>
      </c>
      <c r="D29">
        <v>4</v>
      </c>
    </row>
    <row r="30" spans="1:4" x14ac:dyDescent="0.25">
      <c r="A30" t="s">
        <v>77</v>
      </c>
      <c r="B30" t="s">
        <v>19</v>
      </c>
      <c r="C30" s="1">
        <v>45873.885416666664</v>
      </c>
      <c r="D30">
        <v>1</v>
      </c>
    </row>
    <row r="31" spans="1:4" x14ac:dyDescent="0.25">
      <c r="A31" t="s">
        <v>7</v>
      </c>
      <c r="B31" t="s">
        <v>2</v>
      </c>
      <c r="C31" s="1">
        <v>45872.1875</v>
      </c>
      <c r="D31">
        <v>38</v>
      </c>
    </row>
    <row r="32" spans="1:4" x14ac:dyDescent="0.25">
      <c r="A32" t="s">
        <v>23</v>
      </c>
      <c r="B32" t="s">
        <v>1</v>
      </c>
      <c r="C32" s="1">
        <v>45875.666666666664</v>
      </c>
      <c r="D32">
        <v>1</v>
      </c>
    </row>
    <row r="33" spans="1:4" x14ac:dyDescent="0.25">
      <c r="A33" t="s">
        <v>23</v>
      </c>
      <c r="B33" t="s">
        <v>2</v>
      </c>
      <c r="C33" s="1">
        <v>45874.541666666664</v>
      </c>
      <c r="D33">
        <v>3</v>
      </c>
    </row>
    <row r="34" spans="1:4" x14ac:dyDescent="0.25">
      <c r="A34" t="s">
        <v>11</v>
      </c>
      <c r="B34" t="s">
        <v>1</v>
      </c>
      <c r="C34" s="1">
        <v>45867.208333333336</v>
      </c>
      <c r="D34">
        <v>1</v>
      </c>
    </row>
    <row r="35" spans="1:4" x14ac:dyDescent="0.25">
      <c r="A35" t="s">
        <v>15</v>
      </c>
      <c r="B35" t="s">
        <v>19</v>
      </c>
      <c r="C35" s="1">
        <v>45871.541666666664</v>
      </c>
      <c r="D35">
        <v>5</v>
      </c>
    </row>
    <row r="36" spans="1:4" x14ac:dyDescent="0.25">
      <c r="A36" t="s">
        <v>11</v>
      </c>
      <c r="B36" t="s">
        <v>51</v>
      </c>
      <c r="C36" s="1">
        <v>45870.458333333336</v>
      </c>
      <c r="D36">
        <v>12</v>
      </c>
    </row>
    <row r="37" spans="1:4" x14ac:dyDescent="0.25">
      <c r="A37" t="s">
        <v>77</v>
      </c>
      <c r="B37" t="s">
        <v>1</v>
      </c>
      <c r="C37" s="1">
        <v>45871.958333333336</v>
      </c>
      <c r="D37">
        <v>6</v>
      </c>
    </row>
    <row r="38" spans="1:4" x14ac:dyDescent="0.25">
      <c r="A38" t="s">
        <v>7</v>
      </c>
      <c r="B38" t="s">
        <v>8</v>
      </c>
      <c r="C38" s="1">
        <v>45877.125</v>
      </c>
      <c r="D38">
        <v>381</v>
      </c>
    </row>
    <row r="39" spans="1:4" x14ac:dyDescent="0.25">
      <c r="A39" t="s">
        <v>88</v>
      </c>
      <c r="B39" t="s">
        <v>8</v>
      </c>
      <c r="C39" s="1">
        <v>45871.625</v>
      </c>
      <c r="D39">
        <v>1</v>
      </c>
    </row>
    <row r="40" spans="1:4" x14ac:dyDescent="0.25">
      <c r="A40" t="s">
        <v>9</v>
      </c>
      <c r="B40" t="s">
        <v>0</v>
      </c>
      <c r="C40" s="1">
        <v>45871.75</v>
      </c>
      <c r="D40">
        <v>1</v>
      </c>
    </row>
    <row r="41" spans="1:4" x14ac:dyDescent="0.25">
      <c r="A41" t="s">
        <v>81</v>
      </c>
      <c r="B41" t="s">
        <v>1</v>
      </c>
      <c r="C41" s="1">
        <v>45871.854166666664</v>
      </c>
      <c r="D41">
        <v>1</v>
      </c>
    </row>
    <row r="42" spans="1:4" x14ac:dyDescent="0.25">
      <c r="A42" t="s">
        <v>9</v>
      </c>
      <c r="B42" t="s">
        <v>19</v>
      </c>
      <c r="C42" s="1">
        <v>45867.1875</v>
      </c>
      <c r="D42">
        <v>1</v>
      </c>
    </row>
    <row r="43" spans="1:4" x14ac:dyDescent="0.25">
      <c r="A43" t="s">
        <v>86</v>
      </c>
      <c r="B43" t="s">
        <v>8</v>
      </c>
      <c r="C43" s="1">
        <v>45869.916666666664</v>
      </c>
      <c r="D43">
        <v>1</v>
      </c>
    </row>
    <row r="44" spans="1:4" x14ac:dyDescent="0.25">
      <c r="A44" t="s">
        <v>81</v>
      </c>
      <c r="B44" t="s">
        <v>8</v>
      </c>
      <c r="C44" s="1">
        <v>45871.208333333336</v>
      </c>
      <c r="D44">
        <v>23</v>
      </c>
    </row>
    <row r="45" spans="1:4" x14ac:dyDescent="0.25">
      <c r="A45" t="s">
        <v>77</v>
      </c>
      <c r="B45" t="s">
        <v>8</v>
      </c>
      <c r="C45" s="1">
        <v>45871.145833333336</v>
      </c>
      <c r="D45">
        <v>553</v>
      </c>
    </row>
    <row r="46" spans="1:4" x14ac:dyDescent="0.25">
      <c r="A46" t="s">
        <v>11</v>
      </c>
      <c r="B46" t="s">
        <v>8</v>
      </c>
      <c r="C46" s="1">
        <v>45866.958333333336</v>
      </c>
      <c r="D46">
        <v>4</v>
      </c>
    </row>
    <row r="47" spans="1:4" x14ac:dyDescent="0.25">
      <c r="A47" t="s">
        <v>11</v>
      </c>
      <c r="B47" t="s">
        <v>92</v>
      </c>
      <c r="C47" s="1">
        <v>45883.458333333336</v>
      </c>
      <c r="D47">
        <v>241</v>
      </c>
    </row>
    <row r="48" spans="1:4" x14ac:dyDescent="0.25">
      <c r="A48" t="s">
        <v>7</v>
      </c>
      <c r="B48" t="s">
        <v>2</v>
      </c>
      <c r="C48" s="1">
        <v>45874.625</v>
      </c>
      <c r="D48">
        <v>4</v>
      </c>
    </row>
    <row r="49" spans="1:4" x14ac:dyDescent="0.25">
      <c r="A49" t="s">
        <v>291</v>
      </c>
      <c r="B49" t="s">
        <v>4</v>
      </c>
      <c r="C49" s="1">
        <v>45862.458333333336</v>
      </c>
      <c r="D49">
        <v>96</v>
      </c>
    </row>
    <row r="50" spans="1:4" x14ac:dyDescent="0.25">
      <c r="A50" t="s">
        <v>9</v>
      </c>
      <c r="B50" t="s">
        <v>8</v>
      </c>
      <c r="C50" s="1">
        <v>45869.625</v>
      </c>
      <c r="D50">
        <v>1</v>
      </c>
    </row>
    <row r="51" spans="1:4" x14ac:dyDescent="0.25">
      <c r="A51" t="s">
        <v>23</v>
      </c>
      <c r="B51" t="s">
        <v>57</v>
      </c>
      <c r="C51" s="1">
        <v>45872.125</v>
      </c>
      <c r="D51">
        <v>41</v>
      </c>
    </row>
    <row r="52" spans="1:4" x14ac:dyDescent="0.25">
      <c r="A52" t="s">
        <v>81</v>
      </c>
      <c r="B52" t="s">
        <v>0</v>
      </c>
      <c r="C52" s="1">
        <v>45871.604166666664</v>
      </c>
      <c r="D52">
        <v>216</v>
      </c>
    </row>
    <row r="53" spans="1:4" x14ac:dyDescent="0.25">
      <c r="A53" t="s">
        <v>23</v>
      </c>
      <c r="B53" t="s">
        <v>2</v>
      </c>
      <c r="C53" s="1">
        <v>45877.125</v>
      </c>
      <c r="D53">
        <v>7</v>
      </c>
    </row>
    <row r="54" spans="1:4" x14ac:dyDescent="0.25">
      <c r="A54" t="s">
        <v>7</v>
      </c>
      <c r="B54" t="s">
        <v>19</v>
      </c>
      <c r="C54" s="1">
        <v>45872.208333333336</v>
      </c>
      <c r="D54">
        <v>127</v>
      </c>
    </row>
    <row r="55" spans="1:4" x14ac:dyDescent="0.25">
      <c r="A55" t="s">
        <v>12</v>
      </c>
      <c r="B55" t="s">
        <v>19</v>
      </c>
      <c r="C55" s="1">
        <v>45871.125</v>
      </c>
      <c r="D55">
        <v>110</v>
      </c>
    </row>
    <row r="56" spans="1:4" x14ac:dyDescent="0.25">
      <c r="A56" t="s">
        <v>23</v>
      </c>
      <c r="B56" t="s">
        <v>1</v>
      </c>
      <c r="C56" s="1">
        <v>45873.083333333336</v>
      </c>
      <c r="D56">
        <v>11</v>
      </c>
    </row>
    <row r="57" spans="1:4" x14ac:dyDescent="0.25">
      <c r="A57" t="s">
        <v>81</v>
      </c>
      <c r="B57" t="s">
        <v>19</v>
      </c>
      <c r="C57" s="1">
        <v>45876.125</v>
      </c>
      <c r="D57">
        <v>4</v>
      </c>
    </row>
    <row r="58" spans="1:4" x14ac:dyDescent="0.25">
      <c r="A58" t="s">
        <v>23</v>
      </c>
      <c r="B58" t="s">
        <v>19</v>
      </c>
      <c r="C58" s="1">
        <v>45874.916666666664</v>
      </c>
      <c r="D58">
        <v>7</v>
      </c>
    </row>
    <row r="59" spans="1:4" x14ac:dyDescent="0.25">
      <c r="A59" t="s">
        <v>81</v>
      </c>
      <c r="B59" t="s">
        <v>1</v>
      </c>
      <c r="C59" s="1">
        <v>45871.916666666664</v>
      </c>
      <c r="D59">
        <v>87</v>
      </c>
    </row>
    <row r="60" spans="1:4" x14ac:dyDescent="0.25">
      <c r="A60" t="s">
        <v>14</v>
      </c>
      <c r="B60" t="s">
        <v>51</v>
      </c>
      <c r="C60" s="1">
        <v>45867.458333333336</v>
      </c>
      <c r="D60">
        <v>2</v>
      </c>
    </row>
    <row r="61" spans="1:4" x14ac:dyDescent="0.25">
      <c r="A61" t="s">
        <v>77</v>
      </c>
      <c r="B61" t="s">
        <v>8</v>
      </c>
      <c r="C61" s="1">
        <v>45871.208333333336</v>
      </c>
      <c r="D61">
        <v>4151</v>
      </c>
    </row>
    <row r="62" spans="1:4" x14ac:dyDescent="0.25">
      <c r="A62" t="s">
        <v>77</v>
      </c>
      <c r="B62" t="s">
        <v>0</v>
      </c>
      <c r="C62" s="1">
        <v>45871.041666666664</v>
      </c>
      <c r="D62">
        <v>1</v>
      </c>
    </row>
    <row r="63" spans="1:4" x14ac:dyDescent="0.25">
      <c r="A63" t="s">
        <v>11</v>
      </c>
      <c r="B63" t="s">
        <v>2</v>
      </c>
      <c r="C63" s="1">
        <v>45866.583333333336</v>
      </c>
      <c r="D63">
        <v>1</v>
      </c>
    </row>
    <row r="64" spans="1:4" x14ac:dyDescent="0.25">
      <c r="A64" t="s">
        <v>7</v>
      </c>
      <c r="B64" t="s">
        <v>1</v>
      </c>
      <c r="C64" s="1">
        <v>45873.166666666664</v>
      </c>
      <c r="D64">
        <v>10</v>
      </c>
    </row>
    <row r="65" spans="1:4" x14ac:dyDescent="0.25">
      <c r="A65" t="s">
        <v>7</v>
      </c>
      <c r="B65" t="s">
        <v>57</v>
      </c>
      <c r="C65" s="1">
        <v>45871.75</v>
      </c>
      <c r="D65">
        <v>27</v>
      </c>
    </row>
    <row r="66" spans="1:4" x14ac:dyDescent="0.25">
      <c r="A66" t="s">
        <v>23</v>
      </c>
      <c r="B66" t="s">
        <v>8</v>
      </c>
      <c r="C66" s="1">
        <v>45872.729166666664</v>
      </c>
      <c r="D66">
        <v>46</v>
      </c>
    </row>
    <row r="67" spans="1:4" x14ac:dyDescent="0.25">
      <c r="A67" t="s">
        <v>81</v>
      </c>
      <c r="B67" t="s">
        <v>2</v>
      </c>
      <c r="C67" s="1">
        <v>45875.75</v>
      </c>
      <c r="D67">
        <v>6</v>
      </c>
    </row>
    <row r="68" spans="1:4" x14ac:dyDescent="0.25">
      <c r="A68" t="s">
        <v>9</v>
      </c>
      <c r="B68" t="s">
        <v>53</v>
      </c>
      <c r="C68" s="1">
        <v>45867.458333333336</v>
      </c>
      <c r="D68">
        <v>3</v>
      </c>
    </row>
    <row r="69" spans="1:4" x14ac:dyDescent="0.25">
      <c r="A69" t="s">
        <v>23</v>
      </c>
      <c r="B69" t="s">
        <v>19</v>
      </c>
      <c r="C69" s="1">
        <v>45872.729166666664</v>
      </c>
      <c r="D69">
        <v>48</v>
      </c>
    </row>
    <row r="70" spans="1:4" x14ac:dyDescent="0.25">
      <c r="A70" t="s">
        <v>7</v>
      </c>
      <c r="B70" t="s">
        <v>8</v>
      </c>
      <c r="C70" s="1">
        <v>45868.166666666664</v>
      </c>
      <c r="D70">
        <v>1</v>
      </c>
    </row>
    <row r="71" spans="1:4" x14ac:dyDescent="0.25">
      <c r="A71" t="s">
        <v>81</v>
      </c>
      <c r="B71" t="s">
        <v>19</v>
      </c>
      <c r="C71" s="1">
        <v>45871.666666666664</v>
      </c>
      <c r="D71">
        <v>658</v>
      </c>
    </row>
    <row r="72" spans="1:4" x14ac:dyDescent="0.25">
      <c r="A72" t="s">
        <v>77</v>
      </c>
      <c r="B72" t="s">
        <v>19</v>
      </c>
      <c r="C72" s="1">
        <v>45871.604166666664</v>
      </c>
      <c r="D72">
        <v>99</v>
      </c>
    </row>
    <row r="73" spans="1:4" x14ac:dyDescent="0.25">
      <c r="A73" t="s">
        <v>88</v>
      </c>
      <c r="B73" t="s">
        <v>2</v>
      </c>
      <c r="C73" s="1">
        <v>45871.145833333336</v>
      </c>
      <c r="D73">
        <v>52</v>
      </c>
    </row>
    <row r="74" spans="1:4" x14ac:dyDescent="0.25">
      <c r="A74" t="s">
        <v>77</v>
      </c>
      <c r="B74" t="s">
        <v>8</v>
      </c>
      <c r="C74" s="1">
        <v>45873.729166666664</v>
      </c>
      <c r="D74">
        <v>7</v>
      </c>
    </row>
    <row r="75" spans="1:4" x14ac:dyDescent="0.25">
      <c r="A75" t="s">
        <v>77</v>
      </c>
      <c r="B75" t="s">
        <v>0</v>
      </c>
      <c r="C75" s="1">
        <v>45871.145833333336</v>
      </c>
      <c r="D75">
        <v>798</v>
      </c>
    </row>
    <row r="76" spans="1:4" x14ac:dyDescent="0.25">
      <c r="A76" t="s">
        <v>12</v>
      </c>
      <c r="B76" t="s">
        <v>8</v>
      </c>
      <c r="C76" s="1">
        <v>45871.125</v>
      </c>
      <c r="D76">
        <v>130</v>
      </c>
    </row>
    <row r="77" spans="1:4" x14ac:dyDescent="0.25">
      <c r="A77" t="s">
        <v>7</v>
      </c>
      <c r="B77" t="s">
        <v>0</v>
      </c>
      <c r="C77" s="1">
        <v>45874.885416666664</v>
      </c>
      <c r="D77">
        <v>2</v>
      </c>
    </row>
    <row r="78" spans="1:4" x14ac:dyDescent="0.25">
      <c r="A78" t="s">
        <v>23</v>
      </c>
      <c r="B78" t="s">
        <v>8</v>
      </c>
      <c r="C78" s="1">
        <v>45874.916666666664</v>
      </c>
      <c r="D78">
        <v>6</v>
      </c>
    </row>
    <row r="79" spans="1:4" x14ac:dyDescent="0.25">
      <c r="A79" t="s">
        <v>77</v>
      </c>
      <c r="B79" t="s">
        <v>1</v>
      </c>
      <c r="C79" s="1">
        <v>45871.854166666664</v>
      </c>
      <c r="D79">
        <v>3</v>
      </c>
    </row>
    <row r="80" spans="1:4" x14ac:dyDescent="0.25">
      <c r="A80" t="s">
        <v>23</v>
      </c>
      <c r="B80" t="s">
        <v>2</v>
      </c>
      <c r="C80" s="1">
        <v>45874.885416666664</v>
      </c>
      <c r="D80">
        <v>9</v>
      </c>
    </row>
    <row r="81" spans="1:4" x14ac:dyDescent="0.25">
      <c r="A81" t="s">
        <v>7</v>
      </c>
      <c r="B81" t="s">
        <v>0</v>
      </c>
      <c r="C81" s="1">
        <v>45874.583333333336</v>
      </c>
      <c r="D81">
        <v>12</v>
      </c>
    </row>
    <row r="82" spans="1:4" x14ac:dyDescent="0.25">
      <c r="A82" t="s">
        <v>81</v>
      </c>
      <c r="B82" t="s">
        <v>57</v>
      </c>
      <c r="C82" s="1">
        <v>45873.125</v>
      </c>
      <c r="D82">
        <v>3</v>
      </c>
    </row>
    <row r="83" spans="1:4" x14ac:dyDescent="0.25">
      <c r="A83" t="s">
        <v>83</v>
      </c>
      <c r="B83" t="s">
        <v>8</v>
      </c>
      <c r="C83" s="1">
        <v>45871.083333333336</v>
      </c>
      <c r="D83">
        <v>135</v>
      </c>
    </row>
    <row r="84" spans="1:4" x14ac:dyDescent="0.25">
      <c r="A84" t="s">
        <v>81</v>
      </c>
      <c r="B84" t="s">
        <v>19</v>
      </c>
      <c r="C84" s="1">
        <v>45871.604166666664</v>
      </c>
      <c r="D84">
        <v>1322</v>
      </c>
    </row>
    <row r="85" spans="1:4" x14ac:dyDescent="0.25">
      <c r="A85" t="s">
        <v>81</v>
      </c>
      <c r="B85" t="s">
        <v>20</v>
      </c>
      <c r="C85" s="1">
        <v>45872.625</v>
      </c>
      <c r="D85">
        <v>2</v>
      </c>
    </row>
    <row r="86" spans="1:4" x14ac:dyDescent="0.25">
      <c r="A86" t="s">
        <v>23</v>
      </c>
      <c r="B86" t="s">
        <v>0</v>
      </c>
      <c r="C86" s="1">
        <v>45872.625</v>
      </c>
      <c r="D86">
        <v>19</v>
      </c>
    </row>
    <row r="87" spans="1:4" x14ac:dyDescent="0.25">
      <c r="A87" t="s">
        <v>81</v>
      </c>
      <c r="B87" t="s">
        <v>19</v>
      </c>
      <c r="C87" s="1">
        <v>45873.541666666664</v>
      </c>
      <c r="D87">
        <v>9</v>
      </c>
    </row>
    <row r="88" spans="1:4" x14ac:dyDescent="0.25">
      <c r="A88" t="s">
        <v>9</v>
      </c>
      <c r="B88" t="s">
        <v>57</v>
      </c>
      <c r="C88" s="1">
        <v>45871.1875</v>
      </c>
      <c r="D88">
        <v>31</v>
      </c>
    </row>
    <row r="89" spans="1:4" x14ac:dyDescent="0.25">
      <c r="A89" t="s">
        <v>81</v>
      </c>
      <c r="B89" t="s">
        <v>19</v>
      </c>
      <c r="C89" s="1">
        <v>45873.583333333336</v>
      </c>
      <c r="D89">
        <v>103</v>
      </c>
    </row>
    <row r="90" spans="1:4" x14ac:dyDescent="0.25">
      <c r="A90" t="s">
        <v>7</v>
      </c>
      <c r="B90" t="s">
        <v>19</v>
      </c>
      <c r="C90" s="1">
        <v>45877.166666666664</v>
      </c>
      <c r="D90">
        <v>61</v>
      </c>
    </row>
    <row r="91" spans="1:4" x14ac:dyDescent="0.25">
      <c r="A91" t="s">
        <v>81</v>
      </c>
      <c r="B91" t="s">
        <v>1</v>
      </c>
      <c r="C91" s="1">
        <v>45871.958333333336</v>
      </c>
      <c r="D91">
        <v>7</v>
      </c>
    </row>
    <row r="92" spans="1:4" x14ac:dyDescent="0.25">
      <c r="A92" t="s">
        <v>81</v>
      </c>
      <c r="B92" t="s">
        <v>2</v>
      </c>
      <c r="C92" s="1">
        <v>45871.5</v>
      </c>
      <c r="D92">
        <v>5</v>
      </c>
    </row>
    <row r="93" spans="1:4" x14ac:dyDescent="0.25">
      <c r="A93" t="s">
        <v>88</v>
      </c>
      <c r="B93" t="s">
        <v>0</v>
      </c>
      <c r="C93" s="1">
        <v>45871.208333333336</v>
      </c>
      <c r="D93">
        <v>17</v>
      </c>
    </row>
    <row r="94" spans="1:4" x14ac:dyDescent="0.25">
      <c r="A94" t="s">
        <v>83</v>
      </c>
      <c r="B94" t="s">
        <v>8</v>
      </c>
      <c r="C94" s="1">
        <v>45871.041666666664</v>
      </c>
      <c r="D94">
        <v>6</v>
      </c>
    </row>
    <row r="95" spans="1:4" x14ac:dyDescent="0.25">
      <c r="A95" t="s">
        <v>23</v>
      </c>
      <c r="B95" t="s">
        <v>19</v>
      </c>
      <c r="C95" s="1">
        <v>45872.541666666664</v>
      </c>
      <c r="D95">
        <v>15</v>
      </c>
    </row>
    <row r="96" spans="1:4" x14ac:dyDescent="0.25">
      <c r="A96" t="s">
        <v>12</v>
      </c>
      <c r="B96" t="s">
        <v>19</v>
      </c>
      <c r="C96" s="1">
        <v>45871.020833333336</v>
      </c>
      <c r="D96">
        <v>3</v>
      </c>
    </row>
    <row r="97" spans="1:4" x14ac:dyDescent="0.25">
      <c r="A97" t="s">
        <v>77</v>
      </c>
      <c r="B97" t="s">
        <v>1</v>
      </c>
      <c r="C97" s="1">
        <v>45871.75</v>
      </c>
      <c r="D97">
        <v>13</v>
      </c>
    </row>
    <row r="98" spans="1:4" x14ac:dyDescent="0.25">
      <c r="A98" t="s">
        <v>12</v>
      </c>
      <c r="B98" t="s">
        <v>1</v>
      </c>
      <c r="C98" s="1">
        <v>45871.666666666664</v>
      </c>
      <c r="D98">
        <v>6</v>
      </c>
    </row>
    <row r="99" spans="1:4" x14ac:dyDescent="0.25">
      <c r="A99" t="s">
        <v>81</v>
      </c>
      <c r="B99" t="s">
        <v>8</v>
      </c>
      <c r="C99" s="1">
        <v>45873.885416666664</v>
      </c>
      <c r="D99">
        <v>135</v>
      </c>
    </row>
    <row r="100" spans="1:4" x14ac:dyDescent="0.25">
      <c r="A100" t="s">
        <v>7</v>
      </c>
      <c r="B100" t="s">
        <v>8</v>
      </c>
      <c r="C100" s="1">
        <v>45872.604166666664</v>
      </c>
      <c r="D100">
        <v>435</v>
      </c>
    </row>
    <row r="101" spans="1:4" x14ac:dyDescent="0.25">
      <c r="A101" t="s">
        <v>7</v>
      </c>
      <c r="B101" t="s">
        <v>8</v>
      </c>
      <c r="C101" s="1">
        <v>45874.75</v>
      </c>
      <c r="D101">
        <v>24</v>
      </c>
    </row>
    <row r="102" spans="1:4" x14ac:dyDescent="0.25">
      <c r="A102" t="s">
        <v>14</v>
      </c>
      <c r="B102" t="s">
        <v>19</v>
      </c>
      <c r="C102" s="1">
        <v>45866.083333333336</v>
      </c>
      <c r="D102">
        <v>1</v>
      </c>
    </row>
    <row r="103" spans="1:4" x14ac:dyDescent="0.25">
      <c r="A103" t="s">
        <v>7</v>
      </c>
      <c r="B103" t="s">
        <v>20</v>
      </c>
      <c r="C103" s="1">
        <v>45875.75</v>
      </c>
      <c r="D103">
        <v>5</v>
      </c>
    </row>
    <row r="104" spans="1:4" x14ac:dyDescent="0.25">
      <c r="A104" t="s">
        <v>88</v>
      </c>
      <c r="B104" t="s">
        <v>2</v>
      </c>
      <c r="C104" s="1">
        <v>45871.208333333336</v>
      </c>
      <c r="D104">
        <v>11</v>
      </c>
    </row>
    <row r="105" spans="1:4" x14ac:dyDescent="0.25">
      <c r="A105" t="s">
        <v>7</v>
      </c>
      <c r="B105" t="s">
        <v>20</v>
      </c>
      <c r="C105" s="1">
        <v>45871.604166666664</v>
      </c>
      <c r="D105">
        <v>109</v>
      </c>
    </row>
    <row r="106" spans="1:4" x14ac:dyDescent="0.25">
      <c r="A106" t="s">
        <v>23</v>
      </c>
      <c r="B106" t="s">
        <v>8</v>
      </c>
      <c r="C106" s="1">
        <v>45875.125</v>
      </c>
      <c r="D106">
        <v>108</v>
      </c>
    </row>
    <row r="107" spans="1:4" x14ac:dyDescent="0.25">
      <c r="A107" t="s">
        <v>79</v>
      </c>
      <c r="B107" t="s">
        <v>4</v>
      </c>
      <c r="C107" s="1">
        <v>45874.625</v>
      </c>
      <c r="D107">
        <v>1</v>
      </c>
    </row>
    <row r="108" spans="1:4" x14ac:dyDescent="0.25">
      <c r="A108" t="s">
        <v>81</v>
      </c>
      <c r="B108" t="s">
        <v>19</v>
      </c>
      <c r="C108" s="1">
        <v>45873.729166666664</v>
      </c>
      <c r="D108">
        <v>4</v>
      </c>
    </row>
    <row r="109" spans="1:4" x14ac:dyDescent="0.25">
      <c r="A109" t="s">
        <v>7</v>
      </c>
      <c r="B109" t="s">
        <v>8</v>
      </c>
      <c r="C109" s="1">
        <v>45874.885416666664</v>
      </c>
      <c r="D109">
        <v>44</v>
      </c>
    </row>
    <row r="110" spans="1:4" x14ac:dyDescent="0.25">
      <c r="A110" t="s">
        <v>23</v>
      </c>
      <c r="B110" t="s">
        <v>0</v>
      </c>
      <c r="C110" s="1">
        <v>45872.885416666664</v>
      </c>
      <c r="D110">
        <v>9</v>
      </c>
    </row>
    <row r="111" spans="1:4" x14ac:dyDescent="0.25">
      <c r="A111" t="s">
        <v>81</v>
      </c>
      <c r="B111" t="s">
        <v>8</v>
      </c>
      <c r="C111" s="1">
        <v>45871.604166666664</v>
      </c>
      <c r="D111">
        <v>68</v>
      </c>
    </row>
    <row r="112" spans="1:4" x14ac:dyDescent="0.25">
      <c r="A112" t="s">
        <v>81</v>
      </c>
      <c r="B112" t="s">
        <v>20</v>
      </c>
      <c r="C112" s="1">
        <v>45872.885416666664</v>
      </c>
      <c r="D112">
        <v>10</v>
      </c>
    </row>
    <row r="113" spans="1:4" x14ac:dyDescent="0.25">
      <c r="A113" t="s">
        <v>12</v>
      </c>
      <c r="B113" t="s">
        <v>19</v>
      </c>
      <c r="C113" s="1">
        <v>45871.166666666664</v>
      </c>
      <c r="D113">
        <v>47</v>
      </c>
    </row>
    <row r="114" spans="1:4" x14ac:dyDescent="0.25">
      <c r="A114" t="s">
        <v>7</v>
      </c>
      <c r="B114" t="s">
        <v>40</v>
      </c>
      <c r="C114" s="1">
        <v>45883.458333333336</v>
      </c>
      <c r="D114">
        <v>39</v>
      </c>
    </row>
    <row r="115" spans="1:4" x14ac:dyDescent="0.25">
      <c r="A115" t="s">
        <v>7</v>
      </c>
      <c r="B115" t="s">
        <v>20</v>
      </c>
      <c r="C115" s="1">
        <v>45871.458333333336</v>
      </c>
      <c r="D115">
        <v>84</v>
      </c>
    </row>
    <row r="116" spans="1:4" x14ac:dyDescent="0.25">
      <c r="A116" t="s">
        <v>81</v>
      </c>
      <c r="B116" t="s">
        <v>57</v>
      </c>
      <c r="C116" s="1">
        <v>45873.083333333336</v>
      </c>
      <c r="D116">
        <v>1</v>
      </c>
    </row>
    <row r="117" spans="1:4" x14ac:dyDescent="0.25">
      <c r="A117" t="s">
        <v>87</v>
      </c>
      <c r="B117" t="s">
        <v>53</v>
      </c>
      <c r="C117" s="1">
        <v>45853.458333333336</v>
      </c>
      <c r="D117">
        <v>1</v>
      </c>
    </row>
    <row r="118" spans="1:4" x14ac:dyDescent="0.25">
      <c r="A118" t="s">
        <v>7</v>
      </c>
      <c r="B118" t="s">
        <v>8</v>
      </c>
      <c r="C118" s="1">
        <v>45872.208333333336</v>
      </c>
      <c r="D118">
        <v>180</v>
      </c>
    </row>
    <row r="119" spans="1:4" x14ac:dyDescent="0.25">
      <c r="A119" t="s">
        <v>7</v>
      </c>
      <c r="B119" t="s">
        <v>19</v>
      </c>
      <c r="C119" s="1">
        <v>45874.583333333336</v>
      </c>
      <c r="D119">
        <v>204</v>
      </c>
    </row>
    <row r="120" spans="1:4" x14ac:dyDescent="0.25">
      <c r="A120" t="s">
        <v>7</v>
      </c>
      <c r="B120" t="s">
        <v>57</v>
      </c>
      <c r="C120" s="1">
        <v>45871.958333333336</v>
      </c>
      <c r="D120">
        <v>2</v>
      </c>
    </row>
    <row r="121" spans="1:4" x14ac:dyDescent="0.25">
      <c r="A121" t="s">
        <v>10</v>
      </c>
      <c r="B121" t="s">
        <v>57</v>
      </c>
      <c r="C121" s="1">
        <v>45871.208333333336</v>
      </c>
      <c r="D121">
        <v>32</v>
      </c>
    </row>
    <row r="122" spans="1:4" x14ac:dyDescent="0.25">
      <c r="A122" t="s">
        <v>14</v>
      </c>
      <c r="B122" t="s">
        <v>294</v>
      </c>
      <c r="C122" s="1">
        <v>45875.458333333336</v>
      </c>
      <c r="D122">
        <v>10</v>
      </c>
    </row>
    <row r="123" spans="1:4" x14ac:dyDescent="0.25">
      <c r="A123" t="s">
        <v>23</v>
      </c>
      <c r="B123" t="s">
        <v>57</v>
      </c>
      <c r="C123" s="1">
        <v>45874.145833333336</v>
      </c>
      <c r="D123">
        <v>1</v>
      </c>
    </row>
    <row r="124" spans="1:4" x14ac:dyDescent="0.25">
      <c r="A124" t="s">
        <v>23</v>
      </c>
      <c r="B124" t="s">
        <v>19</v>
      </c>
      <c r="C124" s="1">
        <v>45875.125</v>
      </c>
      <c r="D124">
        <v>117</v>
      </c>
    </row>
    <row r="125" spans="1:4" x14ac:dyDescent="0.25">
      <c r="A125" t="s">
        <v>81</v>
      </c>
      <c r="B125" t="s">
        <v>0</v>
      </c>
      <c r="C125" s="1">
        <v>45873.625</v>
      </c>
      <c r="D125">
        <v>1</v>
      </c>
    </row>
    <row r="126" spans="1:4" x14ac:dyDescent="0.25">
      <c r="A126" t="s">
        <v>23</v>
      </c>
      <c r="B126" t="s">
        <v>2</v>
      </c>
      <c r="C126" s="1">
        <v>45872.604166666664</v>
      </c>
      <c r="D126">
        <v>17</v>
      </c>
    </row>
    <row r="127" spans="1:4" x14ac:dyDescent="0.25">
      <c r="A127" t="s">
        <v>77</v>
      </c>
      <c r="B127" t="s">
        <v>0</v>
      </c>
      <c r="C127" s="1">
        <v>45871.604166666664</v>
      </c>
      <c r="D127">
        <v>1</v>
      </c>
    </row>
    <row r="128" spans="1:4" x14ac:dyDescent="0.25">
      <c r="A128" t="s">
        <v>88</v>
      </c>
      <c r="B128" t="s">
        <v>2</v>
      </c>
      <c r="C128" s="1">
        <v>45871.1875</v>
      </c>
      <c r="D128">
        <v>7</v>
      </c>
    </row>
    <row r="129" spans="1:4" x14ac:dyDescent="0.25">
      <c r="A129" t="s">
        <v>81</v>
      </c>
      <c r="B129" t="s">
        <v>19</v>
      </c>
      <c r="C129" s="1">
        <v>45873.885416666664</v>
      </c>
      <c r="D129">
        <v>126</v>
      </c>
    </row>
    <row r="130" spans="1:4" x14ac:dyDescent="0.25">
      <c r="A130" t="s">
        <v>12</v>
      </c>
      <c r="B130" t="s">
        <v>8</v>
      </c>
      <c r="C130" s="1">
        <v>45871.020833333336</v>
      </c>
      <c r="D130">
        <v>2</v>
      </c>
    </row>
    <row r="131" spans="1:4" x14ac:dyDescent="0.25">
      <c r="A131" t="s">
        <v>81</v>
      </c>
      <c r="B131" t="s">
        <v>2</v>
      </c>
      <c r="C131" s="1">
        <v>45873.208333333336</v>
      </c>
      <c r="D131">
        <v>2</v>
      </c>
    </row>
    <row r="132" spans="1:4" x14ac:dyDescent="0.25">
      <c r="A132" t="s">
        <v>13</v>
      </c>
      <c r="B132" t="s">
        <v>4</v>
      </c>
      <c r="C132" s="1">
        <v>45876.75</v>
      </c>
      <c r="D132">
        <v>4</v>
      </c>
    </row>
    <row r="133" spans="1:4" x14ac:dyDescent="0.25">
      <c r="A133" t="s">
        <v>23</v>
      </c>
      <c r="B133" t="s">
        <v>20</v>
      </c>
      <c r="C133" s="1">
        <v>45876.125</v>
      </c>
      <c r="D133">
        <v>1</v>
      </c>
    </row>
    <row r="134" spans="1:4" x14ac:dyDescent="0.25">
      <c r="A134" t="s">
        <v>23</v>
      </c>
      <c r="B134" t="s">
        <v>2</v>
      </c>
      <c r="C134" s="1">
        <v>45872.458333333336</v>
      </c>
      <c r="D134">
        <v>2</v>
      </c>
    </row>
    <row r="135" spans="1:4" x14ac:dyDescent="0.25">
      <c r="A135" t="s">
        <v>10</v>
      </c>
      <c r="B135" t="s">
        <v>53</v>
      </c>
      <c r="C135" s="1">
        <v>45865.458333333336</v>
      </c>
      <c r="D135">
        <v>10</v>
      </c>
    </row>
    <row r="136" spans="1:4" x14ac:dyDescent="0.25">
      <c r="A136" t="s">
        <v>23</v>
      </c>
      <c r="B136" t="s">
        <v>8</v>
      </c>
      <c r="C136" s="1">
        <v>45872.541666666664</v>
      </c>
      <c r="D136">
        <v>14</v>
      </c>
    </row>
    <row r="137" spans="1:4" x14ac:dyDescent="0.25">
      <c r="A137" t="s">
        <v>81</v>
      </c>
      <c r="B137" t="s">
        <v>8</v>
      </c>
      <c r="C137" s="1">
        <v>45871.625</v>
      </c>
      <c r="D137">
        <v>30</v>
      </c>
    </row>
    <row r="138" spans="1:4" x14ac:dyDescent="0.25">
      <c r="A138" t="s">
        <v>81</v>
      </c>
      <c r="B138" t="s">
        <v>19</v>
      </c>
      <c r="C138" s="1">
        <v>45871.145833333336</v>
      </c>
      <c r="D138">
        <v>2</v>
      </c>
    </row>
    <row r="139" spans="1:4" x14ac:dyDescent="0.25">
      <c r="A139" t="s">
        <v>7</v>
      </c>
      <c r="B139" t="s">
        <v>19</v>
      </c>
      <c r="C139" s="1">
        <v>45874.885416666664</v>
      </c>
      <c r="D139">
        <v>48</v>
      </c>
    </row>
    <row r="140" spans="1:4" x14ac:dyDescent="0.25">
      <c r="A140" t="s">
        <v>13</v>
      </c>
      <c r="B140" t="s">
        <v>4</v>
      </c>
      <c r="C140" s="1">
        <v>45872.458333333336</v>
      </c>
      <c r="D140">
        <v>1269</v>
      </c>
    </row>
    <row r="141" spans="1:4" x14ac:dyDescent="0.25">
      <c r="A141" t="s">
        <v>12</v>
      </c>
      <c r="B141" t="s">
        <v>8</v>
      </c>
      <c r="C141" s="1">
        <v>45871.166666666664</v>
      </c>
      <c r="D141">
        <v>55</v>
      </c>
    </row>
    <row r="142" spans="1:4" x14ac:dyDescent="0.25">
      <c r="A142" t="s">
        <v>10</v>
      </c>
      <c r="B142" t="s">
        <v>41</v>
      </c>
      <c r="C142" s="1">
        <v>45858.458333333336</v>
      </c>
      <c r="D142">
        <v>13</v>
      </c>
    </row>
    <row r="143" spans="1:4" x14ac:dyDescent="0.25">
      <c r="A143" t="s">
        <v>14</v>
      </c>
      <c r="B143" t="s">
        <v>39</v>
      </c>
      <c r="C143" s="1">
        <v>45883.458333333336</v>
      </c>
      <c r="D143">
        <v>132</v>
      </c>
    </row>
    <row r="144" spans="1:4" x14ac:dyDescent="0.25">
      <c r="A144" t="s">
        <v>23</v>
      </c>
      <c r="B144" t="s">
        <v>1</v>
      </c>
      <c r="C144" s="1">
        <v>45873.020833333336</v>
      </c>
      <c r="D144">
        <v>1</v>
      </c>
    </row>
    <row r="145" spans="1:4" x14ac:dyDescent="0.25">
      <c r="A145" t="s">
        <v>14</v>
      </c>
      <c r="B145" t="s">
        <v>1</v>
      </c>
      <c r="C145" s="1">
        <v>45871.145833333336</v>
      </c>
      <c r="D145">
        <v>2</v>
      </c>
    </row>
    <row r="146" spans="1:4" x14ac:dyDescent="0.25">
      <c r="A146" t="s">
        <v>81</v>
      </c>
      <c r="B146" t="s">
        <v>0</v>
      </c>
      <c r="C146" s="1">
        <v>45871.395833333336</v>
      </c>
      <c r="D146">
        <v>2</v>
      </c>
    </row>
    <row r="147" spans="1:4" x14ac:dyDescent="0.25">
      <c r="A147" t="s">
        <v>23</v>
      </c>
      <c r="B147" t="s">
        <v>1</v>
      </c>
      <c r="C147" s="1">
        <v>45877.583333333336</v>
      </c>
      <c r="D147">
        <v>10</v>
      </c>
    </row>
    <row r="148" spans="1:4" x14ac:dyDescent="0.25">
      <c r="A148" t="s">
        <v>7</v>
      </c>
      <c r="B148" t="s">
        <v>20</v>
      </c>
      <c r="C148" s="1">
        <v>45871.5</v>
      </c>
      <c r="D148">
        <v>1</v>
      </c>
    </row>
    <row r="149" spans="1:4" x14ac:dyDescent="0.25">
      <c r="A149" t="s">
        <v>9</v>
      </c>
      <c r="B149" t="s">
        <v>41</v>
      </c>
      <c r="C149" s="1">
        <v>45876.458333333336</v>
      </c>
      <c r="D149">
        <v>27</v>
      </c>
    </row>
    <row r="150" spans="1:4" x14ac:dyDescent="0.25">
      <c r="A150" t="s">
        <v>7</v>
      </c>
      <c r="B150" t="s">
        <v>19</v>
      </c>
      <c r="C150" s="1">
        <v>45877.125</v>
      </c>
      <c r="D150">
        <v>327</v>
      </c>
    </row>
    <row r="151" spans="1:4" x14ac:dyDescent="0.25">
      <c r="A151" t="s">
        <v>81</v>
      </c>
      <c r="B151" t="s">
        <v>0</v>
      </c>
      <c r="C151" s="1">
        <v>45873.885416666664</v>
      </c>
      <c r="D151">
        <v>2</v>
      </c>
    </row>
    <row r="152" spans="1:4" x14ac:dyDescent="0.25">
      <c r="A152" t="s">
        <v>15</v>
      </c>
      <c r="B152" t="s">
        <v>8</v>
      </c>
      <c r="C152" s="1">
        <v>45871.541666666664</v>
      </c>
      <c r="D152">
        <v>2</v>
      </c>
    </row>
    <row r="153" spans="1:4" x14ac:dyDescent="0.25">
      <c r="A153" t="s">
        <v>15</v>
      </c>
      <c r="B153" t="s">
        <v>2</v>
      </c>
      <c r="C153" s="1">
        <v>45871.208333333336</v>
      </c>
      <c r="D153">
        <v>3</v>
      </c>
    </row>
    <row r="154" spans="1:4" x14ac:dyDescent="0.25">
      <c r="A154" t="s">
        <v>14</v>
      </c>
      <c r="B154" t="s">
        <v>2</v>
      </c>
      <c r="C154" s="1">
        <v>45870.885416666664</v>
      </c>
      <c r="D154">
        <v>1</v>
      </c>
    </row>
    <row r="155" spans="1:4" x14ac:dyDescent="0.25">
      <c r="A155" t="s">
        <v>23</v>
      </c>
      <c r="B155" t="s">
        <v>8</v>
      </c>
      <c r="C155" s="1">
        <v>45874.947916666664</v>
      </c>
      <c r="D155">
        <v>4</v>
      </c>
    </row>
    <row r="156" spans="1:4" x14ac:dyDescent="0.25">
      <c r="A156" t="s">
        <v>81</v>
      </c>
      <c r="B156" t="s">
        <v>19</v>
      </c>
      <c r="C156" s="1">
        <v>45871.625</v>
      </c>
      <c r="D156">
        <v>678</v>
      </c>
    </row>
    <row r="157" spans="1:4" x14ac:dyDescent="0.25">
      <c r="A157" t="s">
        <v>7</v>
      </c>
      <c r="B157" t="s">
        <v>0</v>
      </c>
      <c r="C157" s="1">
        <v>45872.208333333336</v>
      </c>
      <c r="D157">
        <v>52</v>
      </c>
    </row>
    <row r="158" spans="1:4" x14ac:dyDescent="0.25">
      <c r="A158" t="s">
        <v>7</v>
      </c>
      <c r="B158" t="s">
        <v>1</v>
      </c>
      <c r="C158" s="1">
        <v>45873.020833333336</v>
      </c>
      <c r="D158">
        <v>2</v>
      </c>
    </row>
    <row r="159" spans="1:4" x14ac:dyDescent="0.25">
      <c r="A159" t="s">
        <v>9</v>
      </c>
      <c r="B159" t="s">
        <v>41</v>
      </c>
      <c r="C159" s="1">
        <v>45860.458333333336</v>
      </c>
      <c r="D159">
        <v>1</v>
      </c>
    </row>
    <row r="160" spans="1:4" x14ac:dyDescent="0.25">
      <c r="A160" t="s">
        <v>11</v>
      </c>
      <c r="B160" t="s">
        <v>19</v>
      </c>
      <c r="C160" s="1">
        <v>45871.145833333336</v>
      </c>
      <c r="D160">
        <v>112</v>
      </c>
    </row>
    <row r="161" spans="1:4" x14ac:dyDescent="0.25">
      <c r="A161" t="s">
        <v>77</v>
      </c>
      <c r="B161" t="s">
        <v>19</v>
      </c>
      <c r="C161" s="1">
        <v>45871.395833333336</v>
      </c>
      <c r="D161">
        <v>5</v>
      </c>
    </row>
    <row r="162" spans="1:4" x14ac:dyDescent="0.25">
      <c r="A162" t="s">
        <v>81</v>
      </c>
      <c r="B162" t="s">
        <v>2</v>
      </c>
      <c r="C162" s="1">
        <v>45873.604166666664</v>
      </c>
      <c r="D162">
        <v>3</v>
      </c>
    </row>
    <row r="163" spans="1:4" x14ac:dyDescent="0.25">
      <c r="A163" t="s">
        <v>77</v>
      </c>
      <c r="B163" t="s">
        <v>0</v>
      </c>
      <c r="C163" s="1">
        <v>45873.885416666664</v>
      </c>
      <c r="D163">
        <v>1</v>
      </c>
    </row>
    <row r="164" spans="1:4" x14ac:dyDescent="0.25">
      <c r="A164" t="s">
        <v>23</v>
      </c>
      <c r="B164" t="s">
        <v>8</v>
      </c>
      <c r="C164" s="1">
        <v>45872.885416666664</v>
      </c>
      <c r="D164">
        <v>136</v>
      </c>
    </row>
    <row r="165" spans="1:4" x14ac:dyDescent="0.25">
      <c r="A165" t="s">
        <v>81</v>
      </c>
      <c r="B165" t="s">
        <v>8</v>
      </c>
      <c r="C165" s="1">
        <v>45873.583333333336</v>
      </c>
      <c r="D165">
        <v>115</v>
      </c>
    </row>
    <row r="166" spans="1:4" x14ac:dyDescent="0.25">
      <c r="A166" t="s">
        <v>83</v>
      </c>
      <c r="B166" t="s">
        <v>19</v>
      </c>
      <c r="C166" s="1">
        <v>45871.041666666664</v>
      </c>
      <c r="D166">
        <v>25</v>
      </c>
    </row>
    <row r="167" spans="1:4" x14ac:dyDescent="0.25">
      <c r="A167" t="s">
        <v>9</v>
      </c>
      <c r="B167" t="s">
        <v>51</v>
      </c>
      <c r="C167" s="1">
        <v>45868.458333333336</v>
      </c>
      <c r="D167">
        <v>3</v>
      </c>
    </row>
    <row r="168" spans="1:4" x14ac:dyDescent="0.25">
      <c r="A168" t="s">
        <v>7</v>
      </c>
      <c r="B168" t="s">
        <v>20</v>
      </c>
      <c r="C168" s="1">
        <v>45871.208333333336</v>
      </c>
      <c r="D168">
        <v>574</v>
      </c>
    </row>
    <row r="169" spans="1:4" x14ac:dyDescent="0.25">
      <c r="A169" t="s">
        <v>12</v>
      </c>
      <c r="B169" t="s">
        <v>57</v>
      </c>
      <c r="C169" s="1">
        <v>45872.729166666664</v>
      </c>
      <c r="D169">
        <v>1</v>
      </c>
    </row>
    <row r="170" spans="1:4" x14ac:dyDescent="0.25">
      <c r="A170" t="s">
        <v>10</v>
      </c>
      <c r="B170" t="s">
        <v>0</v>
      </c>
      <c r="C170" s="1">
        <v>45871.75</v>
      </c>
      <c r="D170">
        <v>1</v>
      </c>
    </row>
    <row r="171" spans="1:4" x14ac:dyDescent="0.25">
      <c r="A171" t="s">
        <v>9</v>
      </c>
      <c r="B171" t="s">
        <v>2</v>
      </c>
      <c r="C171" s="1">
        <v>45871.729166666664</v>
      </c>
      <c r="D171">
        <v>1</v>
      </c>
    </row>
    <row r="172" spans="1:4" x14ac:dyDescent="0.25">
      <c r="A172" t="s">
        <v>7</v>
      </c>
      <c r="B172" t="s">
        <v>8</v>
      </c>
      <c r="C172" s="1">
        <v>45867.958333333336</v>
      </c>
      <c r="D172">
        <v>2</v>
      </c>
    </row>
    <row r="173" spans="1:4" x14ac:dyDescent="0.25">
      <c r="A173" t="s">
        <v>7</v>
      </c>
      <c r="B173" t="s">
        <v>53</v>
      </c>
      <c r="C173" s="1">
        <v>45870.458333333336</v>
      </c>
      <c r="D173">
        <v>1</v>
      </c>
    </row>
    <row r="174" spans="1:4" x14ac:dyDescent="0.25">
      <c r="A174" t="s">
        <v>7</v>
      </c>
      <c r="B174" t="s">
        <v>19</v>
      </c>
      <c r="C174" s="1">
        <v>45874.541666666664</v>
      </c>
      <c r="D174">
        <v>55</v>
      </c>
    </row>
    <row r="175" spans="1:4" x14ac:dyDescent="0.25">
      <c r="A175" t="s">
        <v>81</v>
      </c>
      <c r="B175" t="s">
        <v>0</v>
      </c>
      <c r="C175" s="1">
        <v>45873.583333333336</v>
      </c>
      <c r="D175">
        <v>19</v>
      </c>
    </row>
    <row r="176" spans="1:4" x14ac:dyDescent="0.25">
      <c r="A176" t="s">
        <v>81</v>
      </c>
      <c r="B176" t="s">
        <v>20</v>
      </c>
      <c r="C176" s="1">
        <v>45877.125</v>
      </c>
      <c r="D176">
        <v>1</v>
      </c>
    </row>
    <row r="177" spans="1:4" x14ac:dyDescent="0.25">
      <c r="A177" t="s">
        <v>23</v>
      </c>
      <c r="B177" t="s">
        <v>0</v>
      </c>
      <c r="C177" s="1">
        <v>45874.947916666664</v>
      </c>
      <c r="D177">
        <v>1</v>
      </c>
    </row>
    <row r="178" spans="1:4" x14ac:dyDescent="0.25">
      <c r="A178" t="s">
        <v>23</v>
      </c>
      <c r="B178" t="s">
        <v>0</v>
      </c>
      <c r="C178" s="1">
        <v>45877.125</v>
      </c>
      <c r="D178">
        <v>3</v>
      </c>
    </row>
    <row r="179" spans="1:4" x14ac:dyDescent="0.25">
      <c r="A179" t="s">
        <v>23</v>
      </c>
      <c r="B179" t="s">
        <v>2</v>
      </c>
      <c r="C179" s="1">
        <v>45872.208333333336</v>
      </c>
      <c r="D179">
        <v>55</v>
      </c>
    </row>
    <row r="180" spans="1:4" x14ac:dyDescent="0.25">
      <c r="A180" t="s">
        <v>12</v>
      </c>
      <c r="B180" t="s">
        <v>1</v>
      </c>
      <c r="C180" s="1">
        <v>45871.625</v>
      </c>
      <c r="D180">
        <v>3</v>
      </c>
    </row>
    <row r="181" spans="1:4" x14ac:dyDescent="0.25">
      <c r="A181" t="s">
        <v>7</v>
      </c>
      <c r="B181" t="s">
        <v>19</v>
      </c>
      <c r="C181" s="1">
        <v>45872.604166666664</v>
      </c>
      <c r="D181">
        <v>395</v>
      </c>
    </row>
    <row r="182" spans="1:4" x14ac:dyDescent="0.25">
      <c r="A182" t="s">
        <v>79</v>
      </c>
      <c r="B182" t="s">
        <v>80</v>
      </c>
      <c r="C182" s="1">
        <v>45873.458333333336</v>
      </c>
      <c r="D182">
        <v>25</v>
      </c>
    </row>
    <row r="183" spans="1:4" x14ac:dyDescent="0.25">
      <c r="A183" t="s">
        <v>77</v>
      </c>
      <c r="B183" t="s">
        <v>8</v>
      </c>
      <c r="C183" s="1">
        <v>45871.041666666664</v>
      </c>
      <c r="D183">
        <v>3</v>
      </c>
    </row>
    <row r="184" spans="1:4" x14ac:dyDescent="0.25">
      <c r="A184" t="s">
        <v>23</v>
      </c>
      <c r="B184" t="s">
        <v>1</v>
      </c>
      <c r="C184" s="1">
        <v>45871.125</v>
      </c>
      <c r="D184">
        <v>29</v>
      </c>
    </row>
    <row r="185" spans="1:4" x14ac:dyDescent="0.25">
      <c r="A185" t="s">
        <v>77</v>
      </c>
      <c r="B185" t="s">
        <v>1</v>
      </c>
      <c r="C185" s="1">
        <v>45871.541666666664</v>
      </c>
      <c r="D185">
        <v>99</v>
      </c>
    </row>
    <row r="186" spans="1:4" x14ac:dyDescent="0.25">
      <c r="A186" t="s">
        <v>77</v>
      </c>
      <c r="B186" t="s">
        <v>8</v>
      </c>
      <c r="C186" s="1">
        <v>45875.75</v>
      </c>
      <c r="D186">
        <v>16</v>
      </c>
    </row>
    <row r="187" spans="1:4" x14ac:dyDescent="0.25">
      <c r="A187" t="s">
        <v>23</v>
      </c>
      <c r="B187" t="s">
        <v>19</v>
      </c>
      <c r="C187" s="1">
        <v>45874.75</v>
      </c>
      <c r="D187">
        <v>2</v>
      </c>
    </row>
    <row r="188" spans="1:4" x14ac:dyDescent="0.25">
      <c r="A188" t="s">
        <v>12</v>
      </c>
      <c r="B188" t="s">
        <v>1</v>
      </c>
      <c r="C188" s="1">
        <v>45871.885416666664</v>
      </c>
      <c r="D188">
        <v>11</v>
      </c>
    </row>
    <row r="189" spans="1:4" x14ac:dyDescent="0.25">
      <c r="A189" t="s">
        <v>7</v>
      </c>
      <c r="B189" t="s">
        <v>8</v>
      </c>
      <c r="C189" s="1">
        <v>45881.541666666664</v>
      </c>
      <c r="D189">
        <v>11</v>
      </c>
    </row>
    <row r="190" spans="1:4" x14ac:dyDescent="0.25">
      <c r="A190" t="s">
        <v>77</v>
      </c>
      <c r="B190" t="s">
        <v>0</v>
      </c>
      <c r="C190" s="1">
        <v>45871.083333333336</v>
      </c>
      <c r="D190">
        <v>67</v>
      </c>
    </row>
    <row r="191" spans="1:4" x14ac:dyDescent="0.25">
      <c r="A191" t="s">
        <v>10</v>
      </c>
      <c r="B191" t="s">
        <v>2</v>
      </c>
      <c r="C191" s="1">
        <v>45871.729166666664</v>
      </c>
      <c r="D191">
        <v>1</v>
      </c>
    </row>
    <row r="192" spans="1:4" x14ac:dyDescent="0.25">
      <c r="A192" t="s">
        <v>86</v>
      </c>
      <c r="B192" t="s">
        <v>8</v>
      </c>
      <c r="C192" s="1">
        <v>45869.947916666664</v>
      </c>
      <c r="D192">
        <v>1</v>
      </c>
    </row>
    <row r="193" spans="1:4" x14ac:dyDescent="0.25">
      <c r="A193" t="s">
        <v>9</v>
      </c>
      <c r="B193" t="s">
        <v>57</v>
      </c>
      <c r="C193" s="1">
        <v>45871.125</v>
      </c>
      <c r="D193">
        <v>393</v>
      </c>
    </row>
    <row r="194" spans="1:4" x14ac:dyDescent="0.25">
      <c r="A194" t="s">
        <v>88</v>
      </c>
      <c r="B194" t="s">
        <v>19</v>
      </c>
      <c r="C194" s="1">
        <v>45871.208333333336</v>
      </c>
      <c r="D194">
        <v>145</v>
      </c>
    </row>
    <row r="195" spans="1:4" x14ac:dyDescent="0.25">
      <c r="A195" t="s">
        <v>13</v>
      </c>
      <c r="B195" t="s">
        <v>84</v>
      </c>
      <c r="C195" s="1">
        <v>45867.458333333336</v>
      </c>
      <c r="D195">
        <v>60</v>
      </c>
    </row>
    <row r="196" spans="1:4" x14ac:dyDescent="0.25">
      <c r="A196" t="s">
        <v>14</v>
      </c>
      <c r="B196" t="s">
        <v>8</v>
      </c>
      <c r="C196" s="1">
        <v>45871.166666666664</v>
      </c>
      <c r="D196">
        <v>2</v>
      </c>
    </row>
    <row r="197" spans="1:4" x14ac:dyDescent="0.25">
      <c r="A197" t="s">
        <v>81</v>
      </c>
      <c r="B197" t="s">
        <v>20</v>
      </c>
      <c r="C197" s="1">
        <v>45872.541666666664</v>
      </c>
      <c r="D197">
        <v>12</v>
      </c>
    </row>
    <row r="198" spans="1:4" x14ac:dyDescent="0.25">
      <c r="A198" t="s">
        <v>9</v>
      </c>
      <c r="B198" t="s">
        <v>19</v>
      </c>
      <c r="C198" s="1">
        <v>45867.083333333336</v>
      </c>
      <c r="D198">
        <v>1</v>
      </c>
    </row>
    <row r="199" spans="1:4" x14ac:dyDescent="0.25">
      <c r="A199" t="s">
        <v>23</v>
      </c>
      <c r="B199" t="s">
        <v>0</v>
      </c>
      <c r="C199" s="1">
        <v>45872.541666666664</v>
      </c>
      <c r="D199">
        <v>3</v>
      </c>
    </row>
    <row r="200" spans="1:4" x14ac:dyDescent="0.25">
      <c r="A200" t="s">
        <v>81</v>
      </c>
      <c r="B200" t="s">
        <v>2</v>
      </c>
      <c r="C200" s="1">
        <v>45871.145833333336</v>
      </c>
      <c r="D200">
        <v>2</v>
      </c>
    </row>
    <row r="201" spans="1:4" x14ac:dyDescent="0.25">
      <c r="A201" t="s">
        <v>7</v>
      </c>
      <c r="B201" t="s">
        <v>2</v>
      </c>
      <c r="C201" s="1">
        <v>45876.885416666664</v>
      </c>
      <c r="D201">
        <v>4</v>
      </c>
    </row>
    <row r="202" spans="1:4" x14ac:dyDescent="0.25">
      <c r="A202" t="s">
        <v>7</v>
      </c>
      <c r="B202" t="s">
        <v>57</v>
      </c>
      <c r="C202" s="1">
        <v>45874.166666666664</v>
      </c>
      <c r="D202">
        <v>1</v>
      </c>
    </row>
    <row r="203" spans="1:4" x14ac:dyDescent="0.25">
      <c r="A203" t="s">
        <v>12</v>
      </c>
      <c r="B203" t="s">
        <v>1</v>
      </c>
      <c r="C203" s="1">
        <v>45871.729166666664</v>
      </c>
      <c r="D203">
        <v>3</v>
      </c>
    </row>
    <row r="204" spans="1:4" x14ac:dyDescent="0.25">
      <c r="A204" t="s">
        <v>10</v>
      </c>
      <c r="B204" t="s">
        <v>39</v>
      </c>
      <c r="C204" s="1">
        <v>45832.458333333336</v>
      </c>
      <c r="D204">
        <v>2</v>
      </c>
    </row>
    <row r="205" spans="1:4" x14ac:dyDescent="0.25">
      <c r="A205" t="s">
        <v>77</v>
      </c>
      <c r="B205" t="s">
        <v>8</v>
      </c>
      <c r="C205" s="1">
        <v>45871.625</v>
      </c>
      <c r="D205">
        <v>680</v>
      </c>
    </row>
    <row r="206" spans="1:4" x14ac:dyDescent="0.25">
      <c r="A206" t="s">
        <v>83</v>
      </c>
      <c r="B206" t="s">
        <v>8</v>
      </c>
      <c r="C206" s="1">
        <v>45871.125</v>
      </c>
      <c r="D206">
        <v>376</v>
      </c>
    </row>
    <row r="207" spans="1:4" x14ac:dyDescent="0.25">
      <c r="A207" t="s">
        <v>7</v>
      </c>
      <c r="B207" t="s">
        <v>20</v>
      </c>
      <c r="C207" s="1">
        <v>45873.666666666664</v>
      </c>
      <c r="D207">
        <v>1</v>
      </c>
    </row>
    <row r="208" spans="1:4" x14ac:dyDescent="0.25">
      <c r="A208" t="s">
        <v>9</v>
      </c>
      <c r="B208" t="s">
        <v>8</v>
      </c>
      <c r="C208" s="1">
        <v>45871.541666666664</v>
      </c>
      <c r="D208">
        <v>82</v>
      </c>
    </row>
    <row r="209" spans="1:4" x14ac:dyDescent="0.25">
      <c r="A209" t="s">
        <v>9</v>
      </c>
      <c r="B209" t="s">
        <v>0</v>
      </c>
      <c r="C209" s="1">
        <v>45871.729166666664</v>
      </c>
      <c r="D209">
        <v>3</v>
      </c>
    </row>
    <row r="210" spans="1:4" x14ac:dyDescent="0.25">
      <c r="A210" t="s">
        <v>7</v>
      </c>
      <c r="B210" t="s">
        <v>0</v>
      </c>
      <c r="C210" s="1">
        <v>45874.75</v>
      </c>
      <c r="D210">
        <v>5</v>
      </c>
    </row>
    <row r="211" spans="1:4" x14ac:dyDescent="0.25">
      <c r="A211" t="s">
        <v>81</v>
      </c>
      <c r="B211" t="s">
        <v>0</v>
      </c>
      <c r="C211" s="1">
        <v>45878.125</v>
      </c>
      <c r="D211">
        <v>1</v>
      </c>
    </row>
    <row r="212" spans="1:4" x14ac:dyDescent="0.25">
      <c r="A212" t="s">
        <v>11</v>
      </c>
      <c r="B212" t="s">
        <v>2</v>
      </c>
      <c r="C212" s="1">
        <v>45871.208333333336</v>
      </c>
      <c r="D212">
        <v>6</v>
      </c>
    </row>
    <row r="213" spans="1:4" x14ac:dyDescent="0.25">
      <c r="A213" t="s">
        <v>7</v>
      </c>
      <c r="B213" t="s">
        <v>1</v>
      </c>
      <c r="C213" s="1">
        <v>45872.75</v>
      </c>
      <c r="D213">
        <v>2</v>
      </c>
    </row>
    <row r="214" spans="1:4" x14ac:dyDescent="0.25">
      <c r="A214" t="s">
        <v>9</v>
      </c>
      <c r="B214" t="s">
        <v>57</v>
      </c>
      <c r="C214" s="1">
        <v>45871.145833333336</v>
      </c>
      <c r="D214">
        <v>358</v>
      </c>
    </row>
    <row r="215" spans="1:4" x14ac:dyDescent="0.25">
      <c r="A215" t="s">
        <v>88</v>
      </c>
      <c r="B215" t="s">
        <v>8</v>
      </c>
      <c r="C215" s="1">
        <v>45871.208333333336</v>
      </c>
      <c r="D215">
        <v>199</v>
      </c>
    </row>
    <row r="216" spans="1:4" x14ac:dyDescent="0.25">
      <c r="A216" t="s">
        <v>79</v>
      </c>
      <c r="B216" t="s">
        <v>80</v>
      </c>
      <c r="C216" s="1">
        <v>45805.458333333336</v>
      </c>
      <c r="D216">
        <v>1</v>
      </c>
    </row>
    <row r="217" spans="1:4" x14ac:dyDescent="0.25">
      <c r="A217" t="s">
        <v>14</v>
      </c>
      <c r="B217" t="s">
        <v>19</v>
      </c>
      <c r="C217" s="1">
        <v>45871.166666666664</v>
      </c>
      <c r="D217">
        <v>4</v>
      </c>
    </row>
    <row r="218" spans="1:4" x14ac:dyDescent="0.25">
      <c r="A218" t="s">
        <v>77</v>
      </c>
      <c r="B218" t="s">
        <v>8</v>
      </c>
      <c r="C218" s="1">
        <v>45871.1875</v>
      </c>
      <c r="D218">
        <v>870</v>
      </c>
    </row>
    <row r="219" spans="1:4" x14ac:dyDescent="0.25">
      <c r="A219" t="s">
        <v>83</v>
      </c>
      <c r="B219" t="s">
        <v>2</v>
      </c>
      <c r="C219" s="1">
        <v>45871.125</v>
      </c>
      <c r="D219">
        <v>2</v>
      </c>
    </row>
    <row r="220" spans="1:4" x14ac:dyDescent="0.25">
      <c r="A220" t="s">
        <v>11</v>
      </c>
      <c r="B220" t="s">
        <v>8</v>
      </c>
      <c r="C220" s="1">
        <v>45871.145833333336</v>
      </c>
      <c r="D220">
        <v>212</v>
      </c>
    </row>
    <row r="221" spans="1:4" x14ac:dyDescent="0.25">
      <c r="A221" t="s">
        <v>23</v>
      </c>
      <c r="B221" t="s">
        <v>8</v>
      </c>
      <c r="C221" s="1">
        <v>45874.75</v>
      </c>
      <c r="D221">
        <v>22</v>
      </c>
    </row>
    <row r="222" spans="1:4" x14ac:dyDescent="0.25">
      <c r="A222" t="s">
        <v>81</v>
      </c>
      <c r="B222" t="s">
        <v>8</v>
      </c>
      <c r="C222" s="1">
        <v>45875.947916666664</v>
      </c>
      <c r="D222">
        <v>2</v>
      </c>
    </row>
    <row r="223" spans="1:4" x14ac:dyDescent="0.25">
      <c r="A223" t="s">
        <v>10</v>
      </c>
      <c r="B223" t="s">
        <v>20</v>
      </c>
      <c r="C223" s="1">
        <v>45871.125</v>
      </c>
      <c r="D223">
        <v>508</v>
      </c>
    </row>
    <row r="224" spans="1:4" x14ac:dyDescent="0.25">
      <c r="A224" t="s">
        <v>12</v>
      </c>
      <c r="B224" t="s">
        <v>2</v>
      </c>
      <c r="C224" s="1">
        <v>45871.166666666664</v>
      </c>
      <c r="D224">
        <v>24</v>
      </c>
    </row>
    <row r="225" spans="1:4" x14ac:dyDescent="0.25">
      <c r="A225" t="s">
        <v>81</v>
      </c>
      <c r="B225" t="s">
        <v>2</v>
      </c>
      <c r="C225" s="1">
        <v>45871.125</v>
      </c>
      <c r="D225">
        <v>5</v>
      </c>
    </row>
    <row r="226" spans="1:4" x14ac:dyDescent="0.25">
      <c r="A226" t="s">
        <v>83</v>
      </c>
      <c r="B226" t="s">
        <v>8</v>
      </c>
      <c r="C226" s="1">
        <v>45871.145833333336</v>
      </c>
      <c r="D226">
        <v>502</v>
      </c>
    </row>
    <row r="227" spans="1:4" x14ac:dyDescent="0.25">
      <c r="A227" t="s">
        <v>23</v>
      </c>
      <c r="B227" t="s">
        <v>1</v>
      </c>
      <c r="C227" s="1">
        <v>45875.729166666664</v>
      </c>
      <c r="D227">
        <v>1</v>
      </c>
    </row>
    <row r="228" spans="1:4" x14ac:dyDescent="0.25">
      <c r="A228" t="s">
        <v>23</v>
      </c>
      <c r="B228" t="s">
        <v>20</v>
      </c>
      <c r="C228" s="1">
        <v>45873.583333333336</v>
      </c>
      <c r="D228">
        <v>2</v>
      </c>
    </row>
    <row r="229" spans="1:4" x14ac:dyDescent="0.25">
      <c r="A229" t="s">
        <v>11</v>
      </c>
      <c r="B229" t="s">
        <v>92</v>
      </c>
      <c r="C229" s="1">
        <v>45874.458333333336</v>
      </c>
      <c r="D229">
        <v>14</v>
      </c>
    </row>
    <row r="230" spans="1:4" x14ac:dyDescent="0.25">
      <c r="A230" t="s">
        <v>83</v>
      </c>
      <c r="B230" t="s">
        <v>19</v>
      </c>
      <c r="C230" s="1">
        <v>45871.125</v>
      </c>
      <c r="D230">
        <v>981</v>
      </c>
    </row>
    <row r="231" spans="1:4" x14ac:dyDescent="0.25">
      <c r="A231" t="s">
        <v>9</v>
      </c>
      <c r="B231" t="s">
        <v>19</v>
      </c>
      <c r="C231" s="1">
        <v>45871.541666666664</v>
      </c>
      <c r="D231">
        <v>27</v>
      </c>
    </row>
    <row r="232" spans="1:4" x14ac:dyDescent="0.25">
      <c r="A232" t="s">
        <v>81</v>
      </c>
      <c r="B232" t="s">
        <v>0</v>
      </c>
      <c r="C232" s="1">
        <v>45873.541666666664</v>
      </c>
      <c r="D232">
        <v>3</v>
      </c>
    </row>
    <row r="233" spans="1:4" x14ac:dyDescent="0.25">
      <c r="A233" t="s">
        <v>23</v>
      </c>
      <c r="B233" t="s">
        <v>19</v>
      </c>
      <c r="C233" s="1">
        <v>45877.145833333336</v>
      </c>
      <c r="D233">
        <v>6</v>
      </c>
    </row>
    <row r="234" spans="1:4" x14ac:dyDescent="0.25">
      <c r="A234" t="s">
        <v>9</v>
      </c>
      <c r="B234" t="s">
        <v>57</v>
      </c>
      <c r="C234" s="1">
        <v>45871.020833333336</v>
      </c>
      <c r="D234">
        <v>2</v>
      </c>
    </row>
    <row r="235" spans="1:4" x14ac:dyDescent="0.25">
      <c r="A235" t="s">
        <v>7</v>
      </c>
      <c r="B235" t="s">
        <v>8</v>
      </c>
      <c r="C235" s="1">
        <v>45874.583333333336</v>
      </c>
      <c r="D235">
        <v>223</v>
      </c>
    </row>
    <row r="236" spans="1:4" x14ac:dyDescent="0.25">
      <c r="A236" t="s">
        <v>77</v>
      </c>
      <c r="B236" t="s">
        <v>2</v>
      </c>
      <c r="C236" s="1">
        <v>45871.1875</v>
      </c>
      <c r="D236">
        <v>445</v>
      </c>
    </row>
    <row r="237" spans="1:4" x14ac:dyDescent="0.25">
      <c r="A237" t="s">
        <v>7</v>
      </c>
      <c r="B237" t="s">
        <v>19</v>
      </c>
      <c r="C237" s="1">
        <v>45874.625</v>
      </c>
      <c r="D237">
        <v>22</v>
      </c>
    </row>
    <row r="238" spans="1:4" x14ac:dyDescent="0.25">
      <c r="A238" t="s">
        <v>7</v>
      </c>
      <c r="B238" t="s">
        <v>2</v>
      </c>
      <c r="C238" s="1">
        <v>45872.208333333336</v>
      </c>
      <c r="D238">
        <v>79</v>
      </c>
    </row>
    <row r="239" spans="1:4" x14ac:dyDescent="0.25">
      <c r="A239" t="s">
        <v>14</v>
      </c>
      <c r="B239" t="s">
        <v>51</v>
      </c>
      <c r="C239" s="1">
        <v>45860.458333333336</v>
      </c>
      <c r="D239">
        <v>2</v>
      </c>
    </row>
    <row r="240" spans="1:4" x14ac:dyDescent="0.25">
      <c r="A240" t="s">
        <v>81</v>
      </c>
      <c r="B240" t="s">
        <v>8</v>
      </c>
      <c r="C240" s="1">
        <v>45871.145833333336</v>
      </c>
      <c r="D240">
        <v>4</v>
      </c>
    </row>
    <row r="241" spans="1:4" x14ac:dyDescent="0.25">
      <c r="A241" t="s">
        <v>81</v>
      </c>
      <c r="B241" t="s">
        <v>2</v>
      </c>
      <c r="C241" s="1">
        <v>45873.458333333336</v>
      </c>
      <c r="D241">
        <v>1</v>
      </c>
    </row>
    <row r="242" spans="1:4" x14ac:dyDescent="0.25">
      <c r="A242" t="s">
        <v>7</v>
      </c>
      <c r="B242" t="s">
        <v>1</v>
      </c>
      <c r="C242" s="1">
        <v>45872.947916666664</v>
      </c>
      <c r="D242">
        <v>4</v>
      </c>
    </row>
    <row r="243" spans="1:4" x14ac:dyDescent="0.25">
      <c r="A243" t="s">
        <v>81</v>
      </c>
      <c r="B243" t="s">
        <v>2</v>
      </c>
      <c r="C243" s="1">
        <v>45873.885416666664</v>
      </c>
      <c r="D243">
        <v>26</v>
      </c>
    </row>
    <row r="244" spans="1:4" x14ac:dyDescent="0.25">
      <c r="A244" t="s">
        <v>77</v>
      </c>
      <c r="B244" t="s">
        <v>19</v>
      </c>
      <c r="C244" s="1">
        <v>45871.1875</v>
      </c>
      <c r="D244">
        <v>761</v>
      </c>
    </row>
    <row r="245" spans="1:4" x14ac:dyDescent="0.25">
      <c r="A245" t="s">
        <v>12</v>
      </c>
      <c r="B245" t="s">
        <v>39</v>
      </c>
      <c r="C245" s="1">
        <v>45865.458333333336</v>
      </c>
      <c r="D245">
        <v>2</v>
      </c>
    </row>
    <row r="246" spans="1:4" x14ac:dyDescent="0.25">
      <c r="A246" t="s">
        <v>81</v>
      </c>
      <c r="B246" t="s">
        <v>0</v>
      </c>
      <c r="C246" s="1">
        <v>45871.666666666664</v>
      </c>
      <c r="D246">
        <v>293</v>
      </c>
    </row>
    <row r="247" spans="1:4" x14ac:dyDescent="0.25">
      <c r="A247" t="s">
        <v>9</v>
      </c>
      <c r="B247" t="s">
        <v>53</v>
      </c>
      <c r="C247" s="1">
        <v>45860.458333333336</v>
      </c>
      <c r="D247">
        <v>39</v>
      </c>
    </row>
    <row r="248" spans="1:4" x14ac:dyDescent="0.25">
      <c r="A248" t="s">
        <v>10</v>
      </c>
      <c r="B248" t="s">
        <v>39</v>
      </c>
      <c r="C248" s="1">
        <v>45868.458333333336</v>
      </c>
      <c r="D248">
        <v>1</v>
      </c>
    </row>
    <row r="249" spans="1:4" x14ac:dyDescent="0.25">
      <c r="A249" t="s">
        <v>10</v>
      </c>
      <c r="B249" t="s">
        <v>51</v>
      </c>
      <c r="C249" s="1">
        <v>45873.458333333336</v>
      </c>
      <c r="D249">
        <v>4</v>
      </c>
    </row>
    <row r="250" spans="1:4" x14ac:dyDescent="0.25">
      <c r="A250" t="s">
        <v>77</v>
      </c>
      <c r="B250" t="s">
        <v>19</v>
      </c>
      <c r="C250" s="1">
        <v>45873.541666666664</v>
      </c>
      <c r="D250">
        <v>5</v>
      </c>
    </row>
    <row r="251" spans="1:4" x14ac:dyDescent="0.25">
      <c r="A251" t="s">
        <v>77</v>
      </c>
      <c r="B251" t="s">
        <v>2</v>
      </c>
      <c r="C251" s="1">
        <v>45871.125</v>
      </c>
      <c r="D251">
        <v>280</v>
      </c>
    </row>
    <row r="252" spans="1:4" x14ac:dyDescent="0.25">
      <c r="A252" t="s">
        <v>7</v>
      </c>
      <c r="B252" t="s">
        <v>2</v>
      </c>
      <c r="C252" s="1">
        <v>45874.145833333336</v>
      </c>
      <c r="D252">
        <v>1</v>
      </c>
    </row>
    <row r="253" spans="1:4" x14ac:dyDescent="0.25">
      <c r="A253" t="s">
        <v>10</v>
      </c>
      <c r="B253" t="s">
        <v>0</v>
      </c>
      <c r="C253" s="1">
        <v>45871.541666666664</v>
      </c>
      <c r="D253">
        <v>4</v>
      </c>
    </row>
    <row r="254" spans="1:4" x14ac:dyDescent="0.25">
      <c r="A254" t="s">
        <v>83</v>
      </c>
      <c r="B254" t="s">
        <v>19</v>
      </c>
      <c r="C254" s="1">
        <v>45866.541666666664</v>
      </c>
      <c r="D254">
        <v>1</v>
      </c>
    </row>
    <row r="255" spans="1:4" x14ac:dyDescent="0.25">
      <c r="A255" t="s">
        <v>81</v>
      </c>
      <c r="B255" t="s">
        <v>4</v>
      </c>
      <c r="C255" s="1">
        <v>45870.458333333336</v>
      </c>
      <c r="D255">
        <v>521</v>
      </c>
    </row>
    <row r="256" spans="1:4" x14ac:dyDescent="0.25">
      <c r="A256" t="s">
        <v>7</v>
      </c>
      <c r="B256" t="s">
        <v>57</v>
      </c>
      <c r="C256" s="1">
        <v>45871.854166666664</v>
      </c>
      <c r="D256">
        <v>3</v>
      </c>
    </row>
    <row r="257" spans="1:4" x14ac:dyDescent="0.25">
      <c r="A257" t="s">
        <v>7</v>
      </c>
      <c r="B257" t="s">
        <v>20</v>
      </c>
      <c r="C257" s="1">
        <v>45878.125</v>
      </c>
      <c r="D257">
        <v>1</v>
      </c>
    </row>
    <row r="258" spans="1:4" x14ac:dyDescent="0.25">
      <c r="A258" t="s">
        <v>7</v>
      </c>
      <c r="B258" t="s">
        <v>8</v>
      </c>
      <c r="C258" s="1">
        <v>45872.458333333336</v>
      </c>
      <c r="D258">
        <v>24</v>
      </c>
    </row>
    <row r="259" spans="1:4" x14ac:dyDescent="0.25">
      <c r="A259" t="s">
        <v>81</v>
      </c>
      <c r="B259" t="s">
        <v>8</v>
      </c>
      <c r="C259" s="1">
        <v>45871.729166666664</v>
      </c>
      <c r="D259">
        <v>500</v>
      </c>
    </row>
    <row r="260" spans="1:4" x14ac:dyDescent="0.25">
      <c r="A260" t="s">
        <v>10</v>
      </c>
      <c r="B260" t="s">
        <v>8</v>
      </c>
      <c r="C260" s="1">
        <v>45869.885416666664</v>
      </c>
      <c r="D260">
        <v>7</v>
      </c>
    </row>
    <row r="261" spans="1:4" x14ac:dyDescent="0.25">
      <c r="A261" t="s">
        <v>23</v>
      </c>
      <c r="B261" t="s">
        <v>19</v>
      </c>
      <c r="C261" s="1">
        <v>45877.020833333336</v>
      </c>
      <c r="D261">
        <v>2</v>
      </c>
    </row>
    <row r="262" spans="1:4" x14ac:dyDescent="0.25">
      <c r="A262" t="s">
        <v>9</v>
      </c>
      <c r="B262" t="s">
        <v>19</v>
      </c>
      <c r="C262" s="1">
        <v>45871.729166666664</v>
      </c>
      <c r="D262">
        <v>1</v>
      </c>
    </row>
    <row r="263" spans="1:4" x14ac:dyDescent="0.25">
      <c r="A263" t="s">
        <v>23</v>
      </c>
      <c r="B263" t="s">
        <v>57</v>
      </c>
      <c r="C263" s="1">
        <v>45876.541666666664</v>
      </c>
      <c r="D263">
        <v>1</v>
      </c>
    </row>
    <row r="264" spans="1:4" x14ac:dyDescent="0.25">
      <c r="A264" t="s">
        <v>77</v>
      </c>
      <c r="B264" t="s">
        <v>2</v>
      </c>
      <c r="C264" s="1">
        <v>45871.0625</v>
      </c>
      <c r="D264">
        <v>1</v>
      </c>
    </row>
    <row r="265" spans="1:4" x14ac:dyDescent="0.25">
      <c r="A265" t="s">
        <v>12</v>
      </c>
      <c r="B265" t="s">
        <v>8</v>
      </c>
      <c r="C265" s="1">
        <v>45870.947916666664</v>
      </c>
      <c r="D265">
        <v>1</v>
      </c>
    </row>
    <row r="266" spans="1:4" x14ac:dyDescent="0.25">
      <c r="A266" t="s">
        <v>7</v>
      </c>
      <c r="B266" t="s">
        <v>8</v>
      </c>
      <c r="C266" s="1">
        <v>45875.166666666664</v>
      </c>
      <c r="D266">
        <v>4</v>
      </c>
    </row>
    <row r="267" spans="1:4" x14ac:dyDescent="0.25">
      <c r="A267" t="s">
        <v>83</v>
      </c>
      <c r="B267" t="s">
        <v>19</v>
      </c>
      <c r="C267" s="1">
        <v>45871.1875</v>
      </c>
      <c r="D267">
        <v>168</v>
      </c>
    </row>
    <row r="268" spans="1:4" x14ac:dyDescent="0.25">
      <c r="A268" t="s">
        <v>87</v>
      </c>
      <c r="B268" t="s">
        <v>41</v>
      </c>
      <c r="C268" s="1">
        <v>45849.458333333336</v>
      </c>
      <c r="D268">
        <v>1</v>
      </c>
    </row>
    <row r="269" spans="1:4" x14ac:dyDescent="0.25">
      <c r="A269" t="s">
        <v>12</v>
      </c>
      <c r="B269" t="s">
        <v>20</v>
      </c>
      <c r="C269" s="1">
        <v>45872.020833333336</v>
      </c>
      <c r="D269">
        <v>1</v>
      </c>
    </row>
    <row r="270" spans="1:4" x14ac:dyDescent="0.25">
      <c r="A270" t="s">
        <v>81</v>
      </c>
      <c r="B270" t="s">
        <v>2</v>
      </c>
      <c r="C270" s="1">
        <v>45875.583333333336</v>
      </c>
      <c r="D270">
        <v>1</v>
      </c>
    </row>
    <row r="271" spans="1:4" x14ac:dyDescent="0.25">
      <c r="A271" t="s">
        <v>77</v>
      </c>
      <c r="B271" t="s">
        <v>19</v>
      </c>
      <c r="C271" s="1">
        <v>45871.666666666664</v>
      </c>
      <c r="D271">
        <v>18</v>
      </c>
    </row>
    <row r="272" spans="1:4" x14ac:dyDescent="0.25">
      <c r="A272" t="s">
        <v>88</v>
      </c>
      <c r="B272" t="s">
        <v>2</v>
      </c>
      <c r="C272" s="1">
        <v>45871.083333333336</v>
      </c>
      <c r="D272">
        <v>2</v>
      </c>
    </row>
    <row r="273" spans="1:4" x14ac:dyDescent="0.25">
      <c r="A273" t="s">
        <v>23</v>
      </c>
      <c r="B273" t="s">
        <v>8</v>
      </c>
      <c r="C273" s="1">
        <v>45877.145833333336</v>
      </c>
      <c r="D273">
        <v>9</v>
      </c>
    </row>
    <row r="274" spans="1:4" x14ac:dyDescent="0.25">
      <c r="A274" t="s">
        <v>7</v>
      </c>
      <c r="B274" t="s">
        <v>57</v>
      </c>
      <c r="C274" s="1">
        <v>45871.916666666664</v>
      </c>
      <c r="D274">
        <v>7</v>
      </c>
    </row>
    <row r="275" spans="1:4" x14ac:dyDescent="0.25">
      <c r="A275" t="s">
        <v>81</v>
      </c>
      <c r="B275" t="s">
        <v>19</v>
      </c>
      <c r="C275" s="1">
        <v>45871.1875</v>
      </c>
      <c r="D275">
        <v>19</v>
      </c>
    </row>
    <row r="276" spans="1:4" x14ac:dyDescent="0.25">
      <c r="A276" t="s">
        <v>23</v>
      </c>
      <c r="B276" t="s">
        <v>1</v>
      </c>
      <c r="C276" s="1">
        <v>45872.916666666664</v>
      </c>
      <c r="D276">
        <v>2</v>
      </c>
    </row>
    <row r="277" spans="1:4" x14ac:dyDescent="0.25">
      <c r="A277" t="s">
        <v>77</v>
      </c>
      <c r="B277" t="s">
        <v>0</v>
      </c>
      <c r="C277" s="1">
        <v>45871.208333333336</v>
      </c>
      <c r="D277">
        <v>6</v>
      </c>
    </row>
    <row r="278" spans="1:4" x14ac:dyDescent="0.25">
      <c r="A278" t="s">
        <v>81</v>
      </c>
      <c r="B278" t="s">
        <v>0</v>
      </c>
      <c r="C278" s="1">
        <v>45871.083333333336</v>
      </c>
      <c r="D278">
        <v>9</v>
      </c>
    </row>
    <row r="279" spans="1:4" x14ac:dyDescent="0.25">
      <c r="A279" t="s">
        <v>7</v>
      </c>
      <c r="B279" t="s">
        <v>2</v>
      </c>
      <c r="C279" s="1">
        <v>45874.729166666664</v>
      </c>
      <c r="D279">
        <v>2</v>
      </c>
    </row>
    <row r="280" spans="1:4" x14ac:dyDescent="0.25">
      <c r="A280" t="s">
        <v>7</v>
      </c>
      <c r="B280" t="s">
        <v>19</v>
      </c>
      <c r="C280" s="1">
        <v>45874.75</v>
      </c>
      <c r="D280">
        <v>8</v>
      </c>
    </row>
    <row r="281" spans="1:4" x14ac:dyDescent="0.25">
      <c r="A281" t="s">
        <v>81</v>
      </c>
      <c r="B281" t="s">
        <v>1</v>
      </c>
      <c r="C281" s="1">
        <v>45872.083333333336</v>
      </c>
      <c r="D281">
        <v>127</v>
      </c>
    </row>
    <row r="282" spans="1:4" x14ac:dyDescent="0.25">
      <c r="A282" t="s">
        <v>23</v>
      </c>
      <c r="B282" t="s">
        <v>1</v>
      </c>
      <c r="C282" s="1">
        <v>45875.625</v>
      </c>
      <c r="D282">
        <v>5</v>
      </c>
    </row>
    <row r="283" spans="1:4" x14ac:dyDescent="0.25">
      <c r="A283" t="s">
        <v>10</v>
      </c>
      <c r="B283" t="s">
        <v>57</v>
      </c>
      <c r="C283" s="1">
        <v>45871.083333333336</v>
      </c>
      <c r="D283">
        <v>32</v>
      </c>
    </row>
    <row r="284" spans="1:4" x14ac:dyDescent="0.25">
      <c r="A284" t="s">
        <v>7</v>
      </c>
      <c r="B284" t="s">
        <v>19</v>
      </c>
      <c r="C284" s="1">
        <v>45872.458333333336</v>
      </c>
      <c r="D284">
        <v>2</v>
      </c>
    </row>
    <row r="285" spans="1:4" x14ac:dyDescent="0.25">
      <c r="A285" t="s">
        <v>23</v>
      </c>
      <c r="B285" t="s">
        <v>0</v>
      </c>
      <c r="C285" s="1">
        <v>45872.458333333336</v>
      </c>
      <c r="D285">
        <v>1</v>
      </c>
    </row>
    <row r="286" spans="1:4" x14ac:dyDescent="0.25">
      <c r="A286" t="s">
        <v>12</v>
      </c>
      <c r="B286" t="s">
        <v>8</v>
      </c>
      <c r="C286" s="1">
        <v>45870.75</v>
      </c>
      <c r="D286">
        <v>1</v>
      </c>
    </row>
    <row r="287" spans="1:4" x14ac:dyDescent="0.25">
      <c r="A287" t="s">
        <v>23</v>
      </c>
      <c r="B287" t="s">
        <v>57</v>
      </c>
      <c r="C287" s="1">
        <v>45872.020833333336</v>
      </c>
      <c r="D287">
        <v>7</v>
      </c>
    </row>
    <row r="288" spans="1:4" x14ac:dyDescent="0.25">
      <c r="A288" t="s">
        <v>11</v>
      </c>
      <c r="B288" t="s">
        <v>8</v>
      </c>
      <c r="C288" s="1">
        <v>45871.208333333336</v>
      </c>
      <c r="D288">
        <v>115</v>
      </c>
    </row>
    <row r="289" spans="1:4" x14ac:dyDescent="0.25">
      <c r="A289" t="s">
        <v>9</v>
      </c>
      <c r="B289" t="s">
        <v>20</v>
      </c>
      <c r="C289" s="1">
        <v>45871.166666666664</v>
      </c>
      <c r="D289">
        <v>203</v>
      </c>
    </row>
    <row r="290" spans="1:4" x14ac:dyDescent="0.25">
      <c r="A290" t="s">
        <v>81</v>
      </c>
      <c r="B290" t="s">
        <v>1</v>
      </c>
      <c r="C290" s="1">
        <v>45871.541666666664</v>
      </c>
      <c r="D290">
        <v>2</v>
      </c>
    </row>
    <row r="291" spans="1:4" x14ac:dyDescent="0.25">
      <c r="A291" t="s">
        <v>83</v>
      </c>
      <c r="B291" t="s">
        <v>8</v>
      </c>
      <c r="C291" s="1">
        <v>45871.1875</v>
      </c>
      <c r="D291">
        <v>106</v>
      </c>
    </row>
    <row r="292" spans="1:4" x14ac:dyDescent="0.25">
      <c r="A292" t="s">
        <v>23</v>
      </c>
      <c r="B292" t="s">
        <v>8</v>
      </c>
      <c r="C292" s="1">
        <v>45881.541666666664</v>
      </c>
      <c r="D292">
        <v>11</v>
      </c>
    </row>
    <row r="293" spans="1:4" x14ac:dyDescent="0.25">
      <c r="A293" t="s">
        <v>23</v>
      </c>
      <c r="B293" t="s">
        <v>0</v>
      </c>
      <c r="C293" s="1">
        <v>45874.75</v>
      </c>
      <c r="D293">
        <v>5</v>
      </c>
    </row>
    <row r="294" spans="1:4" x14ac:dyDescent="0.25">
      <c r="A294" t="s">
        <v>83</v>
      </c>
      <c r="B294" t="s">
        <v>8</v>
      </c>
      <c r="C294" s="1">
        <v>45871.166666666664</v>
      </c>
      <c r="D294">
        <v>225</v>
      </c>
    </row>
    <row r="295" spans="1:4" x14ac:dyDescent="0.25">
      <c r="A295" t="s">
        <v>7</v>
      </c>
      <c r="B295" t="s">
        <v>19</v>
      </c>
      <c r="C295" s="1">
        <v>45877.020833333336</v>
      </c>
      <c r="D295">
        <v>2</v>
      </c>
    </row>
    <row r="296" spans="1:4" x14ac:dyDescent="0.25">
      <c r="A296" t="s">
        <v>7</v>
      </c>
      <c r="B296" t="s">
        <v>0</v>
      </c>
      <c r="C296" s="1">
        <v>45874.666666666664</v>
      </c>
      <c r="D296">
        <v>1</v>
      </c>
    </row>
    <row r="297" spans="1:4" x14ac:dyDescent="0.25">
      <c r="A297" t="s">
        <v>23</v>
      </c>
      <c r="B297" t="s">
        <v>2</v>
      </c>
      <c r="C297" s="1">
        <v>45874.729166666664</v>
      </c>
      <c r="D297">
        <v>2</v>
      </c>
    </row>
    <row r="298" spans="1:4" x14ac:dyDescent="0.25">
      <c r="A298" t="s">
        <v>77</v>
      </c>
      <c r="B298" t="s">
        <v>8</v>
      </c>
      <c r="C298" s="1">
        <v>45871.666666666664</v>
      </c>
      <c r="D298">
        <v>84</v>
      </c>
    </row>
    <row r="299" spans="1:4" x14ac:dyDescent="0.25">
      <c r="A299" t="s">
        <v>13</v>
      </c>
      <c r="B299" t="s">
        <v>4</v>
      </c>
      <c r="C299" s="1">
        <v>45874.625</v>
      </c>
      <c r="D299">
        <v>1</v>
      </c>
    </row>
    <row r="300" spans="1:4" x14ac:dyDescent="0.25">
      <c r="A300" t="s">
        <v>7</v>
      </c>
      <c r="B300" t="s">
        <v>1</v>
      </c>
      <c r="C300" s="1">
        <v>45875.125</v>
      </c>
      <c r="D300">
        <v>4</v>
      </c>
    </row>
    <row r="301" spans="1:4" x14ac:dyDescent="0.25">
      <c r="A301" t="s">
        <v>9</v>
      </c>
      <c r="B301" t="s">
        <v>8</v>
      </c>
      <c r="C301" s="1">
        <v>45869.885416666664</v>
      </c>
      <c r="D301">
        <v>7</v>
      </c>
    </row>
    <row r="302" spans="1:4" x14ac:dyDescent="0.25">
      <c r="A302" t="s">
        <v>81</v>
      </c>
      <c r="B302" t="s">
        <v>8</v>
      </c>
      <c r="C302" s="1">
        <v>45875.75</v>
      </c>
      <c r="D302">
        <v>27</v>
      </c>
    </row>
    <row r="303" spans="1:4" x14ac:dyDescent="0.25">
      <c r="A303" t="s">
        <v>9</v>
      </c>
      <c r="B303" t="s">
        <v>19</v>
      </c>
      <c r="C303" s="1">
        <v>45871.583333333336</v>
      </c>
      <c r="D303">
        <v>3</v>
      </c>
    </row>
    <row r="304" spans="1:4" x14ac:dyDescent="0.25">
      <c r="A304" t="s">
        <v>81</v>
      </c>
      <c r="B304" t="s">
        <v>8</v>
      </c>
      <c r="C304" s="1">
        <v>45871.1875</v>
      </c>
      <c r="D304">
        <v>20</v>
      </c>
    </row>
    <row r="305" spans="1:4" x14ac:dyDescent="0.25">
      <c r="A305" t="s">
        <v>81</v>
      </c>
      <c r="B305" t="s">
        <v>20</v>
      </c>
      <c r="C305" s="1">
        <v>45872.458333333336</v>
      </c>
      <c r="D305">
        <v>4</v>
      </c>
    </row>
    <row r="306" spans="1:4" x14ac:dyDescent="0.25">
      <c r="A306" t="s">
        <v>7</v>
      </c>
      <c r="B306" t="s">
        <v>19</v>
      </c>
      <c r="C306" s="1">
        <v>45874.729166666664</v>
      </c>
      <c r="D306">
        <v>41</v>
      </c>
    </row>
    <row r="307" spans="1:4" x14ac:dyDescent="0.25">
      <c r="A307" t="s">
        <v>23</v>
      </c>
      <c r="B307" t="s">
        <v>2</v>
      </c>
      <c r="C307" s="1">
        <v>45874.583333333336</v>
      </c>
      <c r="D307">
        <v>15</v>
      </c>
    </row>
    <row r="308" spans="1:4" x14ac:dyDescent="0.25">
      <c r="A308" t="s">
        <v>81</v>
      </c>
      <c r="B308" t="s">
        <v>0</v>
      </c>
      <c r="C308" s="1">
        <v>45871.208333333336</v>
      </c>
      <c r="D308">
        <v>1055</v>
      </c>
    </row>
    <row r="309" spans="1:4" x14ac:dyDescent="0.25">
      <c r="A309" t="s">
        <v>88</v>
      </c>
      <c r="B309" t="s">
        <v>8</v>
      </c>
      <c r="C309" s="1">
        <v>45871.145833333336</v>
      </c>
      <c r="D309">
        <v>68</v>
      </c>
    </row>
    <row r="310" spans="1:4" x14ac:dyDescent="0.25">
      <c r="A310" t="s">
        <v>10</v>
      </c>
      <c r="B310" t="s">
        <v>41</v>
      </c>
      <c r="C310" s="1">
        <v>45865.458333333336</v>
      </c>
      <c r="D310">
        <v>7</v>
      </c>
    </row>
    <row r="311" spans="1:4" x14ac:dyDescent="0.25">
      <c r="A311" t="s">
        <v>81</v>
      </c>
      <c r="B311" t="s">
        <v>2</v>
      </c>
      <c r="C311" s="1">
        <v>45875.625</v>
      </c>
      <c r="D311">
        <v>1</v>
      </c>
    </row>
    <row r="312" spans="1:4" x14ac:dyDescent="0.25">
      <c r="A312" t="s">
        <v>7</v>
      </c>
      <c r="B312" t="s">
        <v>1</v>
      </c>
      <c r="C312" s="1">
        <v>45875.666666666664</v>
      </c>
      <c r="D312">
        <v>1</v>
      </c>
    </row>
    <row r="313" spans="1:4" x14ac:dyDescent="0.25">
      <c r="A313" t="s">
        <v>7</v>
      </c>
      <c r="B313" t="s">
        <v>19</v>
      </c>
      <c r="C313" s="1">
        <v>45881.583333333336</v>
      </c>
      <c r="D313">
        <v>6</v>
      </c>
    </row>
    <row r="314" spans="1:4" x14ac:dyDescent="0.25">
      <c r="A314" t="s">
        <v>88</v>
      </c>
      <c r="B314" t="s">
        <v>0</v>
      </c>
      <c r="C314" s="1">
        <v>45871.1875</v>
      </c>
      <c r="D314">
        <v>8</v>
      </c>
    </row>
    <row r="315" spans="1:4" x14ac:dyDescent="0.25">
      <c r="A315" t="s">
        <v>7</v>
      </c>
      <c r="B315" t="s">
        <v>2</v>
      </c>
      <c r="C315" s="1">
        <v>45874.541666666664</v>
      </c>
      <c r="D315">
        <v>3</v>
      </c>
    </row>
    <row r="316" spans="1:4" x14ac:dyDescent="0.25">
      <c r="A316" t="s">
        <v>11</v>
      </c>
      <c r="B316" t="s">
        <v>2</v>
      </c>
      <c r="C316" s="1">
        <v>45871.125</v>
      </c>
      <c r="D316">
        <v>141</v>
      </c>
    </row>
    <row r="317" spans="1:4" x14ac:dyDescent="0.25">
      <c r="A317" t="s">
        <v>77</v>
      </c>
      <c r="B317" t="s">
        <v>4</v>
      </c>
      <c r="C317" s="1">
        <v>45870.458333333336</v>
      </c>
      <c r="D317">
        <v>367</v>
      </c>
    </row>
    <row r="318" spans="1:4" x14ac:dyDescent="0.25">
      <c r="A318" t="s">
        <v>88</v>
      </c>
      <c r="B318" t="s">
        <v>57</v>
      </c>
      <c r="C318" s="1">
        <v>45871.166666666664</v>
      </c>
      <c r="D318">
        <v>6</v>
      </c>
    </row>
    <row r="319" spans="1:4" x14ac:dyDescent="0.25">
      <c r="A319" t="s">
        <v>81</v>
      </c>
      <c r="B319" t="s">
        <v>1</v>
      </c>
      <c r="C319" s="1">
        <v>45872.125</v>
      </c>
      <c r="D319">
        <v>122</v>
      </c>
    </row>
    <row r="320" spans="1:4" x14ac:dyDescent="0.25">
      <c r="A320" t="s">
        <v>23</v>
      </c>
      <c r="B320" t="s">
        <v>19</v>
      </c>
      <c r="C320" s="1">
        <v>45881.541666666664</v>
      </c>
      <c r="D320">
        <v>9</v>
      </c>
    </row>
    <row r="321" spans="1:4" x14ac:dyDescent="0.25">
      <c r="A321" t="s">
        <v>23</v>
      </c>
      <c r="B321" t="s">
        <v>1</v>
      </c>
      <c r="C321" s="1">
        <v>45871.166666666664</v>
      </c>
      <c r="D321">
        <v>3</v>
      </c>
    </row>
    <row r="322" spans="1:4" x14ac:dyDescent="0.25">
      <c r="A322" t="s">
        <v>77</v>
      </c>
      <c r="B322" t="s">
        <v>2</v>
      </c>
      <c r="C322" s="1">
        <v>45871.041666666664</v>
      </c>
      <c r="D322">
        <v>1</v>
      </c>
    </row>
    <row r="323" spans="1:4" x14ac:dyDescent="0.25">
      <c r="A323" t="s">
        <v>11</v>
      </c>
      <c r="B323" t="s">
        <v>0</v>
      </c>
      <c r="C323" s="1">
        <v>45867.125</v>
      </c>
      <c r="D323">
        <v>1</v>
      </c>
    </row>
    <row r="324" spans="1:4" x14ac:dyDescent="0.25">
      <c r="A324" t="s">
        <v>77</v>
      </c>
      <c r="B324" t="s">
        <v>19</v>
      </c>
      <c r="C324" s="1">
        <v>45871.208333333336</v>
      </c>
      <c r="D324">
        <v>3633</v>
      </c>
    </row>
    <row r="325" spans="1:4" x14ac:dyDescent="0.25">
      <c r="A325" t="s">
        <v>9</v>
      </c>
      <c r="B325" t="s">
        <v>19</v>
      </c>
      <c r="C325" s="1">
        <v>45869.885416666664</v>
      </c>
      <c r="D325">
        <v>1</v>
      </c>
    </row>
    <row r="326" spans="1:4" x14ac:dyDescent="0.25">
      <c r="A326" t="s">
        <v>10</v>
      </c>
      <c r="B326" t="s">
        <v>53</v>
      </c>
      <c r="C326" s="1">
        <v>45872.458333333336</v>
      </c>
      <c r="D326">
        <v>87</v>
      </c>
    </row>
    <row r="327" spans="1:4" x14ac:dyDescent="0.25">
      <c r="A327" t="s">
        <v>11</v>
      </c>
      <c r="B327" t="s">
        <v>2</v>
      </c>
      <c r="C327" s="1">
        <v>45871.145833333336</v>
      </c>
      <c r="D327">
        <v>40</v>
      </c>
    </row>
    <row r="328" spans="1:4" x14ac:dyDescent="0.25">
      <c r="A328" t="s">
        <v>10</v>
      </c>
      <c r="B328" t="s">
        <v>19</v>
      </c>
      <c r="C328" s="1">
        <v>45867.041666666664</v>
      </c>
      <c r="D328">
        <v>1</v>
      </c>
    </row>
    <row r="329" spans="1:4" x14ac:dyDescent="0.25">
      <c r="A329" t="s">
        <v>10</v>
      </c>
      <c r="B329" t="s">
        <v>19</v>
      </c>
      <c r="C329" s="1">
        <v>45867.1875</v>
      </c>
      <c r="D329">
        <v>1</v>
      </c>
    </row>
    <row r="330" spans="1:4" x14ac:dyDescent="0.25">
      <c r="A330" t="s">
        <v>7</v>
      </c>
      <c r="B330" t="s">
        <v>20</v>
      </c>
      <c r="C330" s="1">
        <v>45873.583333333336</v>
      </c>
      <c r="D330">
        <v>10</v>
      </c>
    </row>
    <row r="331" spans="1:4" x14ac:dyDescent="0.25">
      <c r="A331" t="s">
        <v>9</v>
      </c>
      <c r="B331" t="s">
        <v>57</v>
      </c>
      <c r="C331" s="1">
        <v>45871.083333333336</v>
      </c>
      <c r="D331">
        <v>50</v>
      </c>
    </row>
    <row r="332" spans="1:4" x14ac:dyDescent="0.25">
      <c r="A332" t="s">
        <v>10</v>
      </c>
      <c r="B332" t="s">
        <v>53</v>
      </c>
      <c r="C332" s="1">
        <v>45856.458333333336</v>
      </c>
      <c r="D332">
        <v>1</v>
      </c>
    </row>
    <row r="333" spans="1:4" x14ac:dyDescent="0.25">
      <c r="A333" t="s">
        <v>7</v>
      </c>
      <c r="B333" t="s">
        <v>8</v>
      </c>
      <c r="C333" s="1">
        <v>45874.625</v>
      </c>
      <c r="D333">
        <v>19</v>
      </c>
    </row>
    <row r="334" spans="1:4" x14ac:dyDescent="0.25">
      <c r="A334" t="s">
        <v>77</v>
      </c>
      <c r="B334" t="s">
        <v>19</v>
      </c>
      <c r="C334" s="1">
        <v>45868.916666666664</v>
      </c>
      <c r="D334">
        <v>1</v>
      </c>
    </row>
    <row r="335" spans="1:4" x14ac:dyDescent="0.25">
      <c r="A335" t="s">
        <v>81</v>
      </c>
      <c r="B335" t="s">
        <v>0</v>
      </c>
      <c r="C335" s="1">
        <v>45871.1875</v>
      </c>
      <c r="D335">
        <v>253</v>
      </c>
    </row>
    <row r="336" spans="1:4" x14ac:dyDescent="0.25">
      <c r="A336" t="s">
        <v>88</v>
      </c>
      <c r="B336" t="s">
        <v>19</v>
      </c>
      <c r="C336" s="1">
        <v>45871.145833333336</v>
      </c>
      <c r="D336">
        <v>86</v>
      </c>
    </row>
    <row r="337" spans="1:4" x14ac:dyDescent="0.25">
      <c r="A337" t="s">
        <v>11</v>
      </c>
      <c r="B337" t="s">
        <v>19</v>
      </c>
      <c r="C337" s="1">
        <v>45866.729166666664</v>
      </c>
      <c r="D337">
        <v>3</v>
      </c>
    </row>
    <row r="338" spans="1:4" x14ac:dyDescent="0.25">
      <c r="A338" t="s">
        <v>79</v>
      </c>
      <c r="B338" t="s">
        <v>4</v>
      </c>
      <c r="C338" s="1">
        <v>45872.458333333336</v>
      </c>
      <c r="D338">
        <v>809</v>
      </c>
    </row>
    <row r="339" spans="1:4" x14ac:dyDescent="0.25">
      <c r="A339" t="s">
        <v>87</v>
      </c>
      <c r="B339" t="s">
        <v>8</v>
      </c>
      <c r="C339" s="1">
        <v>45871.145833333336</v>
      </c>
      <c r="D339">
        <v>13</v>
      </c>
    </row>
    <row r="340" spans="1:4" x14ac:dyDescent="0.25">
      <c r="A340" t="s">
        <v>7</v>
      </c>
      <c r="B340" t="s">
        <v>0</v>
      </c>
      <c r="C340" s="1">
        <v>45874.625</v>
      </c>
      <c r="D340">
        <v>2</v>
      </c>
    </row>
    <row r="341" spans="1:4" x14ac:dyDescent="0.25">
      <c r="A341" t="s">
        <v>10</v>
      </c>
      <c r="B341" t="s">
        <v>57</v>
      </c>
      <c r="C341" s="1">
        <v>45871.1875</v>
      </c>
      <c r="D341">
        <v>16</v>
      </c>
    </row>
    <row r="342" spans="1:4" x14ac:dyDescent="0.25">
      <c r="A342" t="s">
        <v>81</v>
      </c>
      <c r="B342" t="s">
        <v>57</v>
      </c>
      <c r="C342" s="1">
        <v>45871.166666666664</v>
      </c>
      <c r="D342">
        <v>4</v>
      </c>
    </row>
    <row r="343" spans="1:4" x14ac:dyDescent="0.25">
      <c r="A343" t="s">
        <v>83</v>
      </c>
      <c r="B343" t="s">
        <v>19</v>
      </c>
      <c r="C343" s="1">
        <v>45868.916666666664</v>
      </c>
      <c r="D343">
        <v>51</v>
      </c>
    </row>
    <row r="344" spans="1:4" x14ac:dyDescent="0.25">
      <c r="A344" t="s">
        <v>9</v>
      </c>
      <c r="B344" t="s">
        <v>2</v>
      </c>
      <c r="C344" s="1">
        <v>45871.604166666664</v>
      </c>
      <c r="D344">
        <v>1</v>
      </c>
    </row>
    <row r="345" spans="1:4" x14ac:dyDescent="0.25">
      <c r="A345" t="s">
        <v>9</v>
      </c>
      <c r="B345" t="s">
        <v>19</v>
      </c>
      <c r="C345" s="1">
        <v>45867.041666666664</v>
      </c>
      <c r="D345">
        <v>3</v>
      </c>
    </row>
    <row r="346" spans="1:4" x14ac:dyDescent="0.25">
      <c r="A346" t="s">
        <v>81</v>
      </c>
      <c r="B346" t="s">
        <v>0</v>
      </c>
      <c r="C346" s="1">
        <v>45875.75</v>
      </c>
      <c r="D346">
        <v>2</v>
      </c>
    </row>
    <row r="347" spans="1:4" x14ac:dyDescent="0.25">
      <c r="A347" t="s">
        <v>77</v>
      </c>
      <c r="B347" t="s">
        <v>0</v>
      </c>
      <c r="C347" s="1">
        <v>45871.125</v>
      </c>
      <c r="D347">
        <v>478</v>
      </c>
    </row>
    <row r="348" spans="1:4" x14ac:dyDescent="0.25">
      <c r="A348" t="s">
        <v>88</v>
      </c>
      <c r="B348" t="s">
        <v>0</v>
      </c>
      <c r="C348" s="1">
        <v>45871.666666666664</v>
      </c>
      <c r="D348">
        <v>1</v>
      </c>
    </row>
    <row r="349" spans="1:4" x14ac:dyDescent="0.25">
      <c r="A349" t="s">
        <v>81</v>
      </c>
      <c r="B349" t="s">
        <v>2</v>
      </c>
      <c r="C349" s="1">
        <v>45871.1875</v>
      </c>
      <c r="D349">
        <v>3</v>
      </c>
    </row>
    <row r="350" spans="1:4" x14ac:dyDescent="0.25">
      <c r="A350" t="s">
        <v>12</v>
      </c>
      <c r="B350" t="s">
        <v>1</v>
      </c>
      <c r="C350" s="1">
        <v>45871.208333333336</v>
      </c>
      <c r="D350">
        <v>25</v>
      </c>
    </row>
    <row r="351" spans="1:4" x14ac:dyDescent="0.25">
      <c r="A351" t="s">
        <v>23</v>
      </c>
      <c r="B351" t="s">
        <v>2</v>
      </c>
      <c r="C351" s="1">
        <v>45874.625</v>
      </c>
      <c r="D351">
        <v>4</v>
      </c>
    </row>
    <row r="352" spans="1:4" x14ac:dyDescent="0.25">
      <c r="A352" t="s">
        <v>9</v>
      </c>
      <c r="B352" t="s">
        <v>0</v>
      </c>
      <c r="C352" s="1">
        <v>45871.541666666664</v>
      </c>
      <c r="D352">
        <v>4</v>
      </c>
    </row>
    <row r="353" spans="1:4" x14ac:dyDescent="0.25">
      <c r="A353" t="s">
        <v>79</v>
      </c>
      <c r="B353" t="s">
        <v>93</v>
      </c>
      <c r="C353" s="1">
        <v>45872.458333333336</v>
      </c>
      <c r="D353">
        <v>54</v>
      </c>
    </row>
    <row r="354" spans="1:4" x14ac:dyDescent="0.25">
      <c r="A354" t="s">
        <v>81</v>
      </c>
      <c r="B354" t="s">
        <v>0</v>
      </c>
      <c r="C354" s="1">
        <v>45873.458333333336</v>
      </c>
      <c r="D354">
        <v>1</v>
      </c>
    </row>
    <row r="355" spans="1:4" x14ac:dyDescent="0.25">
      <c r="A355" t="s">
        <v>77</v>
      </c>
      <c r="B355" t="s">
        <v>57</v>
      </c>
      <c r="C355" s="1">
        <v>45871.166666666664</v>
      </c>
      <c r="D355">
        <v>269</v>
      </c>
    </row>
    <row r="356" spans="1:4" x14ac:dyDescent="0.25">
      <c r="A356" t="s">
        <v>7</v>
      </c>
      <c r="B356" t="s">
        <v>20</v>
      </c>
      <c r="C356" s="1">
        <v>45873.145833333336</v>
      </c>
      <c r="D356">
        <v>13</v>
      </c>
    </row>
    <row r="357" spans="1:4" x14ac:dyDescent="0.25">
      <c r="A357" t="s">
        <v>77</v>
      </c>
      <c r="B357" t="s">
        <v>1</v>
      </c>
      <c r="C357" s="1">
        <v>45871.583333333336</v>
      </c>
      <c r="D357">
        <v>2</v>
      </c>
    </row>
    <row r="358" spans="1:4" x14ac:dyDescent="0.25">
      <c r="A358" t="s">
        <v>11</v>
      </c>
      <c r="B358" t="s">
        <v>2</v>
      </c>
      <c r="C358" s="1">
        <v>45871.083333333336</v>
      </c>
      <c r="D358">
        <v>6</v>
      </c>
    </row>
    <row r="359" spans="1:4" x14ac:dyDescent="0.25">
      <c r="A359" t="s">
        <v>9</v>
      </c>
      <c r="B359" t="s">
        <v>41</v>
      </c>
      <c r="C359" s="1">
        <v>45869.458333333336</v>
      </c>
      <c r="D359">
        <v>31</v>
      </c>
    </row>
    <row r="360" spans="1:4" x14ac:dyDescent="0.25">
      <c r="A360" t="s">
        <v>77</v>
      </c>
      <c r="B360" t="s">
        <v>0</v>
      </c>
      <c r="C360" s="1">
        <v>45871.1875</v>
      </c>
      <c r="D360">
        <v>3</v>
      </c>
    </row>
    <row r="361" spans="1:4" x14ac:dyDescent="0.25">
      <c r="A361" t="s">
        <v>7</v>
      </c>
      <c r="B361" t="s">
        <v>1</v>
      </c>
      <c r="C361" s="1">
        <v>45872.854166666664</v>
      </c>
      <c r="D361">
        <v>1</v>
      </c>
    </row>
    <row r="362" spans="1:4" x14ac:dyDescent="0.25">
      <c r="A362" t="s">
        <v>87</v>
      </c>
      <c r="B362" t="s">
        <v>19</v>
      </c>
      <c r="C362" s="1">
        <v>45871.145833333336</v>
      </c>
      <c r="D362">
        <v>9</v>
      </c>
    </row>
    <row r="363" spans="1:4" x14ac:dyDescent="0.25">
      <c r="A363" t="s">
        <v>77</v>
      </c>
      <c r="B363" t="s">
        <v>19</v>
      </c>
      <c r="C363" s="1">
        <v>45875.75</v>
      </c>
      <c r="D363">
        <v>2</v>
      </c>
    </row>
    <row r="364" spans="1:4" x14ac:dyDescent="0.25">
      <c r="A364" t="s">
        <v>7</v>
      </c>
      <c r="B364" t="s">
        <v>57</v>
      </c>
      <c r="C364" s="1">
        <v>45871.885416666664</v>
      </c>
      <c r="D364">
        <v>81</v>
      </c>
    </row>
    <row r="365" spans="1:4" x14ac:dyDescent="0.25">
      <c r="A365" t="s">
        <v>7</v>
      </c>
      <c r="B365" t="s">
        <v>19</v>
      </c>
      <c r="C365" s="1">
        <v>45881.541666666664</v>
      </c>
      <c r="D365">
        <v>9</v>
      </c>
    </row>
    <row r="366" spans="1:4" x14ac:dyDescent="0.25">
      <c r="A366" t="s">
        <v>7</v>
      </c>
      <c r="B366" t="s">
        <v>20</v>
      </c>
      <c r="C366" s="1">
        <v>45873.625</v>
      </c>
      <c r="D366">
        <v>10</v>
      </c>
    </row>
    <row r="367" spans="1:4" x14ac:dyDescent="0.25">
      <c r="A367" t="s">
        <v>11</v>
      </c>
      <c r="B367" t="s">
        <v>19</v>
      </c>
      <c r="C367" s="1">
        <v>45871.208333333336</v>
      </c>
      <c r="D367">
        <v>31</v>
      </c>
    </row>
    <row r="368" spans="1:4" x14ac:dyDescent="0.25">
      <c r="A368" t="s">
        <v>81</v>
      </c>
      <c r="B368" t="s">
        <v>2</v>
      </c>
      <c r="C368" s="1">
        <v>45871.666666666664</v>
      </c>
      <c r="D368">
        <v>217</v>
      </c>
    </row>
    <row r="369" spans="1:4" x14ac:dyDescent="0.25">
      <c r="A369" t="s">
        <v>10</v>
      </c>
      <c r="B369" t="s">
        <v>20</v>
      </c>
      <c r="C369" s="1">
        <v>45871.166666666664</v>
      </c>
      <c r="D369">
        <v>116</v>
      </c>
    </row>
    <row r="370" spans="1:4" x14ac:dyDescent="0.25">
      <c r="A370" t="s">
        <v>88</v>
      </c>
      <c r="B370" t="s">
        <v>8</v>
      </c>
      <c r="C370" s="1">
        <v>45871.666666666664</v>
      </c>
      <c r="D370">
        <v>2</v>
      </c>
    </row>
    <row r="371" spans="1:4" x14ac:dyDescent="0.25">
      <c r="A371" t="s">
        <v>81</v>
      </c>
      <c r="B371" t="s">
        <v>2</v>
      </c>
      <c r="C371" s="1">
        <v>45871.083333333336</v>
      </c>
      <c r="D371">
        <v>2</v>
      </c>
    </row>
    <row r="372" spans="1:4" x14ac:dyDescent="0.25">
      <c r="A372" t="s">
        <v>7</v>
      </c>
      <c r="B372" t="s">
        <v>57</v>
      </c>
      <c r="C372" s="1">
        <v>45874.125</v>
      </c>
      <c r="D372">
        <v>1</v>
      </c>
    </row>
    <row r="373" spans="1:4" x14ac:dyDescent="0.25">
      <c r="A373" t="s">
        <v>83</v>
      </c>
      <c r="B373" t="s">
        <v>19</v>
      </c>
      <c r="C373" s="1">
        <v>45871.166666666664</v>
      </c>
      <c r="D373">
        <v>464</v>
      </c>
    </row>
    <row r="374" spans="1:4" x14ac:dyDescent="0.25">
      <c r="A374" t="s">
        <v>7</v>
      </c>
      <c r="B374" t="s">
        <v>8</v>
      </c>
      <c r="C374" s="1">
        <v>45874.729166666664</v>
      </c>
      <c r="D374">
        <v>36</v>
      </c>
    </row>
    <row r="375" spans="1:4" x14ac:dyDescent="0.25">
      <c r="A375" t="s">
        <v>7</v>
      </c>
      <c r="B375" t="s">
        <v>57</v>
      </c>
      <c r="C375" s="1">
        <v>45871.947916666664</v>
      </c>
      <c r="D375">
        <v>2</v>
      </c>
    </row>
    <row r="376" spans="1:4" x14ac:dyDescent="0.25">
      <c r="A376" t="s">
        <v>14</v>
      </c>
      <c r="B376" t="s">
        <v>42</v>
      </c>
      <c r="C376" s="1">
        <v>45883.458333333336</v>
      </c>
      <c r="D376">
        <v>1</v>
      </c>
    </row>
    <row r="377" spans="1:4" x14ac:dyDescent="0.25">
      <c r="A377" t="s">
        <v>7</v>
      </c>
      <c r="B377" t="s">
        <v>2</v>
      </c>
      <c r="C377" s="1">
        <v>45874.583333333336</v>
      </c>
      <c r="D377">
        <v>17</v>
      </c>
    </row>
    <row r="378" spans="1:4" x14ac:dyDescent="0.25">
      <c r="A378" t="s">
        <v>81</v>
      </c>
      <c r="B378" t="s">
        <v>19</v>
      </c>
      <c r="C378" s="1">
        <v>45875.75</v>
      </c>
      <c r="D378">
        <v>9</v>
      </c>
    </row>
    <row r="379" spans="1:4" x14ac:dyDescent="0.25">
      <c r="A379" t="s">
        <v>88</v>
      </c>
      <c r="B379" t="s">
        <v>0</v>
      </c>
      <c r="C379" s="1">
        <v>45871.145833333336</v>
      </c>
      <c r="D379">
        <v>150</v>
      </c>
    </row>
    <row r="380" spans="1:4" x14ac:dyDescent="0.25">
      <c r="A380" t="s">
        <v>13</v>
      </c>
      <c r="B380" t="s">
        <v>80</v>
      </c>
      <c r="C380" s="1">
        <v>45878.458333333336</v>
      </c>
      <c r="D380">
        <v>86</v>
      </c>
    </row>
    <row r="381" spans="1:4" x14ac:dyDescent="0.25">
      <c r="A381" t="s">
        <v>81</v>
      </c>
      <c r="B381" t="s">
        <v>57</v>
      </c>
      <c r="C381" s="1">
        <v>45872.916666666664</v>
      </c>
      <c r="D381">
        <v>1</v>
      </c>
    </row>
    <row r="382" spans="1:4" x14ac:dyDescent="0.25">
      <c r="A382" t="s">
        <v>77</v>
      </c>
      <c r="B382" t="s">
        <v>2</v>
      </c>
      <c r="C382" s="1">
        <v>45871.145833333336</v>
      </c>
      <c r="D382">
        <v>1075</v>
      </c>
    </row>
    <row r="383" spans="1:4" x14ac:dyDescent="0.25">
      <c r="A383" t="s">
        <v>88</v>
      </c>
      <c r="B383" t="s">
        <v>57</v>
      </c>
      <c r="C383" s="1">
        <v>45871.125</v>
      </c>
      <c r="D383">
        <v>26</v>
      </c>
    </row>
    <row r="384" spans="1:4" x14ac:dyDescent="0.25">
      <c r="A384" t="s">
        <v>13</v>
      </c>
      <c r="B384" t="s">
        <v>4</v>
      </c>
      <c r="C384" s="1">
        <v>45876.885416666664</v>
      </c>
      <c r="D384">
        <v>2</v>
      </c>
    </row>
    <row r="385" spans="1:4" x14ac:dyDescent="0.25">
      <c r="A385" t="s">
        <v>9</v>
      </c>
      <c r="B385" t="s">
        <v>39</v>
      </c>
      <c r="C385" s="1">
        <v>45868.458333333336</v>
      </c>
      <c r="D385">
        <v>1</v>
      </c>
    </row>
    <row r="386" spans="1:4" x14ac:dyDescent="0.25">
      <c r="A386" t="s">
        <v>23</v>
      </c>
      <c r="B386" t="s">
        <v>19</v>
      </c>
      <c r="C386" s="1">
        <v>45881.583333333336</v>
      </c>
      <c r="D386">
        <v>6</v>
      </c>
    </row>
    <row r="387" spans="1:4" x14ac:dyDescent="0.25">
      <c r="A387" t="s">
        <v>7</v>
      </c>
      <c r="B387" t="s">
        <v>4</v>
      </c>
      <c r="C387" s="1">
        <v>45862.458333333336</v>
      </c>
      <c r="D387">
        <v>39</v>
      </c>
    </row>
    <row r="388" spans="1:4" x14ac:dyDescent="0.25">
      <c r="A388" t="s">
        <v>77</v>
      </c>
      <c r="B388" t="s">
        <v>19</v>
      </c>
      <c r="C388" s="1">
        <v>45871.020833333336</v>
      </c>
      <c r="D388">
        <v>8</v>
      </c>
    </row>
    <row r="389" spans="1:4" x14ac:dyDescent="0.25">
      <c r="A389" t="s">
        <v>79</v>
      </c>
      <c r="B389" t="s">
        <v>80</v>
      </c>
      <c r="C389" s="1">
        <v>45878.458333333336</v>
      </c>
      <c r="D389">
        <v>86</v>
      </c>
    </row>
    <row r="390" spans="1:4" x14ac:dyDescent="0.25">
      <c r="A390" t="s">
        <v>23</v>
      </c>
      <c r="B390" t="s">
        <v>19</v>
      </c>
      <c r="C390" s="1">
        <v>45872.604166666664</v>
      </c>
      <c r="D390">
        <v>71</v>
      </c>
    </row>
    <row r="391" spans="1:4" x14ac:dyDescent="0.25">
      <c r="A391" t="s">
        <v>13</v>
      </c>
      <c r="B391" t="s">
        <v>80</v>
      </c>
      <c r="C391" s="1">
        <v>45873.458333333336</v>
      </c>
      <c r="D391">
        <v>25</v>
      </c>
    </row>
    <row r="392" spans="1:4" x14ac:dyDescent="0.25">
      <c r="A392" t="s">
        <v>81</v>
      </c>
      <c r="B392" t="s">
        <v>0</v>
      </c>
      <c r="C392" s="1">
        <v>45873.145833333336</v>
      </c>
      <c r="D392">
        <v>10</v>
      </c>
    </row>
    <row r="393" spans="1:4" x14ac:dyDescent="0.25">
      <c r="A393" t="s">
        <v>23</v>
      </c>
      <c r="B393" t="s">
        <v>0</v>
      </c>
      <c r="C393" s="1">
        <v>45872.958333333336</v>
      </c>
      <c r="D393">
        <v>1</v>
      </c>
    </row>
    <row r="394" spans="1:4" x14ac:dyDescent="0.25">
      <c r="A394" t="s">
        <v>77</v>
      </c>
      <c r="B394" t="s">
        <v>19</v>
      </c>
      <c r="C394" s="1">
        <v>45871.729166666664</v>
      </c>
      <c r="D394">
        <v>62</v>
      </c>
    </row>
    <row r="395" spans="1:4" x14ac:dyDescent="0.25">
      <c r="A395" t="s">
        <v>14</v>
      </c>
      <c r="B395" t="s">
        <v>19</v>
      </c>
      <c r="C395" s="1">
        <v>45871.020833333336</v>
      </c>
      <c r="D395">
        <v>2</v>
      </c>
    </row>
    <row r="396" spans="1:4" x14ac:dyDescent="0.25">
      <c r="A396" t="s">
        <v>10</v>
      </c>
      <c r="B396" t="s">
        <v>0</v>
      </c>
      <c r="C396" s="1">
        <v>45871.729166666664</v>
      </c>
      <c r="D396">
        <v>3</v>
      </c>
    </row>
    <row r="397" spans="1:4" x14ac:dyDescent="0.25">
      <c r="A397" t="s">
        <v>77</v>
      </c>
      <c r="B397" t="s">
        <v>8</v>
      </c>
      <c r="C397" s="1">
        <v>45871.885416666664</v>
      </c>
      <c r="D397">
        <v>148</v>
      </c>
    </row>
    <row r="398" spans="1:4" x14ac:dyDescent="0.25">
      <c r="A398" t="s">
        <v>81</v>
      </c>
      <c r="B398" t="s">
        <v>8</v>
      </c>
      <c r="C398" s="1">
        <v>45871.541666666664</v>
      </c>
      <c r="D398">
        <v>28</v>
      </c>
    </row>
    <row r="399" spans="1:4" x14ac:dyDescent="0.25">
      <c r="A399" t="s">
        <v>23</v>
      </c>
      <c r="B399" t="s">
        <v>1</v>
      </c>
      <c r="C399" s="1">
        <v>45875.541666666664</v>
      </c>
      <c r="D399">
        <v>2</v>
      </c>
    </row>
    <row r="400" spans="1:4" x14ac:dyDescent="0.25">
      <c r="A400" t="s">
        <v>23</v>
      </c>
      <c r="B400" t="s">
        <v>20</v>
      </c>
      <c r="C400" s="1">
        <v>45871.1875</v>
      </c>
      <c r="D400">
        <v>5</v>
      </c>
    </row>
    <row r="401" spans="1:4" x14ac:dyDescent="0.25">
      <c r="A401" t="s">
        <v>23</v>
      </c>
      <c r="B401" t="s">
        <v>19</v>
      </c>
      <c r="C401" s="1">
        <v>45877.166666666664</v>
      </c>
      <c r="D401">
        <v>61</v>
      </c>
    </row>
    <row r="402" spans="1:4" x14ac:dyDescent="0.25">
      <c r="A402" t="s">
        <v>7</v>
      </c>
      <c r="B402" t="s">
        <v>8</v>
      </c>
      <c r="C402" s="1">
        <v>45876.541666666664</v>
      </c>
      <c r="D402">
        <v>132</v>
      </c>
    </row>
    <row r="403" spans="1:4" x14ac:dyDescent="0.25">
      <c r="A403" t="s">
        <v>23</v>
      </c>
      <c r="B403" t="s">
        <v>2</v>
      </c>
      <c r="C403" s="1">
        <v>45872.083333333336</v>
      </c>
      <c r="D403">
        <v>19</v>
      </c>
    </row>
    <row r="404" spans="1:4" x14ac:dyDescent="0.25">
      <c r="A404" t="s">
        <v>81</v>
      </c>
      <c r="B404" t="s">
        <v>1</v>
      </c>
      <c r="C404" s="1">
        <v>45874.166666666664</v>
      </c>
      <c r="D404">
        <v>1</v>
      </c>
    </row>
    <row r="405" spans="1:4" x14ac:dyDescent="0.25">
      <c r="A405" t="s">
        <v>7</v>
      </c>
      <c r="B405" t="s">
        <v>19</v>
      </c>
      <c r="C405" s="1">
        <v>45872.083333333336</v>
      </c>
      <c r="D405">
        <v>311</v>
      </c>
    </row>
    <row r="406" spans="1:4" x14ac:dyDescent="0.25">
      <c r="A406" t="s">
        <v>23</v>
      </c>
      <c r="B406" t="s">
        <v>2</v>
      </c>
      <c r="C406" s="1">
        <v>45876.541666666664</v>
      </c>
      <c r="D406">
        <v>6</v>
      </c>
    </row>
    <row r="407" spans="1:4" x14ac:dyDescent="0.25">
      <c r="A407" t="s">
        <v>83</v>
      </c>
      <c r="B407" t="s">
        <v>8</v>
      </c>
      <c r="C407" s="1">
        <v>45870.947916666664</v>
      </c>
      <c r="D407">
        <v>2</v>
      </c>
    </row>
    <row r="408" spans="1:4" x14ac:dyDescent="0.25">
      <c r="A408" t="s">
        <v>7</v>
      </c>
      <c r="B408" t="s">
        <v>85</v>
      </c>
      <c r="C408" s="1">
        <v>45877.125</v>
      </c>
      <c r="D408">
        <v>6</v>
      </c>
    </row>
    <row r="409" spans="1:4" x14ac:dyDescent="0.25">
      <c r="A409" t="s">
        <v>23</v>
      </c>
      <c r="B409" t="s">
        <v>8</v>
      </c>
      <c r="C409" s="1">
        <v>45877.166666666664</v>
      </c>
      <c r="D409">
        <v>37</v>
      </c>
    </row>
    <row r="410" spans="1:4" x14ac:dyDescent="0.25">
      <c r="A410" t="s">
        <v>15</v>
      </c>
      <c r="B410" t="s">
        <v>0</v>
      </c>
      <c r="C410" s="1">
        <v>45871.208333333336</v>
      </c>
      <c r="D410">
        <v>2</v>
      </c>
    </row>
    <row r="411" spans="1:4" x14ac:dyDescent="0.25">
      <c r="A411" t="s">
        <v>9</v>
      </c>
      <c r="B411" t="s">
        <v>19</v>
      </c>
      <c r="C411" s="1">
        <v>45871.625</v>
      </c>
      <c r="D411">
        <v>4</v>
      </c>
    </row>
    <row r="412" spans="1:4" x14ac:dyDescent="0.25">
      <c r="A412" t="s">
        <v>81</v>
      </c>
      <c r="B412" t="s">
        <v>0</v>
      </c>
      <c r="C412" s="1">
        <v>45871.125</v>
      </c>
      <c r="D412">
        <v>87</v>
      </c>
    </row>
    <row r="413" spans="1:4" x14ac:dyDescent="0.25">
      <c r="A413" t="s">
        <v>14</v>
      </c>
      <c r="B413" t="s">
        <v>8</v>
      </c>
      <c r="C413" s="1">
        <v>45871.020833333336</v>
      </c>
      <c r="D413">
        <v>4</v>
      </c>
    </row>
    <row r="414" spans="1:4" x14ac:dyDescent="0.25">
      <c r="A414" t="s">
        <v>11</v>
      </c>
      <c r="B414" t="s">
        <v>8</v>
      </c>
      <c r="C414" s="1">
        <v>45842.125</v>
      </c>
      <c r="D414">
        <v>2</v>
      </c>
    </row>
    <row r="415" spans="1:4" x14ac:dyDescent="0.25">
      <c r="A415" t="s">
        <v>77</v>
      </c>
      <c r="B415" t="s">
        <v>19</v>
      </c>
      <c r="C415" s="1">
        <v>45871.885416666664</v>
      </c>
      <c r="D415">
        <v>34</v>
      </c>
    </row>
    <row r="416" spans="1:4" x14ac:dyDescent="0.25">
      <c r="A416" t="s">
        <v>81</v>
      </c>
      <c r="B416" t="s">
        <v>8</v>
      </c>
      <c r="C416" s="1">
        <v>45874.125</v>
      </c>
      <c r="D416">
        <v>7</v>
      </c>
    </row>
    <row r="417" spans="1:4" x14ac:dyDescent="0.25">
      <c r="A417" t="s">
        <v>23</v>
      </c>
      <c r="B417" t="s">
        <v>57</v>
      </c>
      <c r="C417" s="1">
        <v>45873.916666666664</v>
      </c>
      <c r="D417">
        <v>1</v>
      </c>
    </row>
    <row r="418" spans="1:4" x14ac:dyDescent="0.25">
      <c r="A418" t="s">
        <v>11</v>
      </c>
      <c r="B418" t="s">
        <v>1</v>
      </c>
      <c r="C418" s="1">
        <v>45869.208333333336</v>
      </c>
      <c r="D418">
        <v>1</v>
      </c>
    </row>
    <row r="419" spans="1:4" x14ac:dyDescent="0.25">
      <c r="A419" t="s">
        <v>23</v>
      </c>
      <c r="B419" t="s">
        <v>1</v>
      </c>
      <c r="C419" s="1">
        <v>45873.666666666664</v>
      </c>
      <c r="D419">
        <v>1</v>
      </c>
    </row>
    <row r="420" spans="1:4" x14ac:dyDescent="0.25">
      <c r="A420" t="s">
        <v>7</v>
      </c>
      <c r="B420" t="s">
        <v>57</v>
      </c>
      <c r="C420" s="1">
        <v>45872.020833333336</v>
      </c>
      <c r="D420">
        <v>10</v>
      </c>
    </row>
    <row r="421" spans="1:4" x14ac:dyDescent="0.25">
      <c r="A421" t="s">
        <v>23</v>
      </c>
      <c r="B421" t="s">
        <v>20</v>
      </c>
      <c r="C421" s="1">
        <v>45873.625</v>
      </c>
      <c r="D421">
        <v>10</v>
      </c>
    </row>
    <row r="422" spans="1:4" x14ac:dyDescent="0.25">
      <c r="A422" t="s">
        <v>11</v>
      </c>
      <c r="B422" t="s">
        <v>51</v>
      </c>
      <c r="C422" s="1">
        <v>45868.458333333336</v>
      </c>
      <c r="D422">
        <v>80</v>
      </c>
    </row>
    <row r="423" spans="1:4" x14ac:dyDescent="0.25">
      <c r="A423" t="s">
        <v>23</v>
      </c>
      <c r="B423" t="s">
        <v>8</v>
      </c>
      <c r="C423" s="1">
        <v>45872.604166666664</v>
      </c>
      <c r="D423">
        <v>76</v>
      </c>
    </row>
    <row r="424" spans="1:4" x14ac:dyDescent="0.25">
      <c r="A424" t="s">
        <v>81</v>
      </c>
      <c r="B424" t="s">
        <v>1</v>
      </c>
      <c r="C424" s="1">
        <v>45872.1875</v>
      </c>
      <c r="D424">
        <v>20</v>
      </c>
    </row>
    <row r="425" spans="1:4" x14ac:dyDescent="0.25">
      <c r="A425" t="s">
        <v>7</v>
      </c>
      <c r="B425" t="s">
        <v>8</v>
      </c>
      <c r="C425" s="1">
        <v>45875.125</v>
      </c>
      <c r="D425">
        <v>114</v>
      </c>
    </row>
    <row r="426" spans="1:4" x14ac:dyDescent="0.25">
      <c r="A426" t="s">
        <v>9</v>
      </c>
      <c r="B426" t="s">
        <v>53</v>
      </c>
      <c r="C426" s="1">
        <v>45869.458333333336</v>
      </c>
      <c r="D426">
        <v>11</v>
      </c>
    </row>
    <row r="427" spans="1:4" x14ac:dyDescent="0.25">
      <c r="A427" t="s">
        <v>7</v>
      </c>
      <c r="B427" t="s">
        <v>2</v>
      </c>
      <c r="C427" s="1">
        <v>45872.625</v>
      </c>
      <c r="D427">
        <v>29</v>
      </c>
    </row>
    <row r="428" spans="1:4" x14ac:dyDescent="0.25">
      <c r="A428" t="s">
        <v>77</v>
      </c>
      <c r="B428" t="s">
        <v>19</v>
      </c>
      <c r="C428" s="1">
        <v>45871.125</v>
      </c>
      <c r="D428">
        <v>285</v>
      </c>
    </row>
    <row r="429" spans="1:4" x14ac:dyDescent="0.25">
      <c r="A429" t="s">
        <v>11</v>
      </c>
      <c r="B429" t="s">
        <v>8</v>
      </c>
      <c r="C429" s="1">
        <v>45860.604166666664</v>
      </c>
      <c r="D429">
        <v>6</v>
      </c>
    </row>
    <row r="430" spans="1:4" x14ac:dyDescent="0.25">
      <c r="A430" t="s">
        <v>9</v>
      </c>
      <c r="B430" t="s">
        <v>20</v>
      </c>
      <c r="C430" s="1">
        <v>45870.916666666664</v>
      </c>
      <c r="D430">
        <v>1</v>
      </c>
    </row>
    <row r="431" spans="1:4" x14ac:dyDescent="0.25">
      <c r="A431" t="s">
        <v>23</v>
      </c>
      <c r="B431" t="s">
        <v>19</v>
      </c>
      <c r="C431" s="1">
        <v>45872.145833333336</v>
      </c>
      <c r="D431">
        <v>35</v>
      </c>
    </row>
    <row r="432" spans="1:4" x14ac:dyDescent="0.25">
      <c r="A432" t="s">
        <v>88</v>
      </c>
      <c r="B432" t="s">
        <v>2</v>
      </c>
      <c r="C432" s="1">
        <v>45871.020833333336</v>
      </c>
      <c r="D432">
        <v>1</v>
      </c>
    </row>
    <row r="433" spans="1:4" x14ac:dyDescent="0.25">
      <c r="A433" t="s">
        <v>7</v>
      </c>
      <c r="B433" t="s">
        <v>19</v>
      </c>
      <c r="C433" s="1">
        <v>45874.916666666664</v>
      </c>
      <c r="D433">
        <v>10</v>
      </c>
    </row>
    <row r="434" spans="1:4" x14ac:dyDescent="0.25">
      <c r="A434" t="s">
        <v>7</v>
      </c>
      <c r="B434" t="s">
        <v>2</v>
      </c>
      <c r="C434" s="1">
        <v>45871.916666666664</v>
      </c>
      <c r="D434">
        <v>85</v>
      </c>
    </row>
    <row r="435" spans="1:4" x14ac:dyDescent="0.25">
      <c r="A435" t="s">
        <v>9</v>
      </c>
      <c r="B435" t="s">
        <v>8</v>
      </c>
      <c r="C435" s="1">
        <v>45871.625</v>
      </c>
      <c r="D435">
        <v>8</v>
      </c>
    </row>
    <row r="436" spans="1:4" x14ac:dyDescent="0.25">
      <c r="A436" t="s">
        <v>23</v>
      </c>
      <c r="B436" t="s">
        <v>57</v>
      </c>
      <c r="C436" s="1">
        <v>45874.125</v>
      </c>
      <c r="D436">
        <v>1</v>
      </c>
    </row>
    <row r="437" spans="1:4" x14ac:dyDescent="0.25">
      <c r="A437" t="s">
        <v>77</v>
      </c>
      <c r="B437" t="s">
        <v>0</v>
      </c>
      <c r="C437" s="1">
        <v>45871.625</v>
      </c>
      <c r="D437">
        <v>1</v>
      </c>
    </row>
    <row r="438" spans="1:4" x14ac:dyDescent="0.25">
      <c r="A438" t="s">
        <v>81</v>
      </c>
      <c r="B438" t="s">
        <v>0</v>
      </c>
      <c r="C438" s="1">
        <v>45873.604166666664</v>
      </c>
      <c r="D438">
        <v>1</v>
      </c>
    </row>
    <row r="439" spans="1:4" x14ac:dyDescent="0.25">
      <c r="A439" t="s">
        <v>23</v>
      </c>
      <c r="B439" t="s">
        <v>1</v>
      </c>
      <c r="C439" s="1">
        <v>45871.083333333336</v>
      </c>
      <c r="D439">
        <v>6</v>
      </c>
    </row>
    <row r="440" spans="1:4" x14ac:dyDescent="0.25">
      <c r="A440" t="s">
        <v>23</v>
      </c>
      <c r="B440" t="s">
        <v>2</v>
      </c>
      <c r="C440" s="1">
        <v>45875.125</v>
      </c>
      <c r="D440">
        <v>8</v>
      </c>
    </row>
    <row r="441" spans="1:4" x14ac:dyDescent="0.25">
      <c r="A441" t="s">
        <v>14</v>
      </c>
      <c r="B441" t="s">
        <v>51</v>
      </c>
      <c r="C441" s="1">
        <v>45865.458333333336</v>
      </c>
      <c r="D441">
        <v>4</v>
      </c>
    </row>
    <row r="442" spans="1:4" x14ac:dyDescent="0.25">
      <c r="A442" t="s">
        <v>81</v>
      </c>
      <c r="B442" t="s">
        <v>19</v>
      </c>
      <c r="C442" s="1">
        <v>45874.125</v>
      </c>
      <c r="D442">
        <v>1</v>
      </c>
    </row>
    <row r="443" spans="1:4" x14ac:dyDescent="0.25">
      <c r="A443" t="s">
        <v>77</v>
      </c>
      <c r="B443" t="s">
        <v>1</v>
      </c>
      <c r="C443" s="1">
        <v>45871.729166666664</v>
      </c>
      <c r="D443">
        <v>114</v>
      </c>
    </row>
    <row r="444" spans="1:4" x14ac:dyDescent="0.25">
      <c r="A444" t="s">
        <v>14</v>
      </c>
      <c r="B444" t="s">
        <v>53</v>
      </c>
      <c r="C444" s="1">
        <v>45868.458333333336</v>
      </c>
      <c r="D444">
        <v>1</v>
      </c>
    </row>
    <row r="445" spans="1:4" x14ac:dyDescent="0.25">
      <c r="A445" t="s">
        <v>10</v>
      </c>
      <c r="B445" t="s">
        <v>51</v>
      </c>
      <c r="C445" s="1">
        <v>45864.458333333336</v>
      </c>
      <c r="D445">
        <v>2</v>
      </c>
    </row>
    <row r="446" spans="1:4" x14ac:dyDescent="0.25">
      <c r="A446" t="s">
        <v>77</v>
      </c>
      <c r="B446" t="s">
        <v>1</v>
      </c>
      <c r="C446" s="1">
        <v>45872.083333333336</v>
      </c>
      <c r="D446">
        <v>12</v>
      </c>
    </row>
    <row r="447" spans="1:4" x14ac:dyDescent="0.25">
      <c r="A447" t="s">
        <v>7</v>
      </c>
      <c r="B447" t="s">
        <v>1</v>
      </c>
      <c r="C447" s="1">
        <v>45871.166666666664</v>
      </c>
      <c r="D447">
        <v>176</v>
      </c>
    </row>
    <row r="448" spans="1:4" x14ac:dyDescent="0.25">
      <c r="A448" t="s">
        <v>12</v>
      </c>
      <c r="B448" t="s">
        <v>0</v>
      </c>
      <c r="C448" s="1">
        <v>45870.885416666664</v>
      </c>
      <c r="D448">
        <v>1</v>
      </c>
    </row>
    <row r="449" spans="1:4" x14ac:dyDescent="0.25">
      <c r="A449" t="s">
        <v>15</v>
      </c>
      <c r="B449" t="s">
        <v>57</v>
      </c>
      <c r="C449" s="1">
        <v>45871.145833333336</v>
      </c>
      <c r="D449">
        <v>7</v>
      </c>
    </row>
    <row r="450" spans="1:4" x14ac:dyDescent="0.25">
      <c r="A450" t="s">
        <v>14</v>
      </c>
      <c r="B450" t="s">
        <v>1</v>
      </c>
      <c r="C450" s="1">
        <v>45871.125</v>
      </c>
      <c r="D450">
        <v>1</v>
      </c>
    </row>
    <row r="451" spans="1:4" x14ac:dyDescent="0.25">
      <c r="A451" t="s">
        <v>7</v>
      </c>
      <c r="B451" t="s">
        <v>1</v>
      </c>
      <c r="C451" s="1">
        <v>45872.885416666664</v>
      </c>
      <c r="D451">
        <v>31</v>
      </c>
    </row>
    <row r="452" spans="1:4" x14ac:dyDescent="0.25">
      <c r="A452" t="s">
        <v>77</v>
      </c>
      <c r="B452" t="s">
        <v>8</v>
      </c>
      <c r="C452" s="1">
        <v>45871.020833333336</v>
      </c>
      <c r="D452">
        <v>8</v>
      </c>
    </row>
    <row r="453" spans="1:4" x14ac:dyDescent="0.25">
      <c r="A453" t="s">
        <v>23</v>
      </c>
      <c r="B453" t="s">
        <v>20</v>
      </c>
      <c r="C453" s="1">
        <v>45876.458333333336</v>
      </c>
      <c r="D453">
        <v>1</v>
      </c>
    </row>
    <row r="454" spans="1:4" x14ac:dyDescent="0.25">
      <c r="A454" t="s">
        <v>77</v>
      </c>
      <c r="B454" t="s">
        <v>8</v>
      </c>
      <c r="C454" s="1">
        <v>45871.729166666664</v>
      </c>
      <c r="D454">
        <v>57</v>
      </c>
    </row>
    <row r="455" spans="1:4" x14ac:dyDescent="0.25">
      <c r="A455" t="s">
        <v>77</v>
      </c>
      <c r="B455" t="s">
        <v>1</v>
      </c>
      <c r="C455" s="1">
        <v>45871.625</v>
      </c>
      <c r="D455">
        <v>115</v>
      </c>
    </row>
    <row r="456" spans="1:4" x14ac:dyDescent="0.25">
      <c r="A456" t="s">
        <v>13</v>
      </c>
      <c r="B456" t="s">
        <v>80</v>
      </c>
      <c r="C456" s="1">
        <v>45805.458333333336</v>
      </c>
      <c r="D456">
        <v>1</v>
      </c>
    </row>
    <row r="457" spans="1:4" x14ac:dyDescent="0.25">
      <c r="A457" t="s">
        <v>9</v>
      </c>
      <c r="B457" t="s">
        <v>0</v>
      </c>
      <c r="C457" s="1">
        <v>45871.625</v>
      </c>
      <c r="D457">
        <v>7</v>
      </c>
    </row>
    <row r="458" spans="1:4" x14ac:dyDescent="0.25">
      <c r="A458" t="s">
        <v>81</v>
      </c>
      <c r="B458" t="s">
        <v>0</v>
      </c>
      <c r="C458" s="1">
        <v>45871.729166666664</v>
      </c>
      <c r="D458">
        <v>181</v>
      </c>
    </row>
    <row r="459" spans="1:4" x14ac:dyDescent="0.25">
      <c r="A459" t="s">
        <v>15</v>
      </c>
      <c r="B459" t="s">
        <v>19</v>
      </c>
      <c r="C459" s="1">
        <v>45871.208333333336</v>
      </c>
      <c r="D459">
        <v>61</v>
      </c>
    </row>
    <row r="460" spans="1:4" x14ac:dyDescent="0.25">
      <c r="A460" t="s">
        <v>7</v>
      </c>
      <c r="B460" t="s">
        <v>41</v>
      </c>
      <c r="C460" s="1">
        <v>45870.458333333336</v>
      </c>
      <c r="D460">
        <v>48</v>
      </c>
    </row>
    <row r="461" spans="1:4" x14ac:dyDescent="0.25">
      <c r="A461" t="s">
        <v>23</v>
      </c>
      <c r="B461" t="s">
        <v>20</v>
      </c>
      <c r="C461" s="1">
        <v>45875.75</v>
      </c>
      <c r="D461">
        <v>5</v>
      </c>
    </row>
    <row r="462" spans="1:4" x14ac:dyDescent="0.25">
      <c r="A462" t="s">
        <v>7</v>
      </c>
      <c r="B462" t="s">
        <v>0</v>
      </c>
      <c r="C462" s="1">
        <v>45872.885416666664</v>
      </c>
      <c r="D462">
        <v>27</v>
      </c>
    </row>
    <row r="463" spans="1:4" x14ac:dyDescent="0.25">
      <c r="A463" t="s">
        <v>12</v>
      </c>
      <c r="B463" t="s">
        <v>1</v>
      </c>
      <c r="C463" s="1">
        <v>45871.1875</v>
      </c>
      <c r="D463">
        <v>2</v>
      </c>
    </row>
    <row r="464" spans="1:4" x14ac:dyDescent="0.25">
      <c r="A464" t="s">
        <v>11</v>
      </c>
      <c r="B464" t="s">
        <v>8</v>
      </c>
      <c r="C464" s="1">
        <v>45871.1875</v>
      </c>
      <c r="D464">
        <v>16</v>
      </c>
    </row>
    <row r="465" spans="1:4" x14ac:dyDescent="0.25">
      <c r="A465" t="s">
        <v>7</v>
      </c>
      <c r="B465" t="s">
        <v>57</v>
      </c>
      <c r="C465" s="1">
        <v>45871.625</v>
      </c>
      <c r="D465">
        <v>117</v>
      </c>
    </row>
    <row r="466" spans="1:4" x14ac:dyDescent="0.25">
      <c r="A466" t="s">
        <v>81</v>
      </c>
      <c r="B466" t="s">
        <v>19</v>
      </c>
      <c r="C466" s="1">
        <v>45871.541666666664</v>
      </c>
      <c r="D466">
        <v>348</v>
      </c>
    </row>
    <row r="467" spans="1:4" x14ac:dyDescent="0.25">
      <c r="A467" t="s">
        <v>23</v>
      </c>
      <c r="B467" t="s">
        <v>1</v>
      </c>
      <c r="C467" s="1">
        <v>45873.208333333336</v>
      </c>
      <c r="D467">
        <v>4</v>
      </c>
    </row>
    <row r="468" spans="1:4" x14ac:dyDescent="0.25">
      <c r="A468" t="s">
        <v>23</v>
      </c>
      <c r="B468" t="s">
        <v>2</v>
      </c>
      <c r="C468" s="1">
        <v>45872.885416666664</v>
      </c>
      <c r="D468">
        <v>10</v>
      </c>
    </row>
    <row r="469" spans="1:4" x14ac:dyDescent="0.25">
      <c r="A469" t="s">
        <v>7</v>
      </c>
      <c r="B469" t="s">
        <v>20</v>
      </c>
      <c r="C469" s="1">
        <v>45871.125</v>
      </c>
      <c r="D469">
        <v>377</v>
      </c>
    </row>
    <row r="470" spans="1:4" x14ac:dyDescent="0.25">
      <c r="A470" t="s">
        <v>81</v>
      </c>
      <c r="B470" t="s">
        <v>19</v>
      </c>
      <c r="C470" s="1">
        <v>45873.604166666664</v>
      </c>
      <c r="D470">
        <v>4</v>
      </c>
    </row>
    <row r="471" spans="1:4" x14ac:dyDescent="0.25">
      <c r="A471" t="s">
        <v>11</v>
      </c>
      <c r="B471" t="s">
        <v>2</v>
      </c>
      <c r="C471" s="1">
        <v>45871.166666666664</v>
      </c>
      <c r="D471">
        <v>10</v>
      </c>
    </row>
    <row r="472" spans="1:4" x14ac:dyDescent="0.25">
      <c r="A472" t="s">
        <v>23</v>
      </c>
      <c r="B472" t="s">
        <v>8</v>
      </c>
      <c r="C472" s="1">
        <v>45872.145833333336</v>
      </c>
      <c r="D472">
        <v>13</v>
      </c>
    </row>
    <row r="473" spans="1:4" x14ac:dyDescent="0.25">
      <c r="A473" t="s">
        <v>77</v>
      </c>
      <c r="B473" t="s">
        <v>8</v>
      </c>
      <c r="C473" s="1">
        <v>45871.541666666664</v>
      </c>
      <c r="D473">
        <v>660</v>
      </c>
    </row>
    <row r="474" spans="1:4" x14ac:dyDescent="0.25">
      <c r="A474" t="s">
        <v>81</v>
      </c>
      <c r="B474" t="s">
        <v>20</v>
      </c>
      <c r="C474" s="1">
        <v>45873.166666666664</v>
      </c>
      <c r="D474">
        <v>2</v>
      </c>
    </row>
    <row r="475" spans="1:4" x14ac:dyDescent="0.25">
      <c r="A475" t="s">
        <v>10</v>
      </c>
      <c r="B475" t="s">
        <v>19</v>
      </c>
      <c r="C475" s="1">
        <v>45867.885416666664</v>
      </c>
      <c r="D475">
        <v>1</v>
      </c>
    </row>
    <row r="476" spans="1:4" x14ac:dyDescent="0.25">
      <c r="A476" t="s">
        <v>7</v>
      </c>
      <c r="B476" t="s">
        <v>19</v>
      </c>
      <c r="C476" s="1">
        <v>45872.885416666664</v>
      </c>
      <c r="D476">
        <v>364</v>
      </c>
    </row>
    <row r="477" spans="1:4" x14ac:dyDescent="0.25">
      <c r="A477" t="s">
        <v>81</v>
      </c>
      <c r="B477" t="s">
        <v>19</v>
      </c>
      <c r="C477" s="1">
        <v>45871.729166666664</v>
      </c>
      <c r="D477">
        <v>801</v>
      </c>
    </row>
    <row r="478" spans="1:4" x14ac:dyDescent="0.25">
      <c r="A478" t="s">
        <v>12</v>
      </c>
      <c r="B478" t="s">
        <v>8</v>
      </c>
      <c r="C478" s="1">
        <v>45871.604166666664</v>
      </c>
      <c r="D478">
        <v>72</v>
      </c>
    </row>
    <row r="479" spans="1:4" x14ac:dyDescent="0.25">
      <c r="A479" t="s">
        <v>11</v>
      </c>
      <c r="B479" t="s">
        <v>19</v>
      </c>
      <c r="C479" s="1">
        <v>45871.1875</v>
      </c>
      <c r="D479">
        <v>11</v>
      </c>
    </row>
    <row r="480" spans="1:4" x14ac:dyDescent="0.25">
      <c r="A480" t="s">
        <v>15</v>
      </c>
      <c r="B480" t="s">
        <v>8</v>
      </c>
      <c r="C480" s="1">
        <v>45871.208333333336</v>
      </c>
      <c r="D480">
        <v>39</v>
      </c>
    </row>
    <row r="481" spans="1:4" x14ac:dyDescent="0.25">
      <c r="A481" t="s">
        <v>77</v>
      </c>
      <c r="B481" t="s">
        <v>84</v>
      </c>
      <c r="C481" s="1">
        <v>45795.885416666664</v>
      </c>
      <c r="D481">
        <v>1</v>
      </c>
    </row>
    <row r="482" spans="1:4" x14ac:dyDescent="0.25">
      <c r="A482" t="s">
        <v>81</v>
      </c>
      <c r="B482" t="s">
        <v>8</v>
      </c>
      <c r="C482" s="1">
        <v>45871.885416666664</v>
      </c>
      <c r="D482">
        <v>1484</v>
      </c>
    </row>
    <row r="483" spans="1:4" x14ac:dyDescent="0.25">
      <c r="A483" t="s">
        <v>7</v>
      </c>
      <c r="B483" t="s">
        <v>8</v>
      </c>
      <c r="C483" s="1">
        <v>45876.75</v>
      </c>
      <c r="D483">
        <v>26</v>
      </c>
    </row>
    <row r="484" spans="1:4" x14ac:dyDescent="0.25">
      <c r="A484" t="s">
        <v>77</v>
      </c>
      <c r="B484" t="s">
        <v>4</v>
      </c>
      <c r="C484" s="1">
        <v>45861.458333333336</v>
      </c>
      <c r="D484">
        <v>1</v>
      </c>
    </row>
    <row r="485" spans="1:4" x14ac:dyDescent="0.25">
      <c r="A485" t="s">
        <v>12</v>
      </c>
      <c r="B485" t="s">
        <v>2</v>
      </c>
      <c r="C485" s="1">
        <v>45871.083333333336</v>
      </c>
      <c r="D485">
        <v>7</v>
      </c>
    </row>
    <row r="486" spans="1:4" x14ac:dyDescent="0.25">
      <c r="A486" t="s">
        <v>14</v>
      </c>
      <c r="B486" t="s">
        <v>0</v>
      </c>
      <c r="C486" s="1">
        <v>45871.020833333336</v>
      </c>
      <c r="D486">
        <v>2</v>
      </c>
    </row>
    <row r="487" spans="1:4" x14ac:dyDescent="0.25">
      <c r="A487" t="s">
        <v>83</v>
      </c>
      <c r="B487" t="s">
        <v>19</v>
      </c>
      <c r="C487" s="1">
        <v>45873.583333333336</v>
      </c>
      <c r="D487">
        <v>33</v>
      </c>
    </row>
    <row r="488" spans="1:4" x14ac:dyDescent="0.25">
      <c r="A488" t="s">
        <v>7</v>
      </c>
      <c r="B488" t="s">
        <v>2</v>
      </c>
      <c r="C488" s="1">
        <v>45876.666666666664</v>
      </c>
      <c r="D488">
        <v>1</v>
      </c>
    </row>
    <row r="489" spans="1:4" x14ac:dyDescent="0.25">
      <c r="A489" t="s">
        <v>23</v>
      </c>
      <c r="B489" t="s">
        <v>20</v>
      </c>
      <c r="C489" s="1">
        <v>45875.541666666664</v>
      </c>
      <c r="D489">
        <v>4</v>
      </c>
    </row>
    <row r="490" spans="1:4" x14ac:dyDescent="0.25">
      <c r="A490" t="s">
        <v>81</v>
      </c>
      <c r="B490" t="s">
        <v>8</v>
      </c>
      <c r="C490" s="1">
        <v>45873.604166666664</v>
      </c>
      <c r="D490">
        <v>8</v>
      </c>
    </row>
    <row r="491" spans="1:4" x14ac:dyDescent="0.25">
      <c r="A491" t="s">
        <v>23</v>
      </c>
      <c r="B491" t="s">
        <v>8</v>
      </c>
      <c r="C491" s="1">
        <v>45873.125</v>
      </c>
      <c r="D491">
        <v>720</v>
      </c>
    </row>
    <row r="492" spans="1:4" x14ac:dyDescent="0.25">
      <c r="A492" t="s">
        <v>9</v>
      </c>
      <c r="B492" t="s">
        <v>57</v>
      </c>
      <c r="C492" s="1">
        <v>45871.208333333336</v>
      </c>
      <c r="D492">
        <v>69</v>
      </c>
    </row>
    <row r="493" spans="1:4" x14ac:dyDescent="0.25">
      <c r="A493" t="s">
        <v>83</v>
      </c>
      <c r="B493" t="s">
        <v>8</v>
      </c>
      <c r="C493" s="1">
        <v>45870.75</v>
      </c>
      <c r="D493">
        <v>2</v>
      </c>
    </row>
    <row r="494" spans="1:4" x14ac:dyDescent="0.25">
      <c r="A494" t="s">
        <v>9</v>
      </c>
      <c r="B494" t="s">
        <v>20</v>
      </c>
      <c r="C494" s="1">
        <v>45871.020833333336</v>
      </c>
      <c r="D494">
        <v>5</v>
      </c>
    </row>
    <row r="495" spans="1:4" x14ac:dyDescent="0.25">
      <c r="A495" t="s">
        <v>23</v>
      </c>
      <c r="B495" t="s">
        <v>0</v>
      </c>
      <c r="C495" s="1">
        <v>45872.604166666664</v>
      </c>
      <c r="D495">
        <v>7</v>
      </c>
    </row>
    <row r="496" spans="1:4" x14ac:dyDescent="0.25">
      <c r="A496" t="s">
        <v>81</v>
      </c>
      <c r="B496" t="s">
        <v>57</v>
      </c>
      <c r="C496" s="1">
        <v>45871.083333333336</v>
      </c>
      <c r="D496">
        <v>3</v>
      </c>
    </row>
    <row r="497" spans="1:4" x14ac:dyDescent="0.25">
      <c r="A497" t="s">
        <v>10</v>
      </c>
      <c r="B497" t="s">
        <v>41</v>
      </c>
      <c r="C497" s="1">
        <v>45872.458333333336</v>
      </c>
      <c r="D497">
        <v>68</v>
      </c>
    </row>
    <row r="498" spans="1:4" x14ac:dyDescent="0.25">
      <c r="A498" t="s">
        <v>11</v>
      </c>
      <c r="B498" t="s">
        <v>8</v>
      </c>
      <c r="C498" s="1">
        <v>45871.083333333336</v>
      </c>
      <c r="D498">
        <v>25</v>
      </c>
    </row>
    <row r="499" spans="1:4" x14ac:dyDescent="0.25">
      <c r="A499" t="s">
        <v>86</v>
      </c>
      <c r="B499" t="s">
        <v>8</v>
      </c>
      <c r="C499" s="1">
        <v>45870.041666666664</v>
      </c>
      <c r="D499">
        <v>1</v>
      </c>
    </row>
    <row r="500" spans="1:4" x14ac:dyDescent="0.25">
      <c r="A500" t="s">
        <v>13</v>
      </c>
      <c r="B500" t="s">
        <v>82</v>
      </c>
      <c r="C500" s="1">
        <v>45875.458333333336</v>
      </c>
      <c r="D500">
        <v>20</v>
      </c>
    </row>
    <row r="501" spans="1:4" x14ac:dyDescent="0.25">
      <c r="A501" t="s">
        <v>23</v>
      </c>
      <c r="B501" t="s">
        <v>2</v>
      </c>
      <c r="C501" s="1">
        <v>45876.75</v>
      </c>
      <c r="D501">
        <v>4</v>
      </c>
    </row>
    <row r="502" spans="1:4" x14ac:dyDescent="0.25">
      <c r="A502" t="s">
        <v>23</v>
      </c>
      <c r="B502" t="s">
        <v>19</v>
      </c>
      <c r="C502" s="1">
        <v>45873.125</v>
      </c>
      <c r="D502">
        <v>628</v>
      </c>
    </row>
    <row r="503" spans="1:4" x14ac:dyDescent="0.25">
      <c r="A503" t="s">
        <v>12</v>
      </c>
      <c r="B503" t="s">
        <v>1</v>
      </c>
      <c r="C503" s="1">
        <v>45871.083333333336</v>
      </c>
      <c r="D503">
        <v>12</v>
      </c>
    </row>
    <row r="504" spans="1:4" x14ac:dyDescent="0.25">
      <c r="A504" t="s">
        <v>7</v>
      </c>
      <c r="B504" t="s">
        <v>8</v>
      </c>
      <c r="C504" s="1">
        <v>45872.885416666664</v>
      </c>
      <c r="D504">
        <v>388</v>
      </c>
    </row>
    <row r="505" spans="1:4" x14ac:dyDescent="0.25">
      <c r="A505" t="s">
        <v>23</v>
      </c>
      <c r="B505" t="s">
        <v>19</v>
      </c>
      <c r="C505" s="1">
        <v>45872.947916666664</v>
      </c>
      <c r="D505">
        <v>2</v>
      </c>
    </row>
    <row r="506" spans="1:4" x14ac:dyDescent="0.25">
      <c r="A506" t="s">
        <v>12</v>
      </c>
      <c r="B506" t="s">
        <v>19</v>
      </c>
      <c r="C506" s="1">
        <v>45871.604166666664</v>
      </c>
      <c r="D506">
        <v>2</v>
      </c>
    </row>
    <row r="507" spans="1:4" x14ac:dyDescent="0.25">
      <c r="A507" t="s">
        <v>23</v>
      </c>
      <c r="B507" t="s">
        <v>0</v>
      </c>
      <c r="C507" s="1">
        <v>45874.583333333336</v>
      </c>
      <c r="D507">
        <v>12</v>
      </c>
    </row>
    <row r="508" spans="1:4" x14ac:dyDescent="0.25">
      <c r="A508" t="s">
        <v>81</v>
      </c>
      <c r="B508" t="s">
        <v>0</v>
      </c>
      <c r="C508" s="1">
        <v>45871.625</v>
      </c>
      <c r="D508">
        <v>208</v>
      </c>
    </row>
    <row r="509" spans="1:4" x14ac:dyDescent="0.25">
      <c r="A509" t="s">
        <v>81</v>
      </c>
      <c r="B509" t="s">
        <v>19</v>
      </c>
      <c r="C509" s="1">
        <v>45871.885416666664</v>
      </c>
      <c r="D509">
        <v>1478</v>
      </c>
    </row>
    <row r="510" spans="1:4" x14ac:dyDescent="0.25">
      <c r="A510" t="s">
        <v>87</v>
      </c>
      <c r="B510" t="s">
        <v>53</v>
      </c>
      <c r="C510" s="1">
        <v>45851.458333333336</v>
      </c>
      <c r="D510">
        <v>1</v>
      </c>
    </row>
    <row r="511" spans="1:4" x14ac:dyDescent="0.25">
      <c r="A511" t="s">
        <v>7</v>
      </c>
      <c r="B511" t="s">
        <v>19</v>
      </c>
      <c r="C511" s="1">
        <v>45877.145833333336</v>
      </c>
      <c r="D511">
        <v>6</v>
      </c>
    </row>
    <row r="512" spans="1:4" x14ac:dyDescent="0.25">
      <c r="A512" t="s">
        <v>7</v>
      </c>
      <c r="B512" t="s">
        <v>1</v>
      </c>
      <c r="C512" s="1">
        <v>45870.395833333336</v>
      </c>
      <c r="D512">
        <v>1</v>
      </c>
    </row>
    <row r="513" spans="1:4" x14ac:dyDescent="0.25">
      <c r="A513" t="s">
        <v>13</v>
      </c>
      <c r="B513" t="s">
        <v>4</v>
      </c>
      <c r="C513" s="1">
        <v>45874.75</v>
      </c>
      <c r="D513">
        <v>1</v>
      </c>
    </row>
    <row r="514" spans="1:4" x14ac:dyDescent="0.25">
      <c r="A514" t="s">
        <v>87</v>
      </c>
      <c r="B514" t="s">
        <v>41</v>
      </c>
      <c r="C514" s="1">
        <v>45860.458333333336</v>
      </c>
      <c r="D514">
        <v>2</v>
      </c>
    </row>
    <row r="515" spans="1:4" x14ac:dyDescent="0.25">
      <c r="A515" t="s">
        <v>14</v>
      </c>
      <c r="B515" t="s">
        <v>39</v>
      </c>
      <c r="C515" s="1">
        <v>45865.458333333336</v>
      </c>
      <c r="D515">
        <v>1</v>
      </c>
    </row>
    <row r="516" spans="1:4" x14ac:dyDescent="0.25">
      <c r="A516" t="s">
        <v>78</v>
      </c>
      <c r="B516" t="s">
        <v>4</v>
      </c>
      <c r="C516" s="1">
        <v>45876.885416666664</v>
      </c>
      <c r="D516">
        <v>2</v>
      </c>
    </row>
    <row r="517" spans="1:4" x14ac:dyDescent="0.25">
      <c r="A517" t="s">
        <v>23</v>
      </c>
      <c r="B517" t="s">
        <v>20</v>
      </c>
      <c r="C517" s="1">
        <v>45874.125</v>
      </c>
      <c r="D517">
        <v>5</v>
      </c>
    </row>
    <row r="518" spans="1:4" x14ac:dyDescent="0.25">
      <c r="A518" t="s">
        <v>81</v>
      </c>
      <c r="B518" t="s">
        <v>19</v>
      </c>
      <c r="C518" s="1">
        <v>45873.145833333336</v>
      </c>
      <c r="D518">
        <v>19</v>
      </c>
    </row>
    <row r="519" spans="1:4" x14ac:dyDescent="0.25">
      <c r="A519" t="s">
        <v>14</v>
      </c>
      <c r="B519" t="s">
        <v>39</v>
      </c>
      <c r="C519" s="1">
        <v>45881.458333333336</v>
      </c>
      <c r="D519">
        <v>3</v>
      </c>
    </row>
    <row r="520" spans="1:4" x14ac:dyDescent="0.25">
      <c r="A520" t="s">
        <v>9</v>
      </c>
      <c r="B520" t="s">
        <v>2</v>
      </c>
      <c r="C520" s="1">
        <v>45871.1875</v>
      </c>
      <c r="D520">
        <v>16</v>
      </c>
    </row>
    <row r="521" spans="1:4" x14ac:dyDescent="0.25">
      <c r="A521" t="s">
        <v>10</v>
      </c>
      <c r="B521" t="s">
        <v>41</v>
      </c>
      <c r="C521" s="1">
        <v>45856.458333333336</v>
      </c>
      <c r="D521">
        <v>7</v>
      </c>
    </row>
    <row r="522" spans="1:4" x14ac:dyDescent="0.25">
      <c r="A522" t="s">
        <v>77</v>
      </c>
      <c r="B522" t="s">
        <v>19</v>
      </c>
      <c r="C522" s="1">
        <v>45873.947916666664</v>
      </c>
      <c r="D522">
        <v>2</v>
      </c>
    </row>
    <row r="523" spans="1:4" x14ac:dyDescent="0.25">
      <c r="A523" t="s">
        <v>7</v>
      </c>
      <c r="B523" t="s">
        <v>2</v>
      </c>
      <c r="C523" s="1">
        <v>45872.125</v>
      </c>
      <c r="D523">
        <v>328</v>
      </c>
    </row>
    <row r="524" spans="1:4" x14ac:dyDescent="0.25">
      <c r="A524" t="s">
        <v>77</v>
      </c>
      <c r="B524" t="s">
        <v>19</v>
      </c>
      <c r="C524" s="1">
        <v>45871.625</v>
      </c>
      <c r="D524">
        <v>34</v>
      </c>
    </row>
    <row r="525" spans="1:4" x14ac:dyDescent="0.25">
      <c r="A525" t="s">
        <v>23</v>
      </c>
      <c r="B525" t="s">
        <v>8</v>
      </c>
      <c r="C525" s="1">
        <v>45874.583333333336</v>
      </c>
      <c r="D525">
        <v>201</v>
      </c>
    </row>
    <row r="526" spans="1:4" x14ac:dyDescent="0.25">
      <c r="A526" t="s">
        <v>11</v>
      </c>
      <c r="B526" t="s">
        <v>19</v>
      </c>
      <c r="C526" s="1">
        <v>45871.083333333336</v>
      </c>
      <c r="D526">
        <v>23</v>
      </c>
    </row>
    <row r="527" spans="1:4" x14ac:dyDescent="0.25">
      <c r="A527" t="s">
        <v>14</v>
      </c>
      <c r="B527" t="s">
        <v>41</v>
      </c>
      <c r="C527" s="1">
        <v>45866.458333333336</v>
      </c>
      <c r="D527">
        <v>1</v>
      </c>
    </row>
    <row r="528" spans="1:4" x14ac:dyDescent="0.25">
      <c r="A528" t="s">
        <v>77</v>
      </c>
      <c r="B528" t="s">
        <v>39</v>
      </c>
      <c r="C528" s="1">
        <v>45874.458333333336</v>
      </c>
      <c r="D528">
        <v>27</v>
      </c>
    </row>
    <row r="529" spans="1:4" x14ac:dyDescent="0.25">
      <c r="A529" t="s">
        <v>7</v>
      </c>
      <c r="B529" t="s">
        <v>1</v>
      </c>
      <c r="C529" s="1">
        <v>45872.729166666664</v>
      </c>
      <c r="D529">
        <v>32</v>
      </c>
    </row>
    <row r="530" spans="1:4" x14ac:dyDescent="0.25">
      <c r="A530" t="s">
        <v>12</v>
      </c>
      <c r="B530" t="s">
        <v>8</v>
      </c>
      <c r="C530" s="1">
        <v>45871.5</v>
      </c>
      <c r="D530">
        <v>15</v>
      </c>
    </row>
    <row r="531" spans="1:4" x14ac:dyDescent="0.25">
      <c r="A531" t="s">
        <v>7</v>
      </c>
      <c r="B531" t="s">
        <v>19</v>
      </c>
      <c r="C531" s="1">
        <v>45875.125</v>
      </c>
      <c r="D531">
        <v>118</v>
      </c>
    </row>
    <row r="532" spans="1:4" x14ac:dyDescent="0.25">
      <c r="A532" t="s">
        <v>81</v>
      </c>
      <c r="B532" t="s">
        <v>0</v>
      </c>
      <c r="C532" s="1">
        <v>45871.885416666664</v>
      </c>
      <c r="D532">
        <v>236</v>
      </c>
    </row>
    <row r="533" spans="1:4" x14ac:dyDescent="0.25">
      <c r="A533" t="s">
        <v>81</v>
      </c>
      <c r="B533" t="s">
        <v>19</v>
      </c>
      <c r="C533" s="1">
        <v>45873.625</v>
      </c>
      <c r="D533">
        <v>2</v>
      </c>
    </row>
    <row r="534" spans="1:4" x14ac:dyDescent="0.25">
      <c r="A534" t="s">
        <v>87</v>
      </c>
      <c r="B534" t="s">
        <v>19</v>
      </c>
      <c r="C534" s="1">
        <v>45871.208333333336</v>
      </c>
      <c r="D534">
        <v>12</v>
      </c>
    </row>
    <row r="535" spans="1:4" x14ac:dyDescent="0.25">
      <c r="A535" t="s">
        <v>7</v>
      </c>
      <c r="B535" t="s">
        <v>1</v>
      </c>
      <c r="C535" s="1">
        <v>45871.020833333336</v>
      </c>
      <c r="D535">
        <v>1</v>
      </c>
    </row>
    <row r="536" spans="1:4" x14ac:dyDescent="0.25">
      <c r="A536" t="s">
        <v>88</v>
      </c>
      <c r="B536" t="s">
        <v>2</v>
      </c>
      <c r="C536" s="1">
        <v>45871.166666666664</v>
      </c>
      <c r="D536">
        <v>15</v>
      </c>
    </row>
    <row r="537" spans="1:4" x14ac:dyDescent="0.25">
      <c r="A537" t="s">
        <v>9</v>
      </c>
      <c r="B537" t="s">
        <v>57</v>
      </c>
      <c r="C537" s="1">
        <v>45871.166666666664</v>
      </c>
      <c r="D537">
        <v>49</v>
      </c>
    </row>
    <row r="538" spans="1:4" x14ac:dyDescent="0.25">
      <c r="A538" t="s">
        <v>9</v>
      </c>
      <c r="B538" t="s">
        <v>41</v>
      </c>
      <c r="C538" s="1">
        <v>45862.458333333336</v>
      </c>
      <c r="D538">
        <v>14</v>
      </c>
    </row>
    <row r="539" spans="1:4" x14ac:dyDescent="0.25">
      <c r="A539" t="s">
        <v>77</v>
      </c>
      <c r="B539" t="s">
        <v>84</v>
      </c>
      <c r="C539" s="1">
        <v>45800.125</v>
      </c>
      <c r="D539">
        <v>6</v>
      </c>
    </row>
    <row r="540" spans="1:4" x14ac:dyDescent="0.25">
      <c r="A540" t="s">
        <v>7</v>
      </c>
      <c r="B540" t="s">
        <v>8</v>
      </c>
      <c r="C540" s="1">
        <v>45877.145833333336</v>
      </c>
      <c r="D540">
        <v>9</v>
      </c>
    </row>
    <row r="541" spans="1:4" x14ac:dyDescent="0.25">
      <c r="A541" t="s">
        <v>14</v>
      </c>
      <c r="B541" t="s">
        <v>0</v>
      </c>
      <c r="C541" s="1">
        <v>45871.166666666664</v>
      </c>
      <c r="D541">
        <v>1</v>
      </c>
    </row>
    <row r="542" spans="1:4" x14ac:dyDescent="0.25">
      <c r="A542" t="s">
        <v>23</v>
      </c>
      <c r="B542" t="s">
        <v>1</v>
      </c>
      <c r="C542" s="1">
        <v>45875.885416666664</v>
      </c>
      <c r="D542">
        <v>3</v>
      </c>
    </row>
    <row r="543" spans="1:4" x14ac:dyDescent="0.25">
      <c r="A543" t="s">
        <v>83</v>
      </c>
      <c r="B543" t="s">
        <v>19</v>
      </c>
      <c r="C543" s="1">
        <v>45869.041666666664</v>
      </c>
      <c r="D543">
        <v>4</v>
      </c>
    </row>
    <row r="544" spans="1:4" x14ac:dyDescent="0.25">
      <c r="A544" t="s">
        <v>9</v>
      </c>
      <c r="B544" t="s">
        <v>51</v>
      </c>
      <c r="C544" s="1">
        <v>45870.458333333336</v>
      </c>
      <c r="D544">
        <v>10</v>
      </c>
    </row>
    <row r="545" spans="1:4" x14ac:dyDescent="0.25">
      <c r="A545" t="s">
        <v>23</v>
      </c>
      <c r="B545" t="s">
        <v>2</v>
      </c>
      <c r="C545" s="1">
        <v>45877.145833333336</v>
      </c>
      <c r="D545">
        <v>1</v>
      </c>
    </row>
    <row r="546" spans="1:4" x14ac:dyDescent="0.25">
      <c r="A546" t="s">
        <v>11</v>
      </c>
      <c r="B546" t="s">
        <v>2</v>
      </c>
      <c r="C546" s="1">
        <v>45871.020833333336</v>
      </c>
      <c r="D546">
        <v>7</v>
      </c>
    </row>
    <row r="547" spans="1:4" x14ac:dyDescent="0.25">
      <c r="A547" t="s">
        <v>87</v>
      </c>
      <c r="B547" t="s">
        <v>2</v>
      </c>
      <c r="C547" s="1">
        <v>45871.125</v>
      </c>
      <c r="D547">
        <v>11</v>
      </c>
    </row>
    <row r="548" spans="1:4" x14ac:dyDescent="0.25">
      <c r="A548" t="s">
        <v>77</v>
      </c>
      <c r="B548" t="s">
        <v>8</v>
      </c>
      <c r="C548" s="1">
        <v>45875.583333333336</v>
      </c>
      <c r="D548">
        <v>2</v>
      </c>
    </row>
    <row r="549" spans="1:4" x14ac:dyDescent="0.25">
      <c r="A549" t="s">
        <v>7</v>
      </c>
      <c r="B549" t="s">
        <v>1</v>
      </c>
      <c r="C549" s="1">
        <v>45866.145833333336</v>
      </c>
      <c r="D549">
        <v>1</v>
      </c>
    </row>
    <row r="550" spans="1:4" x14ac:dyDescent="0.25">
      <c r="A550" t="s">
        <v>87</v>
      </c>
      <c r="B550" t="s">
        <v>53</v>
      </c>
      <c r="C550" s="1">
        <v>45847.458333333336</v>
      </c>
      <c r="D550">
        <v>1</v>
      </c>
    </row>
    <row r="551" spans="1:4" x14ac:dyDescent="0.25">
      <c r="A551" t="s">
        <v>10</v>
      </c>
      <c r="B551" t="s">
        <v>57</v>
      </c>
      <c r="C551" s="1">
        <v>45871.020833333336</v>
      </c>
      <c r="D551">
        <v>2</v>
      </c>
    </row>
    <row r="552" spans="1:4" x14ac:dyDescent="0.25">
      <c r="A552" t="s">
        <v>87</v>
      </c>
      <c r="B552" t="s">
        <v>8</v>
      </c>
      <c r="C552" s="1">
        <v>45871.208333333336</v>
      </c>
      <c r="D552">
        <v>6</v>
      </c>
    </row>
    <row r="553" spans="1:4" x14ac:dyDescent="0.25">
      <c r="A553" t="s">
        <v>77</v>
      </c>
      <c r="B553" t="s">
        <v>1</v>
      </c>
      <c r="C553" s="1">
        <v>45876.885416666664</v>
      </c>
      <c r="D553">
        <v>1</v>
      </c>
    </row>
    <row r="554" spans="1:4" x14ac:dyDescent="0.25">
      <c r="A554" t="s">
        <v>7</v>
      </c>
      <c r="B554" t="s">
        <v>19</v>
      </c>
      <c r="C554" s="1">
        <v>45876.541666666664</v>
      </c>
      <c r="D554">
        <v>120</v>
      </c>
    </row>
    <row r="555" spans="1:4" x14ac:dyDescent="0.25">
      <c r="A555" t="s">
        <v>83</v>
      </c>
      <c r="B555" t="s">
        <v>8</v>
      </c>
      <c r="C555" s="1">
        <v>45873.583333333336</v>
      </c>
      <c r="D555">
        <v>1</v>
      </c>
    </row>
    <row r="556" spans="1:4" x14ac:dyDescent="0.25">
      <c r="A556" t="s">
        <v>23</v>
      </c>
      <c r="B556" t="s">
        <v>19</v>
      </c>
      <c r="C556" s="1">
        <v>45874.583333333336</v>
      </c>
      <c r="D556">
        <v>202</v>
      </c>
    </row>
    <row r="557" spans="1:4" x14ac:dyDescent="0.25">
      <c r="A557" t="s">
        <v>11</v>
      </c>
      <c r="B557" t="s">
        <v>8</v>
      </c>
      <c r="C557" s="1">
        <v>45867.041666666664</v>
      </c>
      <c r="D557">
        <v>3</v>
      </c>
    </row>
    <row r="558" spans="1:4" x14ac:dyDescent="0.25">
      <c r="A558" t="s">
        <v>12</v>
      </c>
      <c r="B558" t="s">
        <v>19</v>
      </c>
      <c r="C558" s="1">
        <v>45866.083333333336</v>
      </c>
      <c r="D558">
        <v>1</v>
      </c>
    </row>
    <row r="559" spans="1:4" x14ac:dyDescent="0.25">
      <c r="A559" t="s">
        <v>81</v>
      </c>
      <c r="B559" t="s">
        <v>1</v>
      </c>
      <c r="C559" s="1">
        <v>45872.458333333336</v>
      </c>
      <c r="D559">
        <v>1</v>
      </c>
    </row>
    <row r="560" spans="1:4" x14ac:dyDescent="0.25">
      <c r="A560" t="s">
        <v>81</v>
      </c>
      <c r="B560" t="s">
        <v>20</v>
      </c>
      <c r="C560" s="1">
        <v>45872.666666666664</v>
      </c>
      <c r="D560">
        <v>10</v>
      </c>
    </row>
    <row r="561" spans="1:4" x14ac:dyDescent="0.25">
      <c r="A561" t="s">
        <v>77</v>
      </c>
      <c r="B561" t="s">
        <v>8</v>
      </c>
      <c r="C561" s="1">
        <v>45873.75</v>
      </c>
      <c r="D561">
        <v>2</v>
      </c>
    </row>
    <row r="562" spans="1:4" x14ac:dyDescent="0.25">
      <c r="A562" t="s">
        <v>7</v>
      </c>
      <c r="B562" t="s">
        <v>2</v>
      </c>
      <c r="C562" s="1">
        <v>45872.020833333336</v>
      </c>
      <c r="D562">
        <v>36</v>
      </c>
    </row>
    <row r="563" spans="1:4" x14ac:dyDescent="0.25">
      <c r="A563" t="s">
        <v>7</v>
      </c>
      <c r="B563" t="s">
        <v>20</v>
      </c>
      <c r="C563" s="1">
        <v>45871.541666666664</v>
      </c>
      <c r="D563">
        <v>140</v>
      </c>
    </row>
    <row r="564" spans="1:4" x14ac:dyDescent="0.25">
      <c r="A564" t="s">
        <v>77</v>
      </c>
      <c r="B564" t="s">
        <v>19</v>
      </c>
      <c r="C564" s="1">
        <v>45868.583333333336</v>
      </c>
      <c r="D564">
        <v>1</v>
      </c>
    </row>
    <row r="565" spans="1:4" x14ac:dyDescent="0.25">
      <c r="A565" t="s">
        <v>12</v>
      </c>
      <c r="B565" t="s">
        <v>0</v>
      </c>
      <c r="C565" s="1">
        <v>45871.145833333336</v>
      </c>
      <c r="D565">
        <v>52</v>
      </c>
    </row>
    <row r="566" spans="1:4" x14ac:dyDescent="0.25">
      <c r="A566" t="s">
        <v>7</v>
      </c>
      <c r="B566" t="s">
        <v>1</v>
      </c>
      <c r="C566" s="1">
        <v>45872.625</v>
      </c>
      <c r="D566">
        <v>14</v>
      </c>
    </row>
    <row r="567" spans="1:4" x14ac:dyDescent="0.25">
      <c r="A567" t="s">
        <v>7</v>
      </c>
      <c r="B567" t="s">
        <v>0</v>
      </c>
      <c r="C567" s="1">
        <v>45872.166666666664</v>
      </c>
      <c r="D567">
        <v>19</v>
      </c>
    </row>
    <row r="568" spans="1:4" x14ac:dyDescent="0.25">
      <c r="A568" t="s">
        <v>23</v>
      </c>
      <c r="B568" t="s">
        <v>8</v>
      </c>
      <c r="C568" s="1">
        <v>45872.625</v>
      </c>
      <c r="D568">
        <v>60</v>
      </c>
    </row>
    <row r="569" spans="1:4" x14ac:dyDescent="0.25">
      <c r="A569" t="s">
        <v>11</v>
      </c>
      <c r="B569" t="s">
        <v>8</v>
      </c>
      <c r="C569" s="1">
        <v>45869.125</v>
      </c>
      <c r="D569">
        <v>3</v>
      </c>
    </row>
    <row r="570" spans="1:4" x14ac:dyDescent="0.25">
      <c r="A570" t="s">
        <v>23</v>
      </c>
      <c r="B570" t="s">
        <v>57</v>
      </c>
      <c r="C570" s="1">
        <v>45872.083333333336</v>
      </c>
      <c r="D570">
        <v>12</v>
      </c>
    </row>
    <row r="571" spans="1:4" x14ac:dyDescent="0.25">
      <c r="A571" t="s">
        <v>7</v>
      </c>
      <c r="B571" t="s">
        <v>20</v>
      </c>
      <c r="C571" s="1">
        <v>45875.666666666664</v>
      </c>
      <c r="D571">
        <v>1</v>
      </c>
    </row>
    <row r="572" spans="1:4" x14ac:dyDescent="0.25">
      <c r="A572" t="s">
        <v>7</v>
      </c>
      <c r="B572" t="s">
        <v>57</v>
      </c>
      <c r="C572" s="1">
        <v>45871.145833333336</v>
      </c>
      <c r="D572">
        <v>803</v>
      </c>
    </row>
    <row r="573" spans="1:4" x14ac:dyDescent="0.25">
      <c r="A573" t="s">
        <v>81</v>
      </c>
      <c r="B573" t="s">
        <v>19</v>
      </c>
      <c r="C573" s="1">
        <v>45873.947916666664</v>
      </c>
      <c r="D573">
        <v>13</v>
      </c>
    </row>
    <row r="574" spans="1:4" x14ac:dyDescent="0.25">
      <c r="A574" t="s">
        <v>7</v>
      </c>
      <c r="B574" t="s">
        <v>2</v>
      </c>
      <c r="C574" s="1">
        <v>45872.604166666664</v>
      </c>
      <c r="D574">
        <v>207</v>
      </c>
    </row>
    <row r="575" spans="1:4" x14ac:dyDescent="0.25">
      <c r="A575" t="s">
        <v>23</v>
      </c>
      <c r="B575" t="s">
        <v>8</v>
      </c>
      <c r="C575" s="1">
        <v>45875.458333333336</v>
      </c>
      <c r="D575">
        <v>6</v>
      </c>
    </row>
    <row r="576" spans="1:4" x14ac:dyDescent="0.25">
      <c r="A576" t="s">
        <v>23</v>
      </c>
      <c r="B576" t="s">
        <v>20</v>
      </c>
      <c r="C576" s="1">
        <v>45873.885416666664</v>
      </c>
      <c r="D576">
        <v>1</v>
      </c>
    </row>
    <row r="577" spans="1:4" x14ac:dyDescent="0.25">
      <c r="A577" t="s">
        <v>7</v>
      </c>
      <c r="B577" t="s">
        <v>0</v>
      </c>
      <c r="C577" s="1">
        <v>45876.75</v>
      </c>
      <c r="D577">
        <v>12</v>
      </c>
    </row>
    <row r="578" spans="1:4" x14ac:dyDescent="0.25">
      <c r="A578" t="s">
        <v>11</v>
      </c>
      <c r="B578" t="s">
        <v>0</v>
      </c>
      <c r="C578" s="1">
        <v>45866.208333333336</v>
      </c>
      <c r="D578">
        <v>1</v>
      </c>
    </row>
    <row r="579" spans="1:4" x14ac:dyDescent="0.25">
      <c r="A579" t="s">
        <v>11</v>
      </c>
      <c r="B579" t="s">
        <v>2</v>
      </c>
      <c r="C579" s="1">
        <v>45869.208333333336</v>
      </c>
      <c r="D579">
        <v>1</v>
      </c>
    </row>
    <row r="580" spans="1:4" x14ac:dyDescent="0.25">
      <c r="A580" t="s">
        <v>23</v>
      </c>
      <c r="B580" t="s">
        <v>19</v>
      </c>
      <c r="C580" s="1">
        <v>45872.625</v>
      </c>
      <c r="D580">
        <v>72</v>
      </c>
    </row>
    <row r="581" spans="1:4" x14ac:dyDescent="0.25">
      <c r="A581" t="s">
        <v>81</v>
      </c>
      <c r="B581" t="s">
        <v>20</v>
      </c>
      <c r="C581" s="1">
        <v>45872.083333333336</v>
      </c>
      <c r="D581">
        <v>53</v>
      </c>
    </row>
    <row r="582" spans="1:4" x14ac:dyDescent="0.25">
      <c r="A582" t="s">
        <v>12</v>
      </c>
      <c r="B582" t="s">
        <v>0</v>
      </c>
      <c r="C582" s="1">
        <v>45871.020833333336</v>
      </c>
      <c r="D582">
        <v>2</v>
      </c>
    </row>
    <row r="583" spans="1:4" x14ac:dyDescent="0.25">
      <c r="A583" t="s">
        <v>7</v>
      </c>
      <c r="B583" t="s">
        <v>1</v>
      </c>
      <c r="C583" s="1">
        <v>45873.604166666664</v>
      </c>
      <c r="D583">
        <v>6</v>
      </c>
    </row>
    <row r="584" spans="1:4" x14ac:dyDescent="0.25">
      <c r="A584" t="s">
        <v>9</v>
      </c>
      <c r="B584" t="s">
        <v>8</v>
      </c>
      <c r="C584" s="1">
        <v>45869.541666666664</v>
      </c>
      <c r="D584">
        <v>1</v>
      </c>
    </row>
    <row r="585" spans="1:4" x14ac:dyDescent="0.25">
      <c r="A585" t="s">
        <v>7</v>
      </c>
      <c r="B585" t="s">
        <v>2</v>
      </c>
      <c r="C585" s="1">
        <v>45877.1875</v>
      </c>
      <c r="D585">
        <v>2</v>
      </c>
    </row>
    <row r="586" spans="1:4" x14ac:dyDescent="0.25">
      <c r="A586" t="s">
        <v>81</v>
      </c>
      <c r="B586" t="s">
        <v>19</v>
      </c>
      <c r="C586" s="1">
        <v>45871.5</v>
      </c>
      <c r="D586">
        <v>1</v>
      </c>
    </row>
    <row r="587" spans="1:4" x14ac:dyDescent="0.25">
      <c r="A587" t="s">
        <v>83</v>
      </c>
      <c r="B587" t="s">
        <v>19</v>
      </c>
      <c r="C587" s="1">
        <v>45871.0625</v>
      </c>
      <c r="D587">
        <v>7</v>
      </c>
    </row>
    <row r="588" spans="1:4" x14ac:dyDescent="0.25">
      <c r="A588" t="s">
        <v>15</v>
      </c>
      <c r="B588" t="s">
        <v>20</v>
      </c>
      <c r="C588" s="1">
        <v>45871.125</v>
      </c>
      <c r="D588">
        <v>1</v>
      </c>
    </row>
    <row r="589" spans="1:4" x14ac:dyDescent="0.25">
      <c r="A589" t="s">
        <v>23</v>
      </c>
      <c r="B589" t="s">
        <v>57</v>
      </c>
      <c r="C589" s="1">
        <v>45872.208333333336</v>
      </c>
      <c r="D589">
        <v>5</v>
      </c>
    </row>
    <row r="590" spans="1:4" x14ac:dyDescent="0.25">
      <c r="A590" t="s">
        <v>14</v>
      </c>
      <c r="B590" t="s">
        <v>8</v>
      </c>
      <c r="C590" s="1">
        <v>45868.583333333336</v>
      </c>
      <c r="D590">
        <v>2</v>
      </c>
    </row>
    <row r="591" spans="1:4" x14ac:dyDescent="0.25">
      <c r="A591" t="s">
        <v>7</v>
      </c>
      <c r="B591" t="s">
        <v>0</v>
      </c>
      <c r="C591" s="1">
        <v>45872.1875</v>
      </c>
      <c r="D591">
        <v>11</v>
      </c>
    </row>
    <row r="592" spans="1:4" x14ac:dyDescent="0.25">
      <c r="A592" t="s">
        <v>7</v>
      </c>
      <c r="B592" t="s">
        <v>57</v>
      </c>
      <c r="C592" s="1">
        <v>45871.729166666664</v>
      </c>
      <c r="D592">
        <v>99</v>
      </c>
    </row>
    <row r="593" spans="1:4" x14ac:dyDescent="0.25">
      <c r="A593" t="s">
        <v>9</v>
      </c>
      <c r="B593" t="s">
        <v>19</v>
      </c>
      <c r="C593" s="1">
        <v>45867.208333333336</v>
      </c>
      <c r="D593">
        <v>1</v>
      </c>
    </row>
    <row r="594" spans="1:4" x14ac:dyDescent="0.25">
      <c r="A594" t="s">
        <v>81</v>
      </c>
      <c r="B594" t="s">
        <v>8</v>
      </c>
      <c r="C594" s="1">
        <v>45873.947916666664</v>
      </c>
      <c r="D594">
        <v>3</v>
      </c>
    </row>
    <row r="595" spans="1:4" x14ac:dyDescent="0.25">
      <c r="A595" t="s">
        <v>11</v>
      </c>
      <c r="B595" t="s">
        <v>8</v>
      </c>
      <c r="C595" s="1">
        <v>45869.145833333336</v>
      </c>
      <c r="D595">
        <v>2</v>
      </c>
    </row>
    <row r="596" spans="1:4" x14ac:dyDescent="0.25">
      <c r="A596" t="s">
        <v>15</v>
      </c>
      <c r="B596" t="s">
        <v>19</v>
      </c>
      <c r="C596" s="1">
        <v>45866.541666666664</v>
      </c>
      <c r="D596">
        <v>1</v>
      </c>
    </row>
    <row r="597" spans="1:4" x14ac:dyDescent="0.25">
      <c r="A597" t="s">
        <v>23</v>
      </c>
      <c r="B597" t="s">
        <v>20</v>
      </c>
      <c r="C597" s="1">
        <v>45871.208333333336</v>
      </c>
      <c r="D597">
        <v>12</v>
      </c>
    </row>
    <row r="598" spans="1:4" x14ac:dyDescent="0.25">
      <c r="A598" t="s">
        <v>7</v>
      </c>
      <c r="B598" t="s">
        <v>1</v>
      </c>
      <c r="C598" s="1">
        <v>45877.583333333336</v>
      </c>
      <c r="D598">
        <v>10</v>
      </c>
    </row>
    <row r="599" spans="1:4" x14ac:dyDescent="0.25">
      <c r="A599" t="s">
        <v>83</v>
      </c>
      <c r="B599" t="s">
        <v>19</v>
      </c>
      <c r="C599" s="1">
        <v>45869.125</v>
      </c>
      <c r="D599">
        <v>15</v>
      </c>
    </row>
    <row r="600" spans="1:4" x14ac:dyDescent="0.25">
      <c r="A600" t="s">
        <v>7</v>
      </c>
      <c r="B600" t="s">
        <v>0</v>
      </c>
      <c r="C600" s="1">
        <v>45877.125</v>
      </c>
      <c r="D600">
        <v>3</v>
      </c>
    </row>
    <row r="601" spans="1:4" x14ac:dyDescent="0.25">
      <c r="A601" t="s">
        <v>81</v>
      </c>
      <c r="B601" t="s">
        <v>57</v>
      </c>
      <c r="C601" s="1">
        <v>45873.666666666664</v>
      </c>
      <c r="D601">
        <v>1</v>
      </c>
    </row>
    <row r="602" spans="1:4" x14ac:dyDescent="0.25">
      <c r="A602" t="s">
        <v>81</v>
      </c>
      <c r="B602" t="s">
        <v>20</v>
      </c>
      <c r="C602" s="1">
        <v>45872.208333333336</v>
      </c>
      <c r="D602">
        <v>14</v>
      </c>
    </row>
    <row r="603" spans="1:4" x14ac:dyDescent="0.25">
      <c r="A603" t="s">
        <v>81</v>
      </c>
      <c r="B603" t="s">
        <v>0</v>
      </c>
      <c r="C603" s="1">
        <v>45871.541666666664</v>
      </c>
      <c r="D603">
        <v>223</v>
      </c>
    </row>
    <row r="604" spans="1:4" x14ac:dyDescent="0.25">
      <c r="A604" t="s">
        <v>23</v>
      </c>
      <c r="B604" t="s">
        <v>8</v>
      </c>
      <c r="C604" s="1">
        <v>45875.083333333336</v>
      </c>
      <c r="D604">
        <v>7</v>
      </c>
    </row>
    <row r="605" spans="1:4" x14ac:dyDescent="0.25">
      <c r="A605" t="s">
        <v>88</v>
      </c>
      <c r="B605" t="s">
        <v>19</v>
      </c>
      <c r="C605" s="1">
        <v>45871.458333333336</v>
      </c>
      <c r="D605">
        <v>10</v>
      </c>
    </row>
    <row r="606" spans="1:4" x14ac:dyDescent="0.25">
      <c r="A606" t="s">
        <v>14</v>
      </c>
      <c r="B606" t="s">
        <v>53</v>
      </c>
      <c r="C606" s="1">
        <v>45875.458333333336</v>
      </c>
      <c r="D606">
        <v>6</v>
      </c>
    </row>
    <row r="607" spans="1:4" x14ac:dyDescent="0.25">
      <c r="A607" t="s">
        <v>81</v>
      </c>
      <c r="B607" t="s">
        <v>2</v>
      </c>
      <c r="C607" s="1">
        <v>45871.458333333336</v>
      </c>
      <c r="D607">
        <v>113</v>
      </c>
    </row>
    <row r="608" spans="1:4" x14ac:dyDescent="0.25">
      <c r="A608" t="s">
        <v>12</v>
      </c>
      <c r="B608" t="s">
        <v>40</v>
      </c>
      <c r="C608" s="1">
        <v>45816.458333333336</v>
      </c>
      <c r="D608">
        <v>1</v>
      </c>
    </row>
    <row r="609" spans="1:4" x14ac:dyDescent="0.25">
      <c r="A609" t="s">
        <v>14</v>
      </c>
      <c r="B609" t="s">
        <v>51</v>
      </c>
      <c r="C609" s="1">
        <v>45858.458333333336</v>
      </c>
      <c r="D609">
        <v>1</v>
      </c>
    </row>
    <row r="610" spans="1:4" x14ac:dyDescent="0.25">
      <c r="A610" t="s">
        <v>81</v>
      </c>
      <c r="B610" t="s">
        <v>8</v>
      </c>
      <c r="C610" s="1">
        <v>45873.145833333336</v>
      </c>
      <c r="D610">
        <v>34</v>
      </c>
    </row>
    <row r="611" spans="1:4" x14ac:dyDescent="0.25">
      <c r="A611" t="s">
        <v>11</v>
      </c>
      <c r="B611" t="s">
        <v>8</v>
      </c>
      <c r="C611" s="1">
        <v>45867.020833333336</v>
      </c>
      <c r="D611">
        <v>4</v>
      </c>
    </row>
    <row r="612" spans="1:4" x14ac:dyDescent="0.25">
      <c r="A612" t="s">
        <v>7</v>
      </c>
      <c r="B612" t="s">
        <v>8</v>
      </c>
      <c r="C612" s="1">
        <v>45873.166666666664</v>
      </c>
      <c r="D612">
        <v>10</v>
      </c>
    </row>
    <row r="613" spans="1:4" x14ac:dyDescent="0.25">
      <c r="A613" t="s">
        <v>77</v>
      </c>
      <c r="B613" t="s">
        <v>19</v>
      </c>
      <c r="C613" s="1">
        <v>45871.541666666664</v>
      </c>
      <c r="D613">
        <v>47</v>
      </c>
    </row>
    <row r="614" spans="1:4" x14ac:dyDescent="0.25">
      <c r="A614" t="s">
        <v>15</v>
      </c>
      <c r="B614" t="s">
        <v>2</v>
      </c>
      <c r="C614" s="1">
        <v>45871.125</v>
      </c>
      <c r="D614">
        <v>3</v>
      </c>
    </row>
    <row r="615" spans="1:4" x14ac:dyDescent="0.25">
      <c r="A615" t="s">
        <v>7</v>
      </c>
      <c r="B615" t="s">
        <v>2</v>
      </c>
      <c r="C615" s="1">
        <v>45872.145833333336</v>
      </c>
      <c r="D615">
        <v>73</v>
      </c>
    </row>
    <row r="616" spans="1:4" x14ac:dyDescent="0.25">
      <c r="A616" t="s">
        <v>88</v>
      </c>
      <c r="B616" t="s">
        <v>8</v>
      </c>
      <c r="C616" s="1">
        <v>45871.458333333336</v>
      </c>
      <c r="D616">
        <v>11</v>
      </c>
    </row>
    <row r="617" spans="1:4" x14ac:dyDescent="0.25">
      <c r="A617" t="s">
        <v>88</v>
      </c>
      <c r="B617" t="s">
        <v>1</v>
      </c>
      <c r="C617" s="1">
        <v>45871.885416666664</v>
      </c>
      <c r="D617">
        <v>3</v>
      </c>
    </row>
    <row r="618" spans="1:4" x14ac:dyDescent="0.25">
      <c r="A618" t="s">
        <v>81</v>
      </c>
      <c r="B618" t="s">
        <v>2</v>
      </c>
      <c r="C618" s="1">
        <v>45874.166666666664</v>
      </c>
      <c r="D618">
        <v>1</v>
      </c>
    </row>
    <row r="619" spans="1:4" x14ac:dyDescent="0.25">
      <c r="A619" t="s">
        <v>81</v>
      </c>
      <c r="B619" t="s">
        <v>2</v>
      </c>
      <c r="C619" s="1">
        <v>45873.583333333336</v>
      </c>
      <c r="D619">
        <v>61</v>
      </c>
    </row>
    <row r="620" spans="1:4" x14ac:dyDescent="0.25">
      <c r="A620" t="s">
        <v>23</v>
      </c>
      <c r="B620" t="s">
        <v>2</v>
      </c>
      <c r="C620" s="1">
        <v>45881.885416666664</v>
      </c>
      <c r="D620">
        <v>1</v>
      </c>
    </row>
    <row r="621" spans="1:4" x14ac:dyDescent="0.25">
      <c r="A621" t="s">
        <v>12</v>
      </c>
      <c r="B621" t="s">
        <v>0</v>
      </c>
      <c r="C621" s="1">
        <v>45871.125</v>
      </c>
      <c r="D621">
        <v>105</v>
      </c>
    </row>
    <row r="622" spans="1:4" x14ac:dyDescent="0.25">
      <c r="A622" t="s">
        <v>10</v>
      </c>
      <c r="B622" t="s">
        <v>20</v>
      </c>
      <c r="C622" s="1">
        <v>45871.020833333336</v>
      </c>
      <c r="D622">
        <v>3</v>
      </c>
    </row>
    <row r="623" spans="1:4" x14ac:dyDescent="0.25">
      <c r="A623" t="s">
        <v>7</v>
      </c>
      <c r="B623" t="s">
        <v>2</v>
      </c>
      <c r="C623" s="1">
        <v>45872.729166666664</v>
      </c>
      <c r="D623">
        <v>39</v>
      </c>
    </row>
    <row r="624" spans="1:4" x14ac:dyDescent="0.25">
      <c r="A624" t="s">
        <v>77</v>
      </c>
      <c r="B624" t="s">
        <v>8</v>
      </c>
      <c r="C624" s="1">
        <v>45871.5</v>
      </c>
      <c r="D624">
        <v>6</v>
      </c>
    </row>
    <row r="625" spans="1:4" x14ac:dyDescent="0.25">
      <c r="A625" t="s">
        <v>7</v>
      </c>
      <c r="B625" t="s">
        <v>19</v>
      </c>
      <c r="C625" s="1">
        <v>45876.75</v>
      </c>
      <c r="D625">
        <v>35</v>
      </c>
    </row>
    <row r="626" spans="1:4" x14ac:dyDescent="0.25">
      <c r="A626" t="s">
        <v>77</v>
      </c>
      <c r="B626" t="s">
        <v>2</v>
      </c>
      <c r="C626" s="1">
        <v>45873.583333333336</v>
      </c>
      <c r="D626">
        <v>4</v>
      </c>
    </row>
    <row r="627" spans="1:4" x14ac:dyDescent="0.25">
      <c r="A627" t="s">
        <v>7</v>
      </c>
      <c r="B627" t="s">
        <v>8</v>
      </c>
      <c r="C627" s="1">
        <v>45872.1875</v>
      </c>
      <c r="D627">
        <v>118</v>
      </c>
    </row>
    <row r="628" spans="1:4" x14ac:dyDescent="0.25">
      <c r="A628" t="s">
        <v>81</v>
      </c>
      <c r="B628" t="s">
        <v>0</v>
      </c>
      <c r="C628" s="1">
        <v>45871.5</v>
      </c>
      <c r="D628">
        <v>3</v>
      </c>
    </row>
    <row r="629" spans="1:4" x14ac:dyDescent="0.25">
      <c r="A629" t="s">
        <v>7</v>
      </c>
      <c r="B629" t="s">
        <v>2</v>
      </c>
      <c r="C629" s="1">
        <v>45874.947916666664</v>
      </c>
      <c r="D629">
        <v>2</v>
      </c>
    </row>
    <row r="630" spans="1:4" x14ac:dyDescent="0.25">
      <c r="A630" t="s">
        <v>23</v>
      </c>
      <c r="B630" t="s">
        <v>2</v>
      </c>
      <c r="C630" s="1">
        <v>45876.729166666664</v>
      </c>
      <c r="D630">
        <v>4</v>
      </c>
    </row>
    <row r="631" spans="1:4" x14ac:dyDescent="0.25">
      <c r="A631" t="s">
        <v>15</v>
      </c>
      <c r="B631" t="s">
        <v>19</v>
      </c>
      <c r="C631" s="1">
        <v>45871.1875</v>
      </c>
      <c r="D631">
        <v>12</v>
      </c>
    </row>
    <row r="632" spans="1:4" x14ac:dyDescent="0.25">
      <c r="A632" t="s">
        <v>7</v>
      </c>
      <c r="B632" t="s">
        <v>19</v>
      </c>
      <c r="C632" s="1">
        <v>45872.166666666664</v>
      </c>
      <c r="D632">
        <v>58</v>
      </c>
    </row>
    <row r="633" spans="1:4" x14ac:dyDescent="0.25">
      <c r="A633" t="s">
        <v>81</v>
      </c>
      <c r="B633" t="s">
        <v>20</v>
      </c>
      <c r="C633" s="1">
        <v>45876.75</v>
      </c>
      <c r="D633">
        <v>1</v>
      </c>
    </row>
    <row r="634" spans="1:4" x14ac:dyDescent="0.25">
      <c r="A634" t="s">
        <v>7</v>
      </c>
      <c r="B634" t="s">
        <v>8</v>
      </c>
      <c r="C634" s="1">
        <v>45881.885416666664</v>
      </c>
      <c r="D634">
        <v>8</v>
      </c>
    </row>
    <row r="635" spans="1:4" x14ac:dyDescent="0.25">
      <c r="A635" t="s">
        <v>7</v>
      </c>
      <c r="B635" t="s">
        <v>57</v>
      </c>
      <c r="C635" s="1">
        <v>45871.5</v>
      </c>
      <c r="D635">
        <v>1</v>
      </c>
    </row>
    <row r="636" spans="1:4" x14ac:dyDescent="0.25">
      <c r="A636" t="s">
        <v>81</v>
      </c>
      <c r="B636" t="s">
        <v>8</v>
      </c>
      <c r="C636" s="1">
        <v>45873.75</v>
      </c>
      <c r="D636">
        <v>2</v>
      </c>
    </row>
    <row r="637" spans="1:4" x14ac:dyDescent="0.25">
      <c r="A637" t="s">
        <v>7</v>
      </c>
      <c r="B637" t="s">
        <v>1</v>
      </c>
      <c r="C637" s="1">
        <v>45873.125</v>
      </c>
      <c r="D637">
        <v>43</v>
      </c>
    </row>
    <row r="638" spans="1:4" x14ac:dyDescent="0.25">
      <c r="A638" t="s">
        <v>9</v>
      </c>
      <c r="B638" t="s">
        <v>19</v>
      </c>
      <c r="C638" s="1">
        <v>45873.583333333336</v>
      </c>
      <c r="D638">
        <v>1</v>
      </c>
    </row>
    <row r="639" spans="1:4" x14ac:dyDescent="0.25">
      <c r="A639" t="s">
        <v>7</v>
      </c>
      <c r="B639" t="s">
        <v>0</v>
      </c>
      <c r="C639" s="1">
        <v>45872.666666666664</v>
      </c>
      <c r="D639">
        <v>12</v>
      </c>
    </row>
    <row r="640" spans="1:4" x14ac:dyDescent="0.25">
      <c r="A640" t="s">
        <v>11</v>
      </c>
      <c r="B640" t="s">
        <v>8</v>
      </c>
      <c r="C640" s="1">
        <v>45866.916666666664</v>
      </c>
      <c r="D640">
        <v>6</v>
      </c>
    </row>
    <row r="641" spans="1:4" x14ac:dyDescent="0.25">
      <c r="A641" t="s">
        <v>7</v>
      </c>
      <c r="B641" t="s">
        <v>40</v>
      </c>
      <c r="C641" s="1">
        <v>45874.458333333336</v>
      </c>
      <c r="D641">
        <v>7</v>
      </c>
    </row>
    <row r="642" spans="1:4" x14ac:dyDescent="0.25">
      <c r="A642" t="s">
        <v>9</v>
      </c>
      <c r="B642" t="s">
        <v>2</v>
      </c>
      <c r="C642" s="1">
        <v>45871.208333333336</v>
      </c>
      <c r="D642">
        <v>29</v>
      </c>
    </row>
    <row r="643" spans="1:4" x14ac:dyDescent="0.25">
      <c r="A643" t="s">
        <v>7</v>
      </c>
      <c r="B643" t="s">
        <v>19</v>
      </c>
      <c r="C643" s="1">
        <v>45876.729166666664</v>
      </c>
      <c r="D643">
        <v>26</v>
      </c>
    </row>
    <row r="644" spans="1:4" x14ac:dyDescent="0.25">
      <c r="A644" t="s">
        <v>10</v>
      </c>
      <c r="B644" t="s">
        <v>41</v>
      </c>
      <c r="C644" s="1">
        <v>45863.458333333336</v>
      </c>
      <c r="D644">
        <v>5</v>
      </c>
    </row>
    <row r="645" spans="1:4" x14ac:dyDescent="0.25">
      <c r="A645" t="s">
        <v>11</v>
      </c>
      <c r="B645" t="s">
        <v>19</v>
      </c>
      <c r="C645" s="1">
        <v>45871.458333333336</v>
      </c>
      <c r="D645">
        <v>2</v>
      </c>
    </row>
    <row r="646" spans="1:4" x14ac:dyDescent="0.25">
      <c r="A646" t="s">
        <v>7</v>
      </c>
      <c r="B646" t="s">
        <v>2</v>
      </c>
      <c r="C646" s="1">
        <v>45872.541666666664</v>
      </c>
      <c r="D646">
        <v>15</v>
      </c>
    </row>
    <row r="647" spans="1:4" x14ac:dyDescent="0.25">
      <c r="A647" t="s">
        <v>10</v>
      </c>
      <c r="B647" t="s">
        <v>40</v>
      </c>
      <c r="C647" s="1">
        <v>45883.458333333336</v>
      </c>
      <c r="D647">
        <v>347</v>
      </c>
    </row>
    <row r="648" spans="1:4" x14ac:dyDescent="0.25">
      <c r="A648" t="s">
        <v>23</v>
      </c>
      <c r="B648" t="s">
        <v>2</v>
      </c>
      <c r="C648" s="1">
        <v>45872.1875</v>
      </c>
      <c r="D648">
        <v>2</v>
      </c>
    </row>
    <row r="649" spans="1:4" x14ac:dyDescent="0.25">
      <c r="A649" t="s">
        <v>7</v>
      </c>
      <c r="B649" t="s">
        <v>8</v>
      </c>
      <c r="C649" s="1">
        <v>45874.916666666664</v>
      </c>
      <c r="D649">
        <v>14</v>
      </c>
    </row>
    <row r="650" spans="1:4" x14ac:dyDescent="0.25">
      <c r="A650" t="s">
        <v>87</v>
      </c>
      <c r="B650" t="s">
        <v>40</v>
      </c>
      <c r="C650" s="1">
        <v>45871.458333333336</v>
      </c>
      <c r="D650">
        <v>1</v>
      </c>
    </row>
    <row r="651" spans="1:4" x14ac:dyDescent="0.25">
      <c r="A651" t="s">
        <v>81</v>
      </c>
      <c r="B651" t="s">
        <v>1</v>
      </c>
      <c r="C651" s="1">
        <v>45871.947916666664</v>
      </c>
      <c r="D651">
        <v>6</v>
      </c>
    </row>
    <row r="652" spans="1:4" x14ac:dyDescent="0.25">
      <c r="A652" t="s">
        <v>10</v>
      </c>
      <c r="B652" t="s">
        <v>40</v>
      </c>
      <c r="C652" s="1">
        <v>45867.458333333336</v>
      </c>
      <c r="D652">
        <v>7</v>
      </c>
    </row>
    <row r="653" spans="1:4" x14ac:dyDescent="0.25">
      <c r="A653" t="s">
        <v>10</v>
      </c>
      <c r="B653" t="s">
        <v>19</v>
      </c>
      <c r="C653" s="1">
        <v>45869.041666666664</v>
      </c>
      <c r="D653">
        <v>1</v>
      </c>
    </row>
    <row r="654" spans="1:4" x14ac:dyDescent="0.25">
      <c r="A654" t="s">
        <v>15</v>
      </c>
      <c r="B654" t="s">
        <v>57</v>
      </c>
      <c r="C654" s="1">
        <v>45871.125</v>
      </c>
      <c r="D654">
        <v>4</v>
      </c>
    </row>
    <row r="655" spans="1:4" x14ac:dyDescent="0.25">
      <c r="A655" t="s">
        <v>7</v>
      </c>
      <c r="B655" t="s">
        <v>20</v>
      </c>
      <c r="C655" s="1">
        <v>45871.729166666664</v>
      </c>
      <c r="D655">
        <v>70</v>
      </c>
    </row>
    <row r="656" spans="1:4" x14ac:dyDescent="0.25">
      <c r="A656" t="s">
        <v>23</v>
      </c>
      <c r="B656" t="s">
        <v>1</v>
      </c>
      <c r="C656" s="1">
        <v>45873.166666666664</v>
      </c>
      <c r="D656">
        <v>1</v>
      </c>
    </row>
    <row r="657" spans="1:4" x14ac:dyDescent="0.25">
      <c r="A657" t="s">
        <v>23</v>
      </c>
      <c r="B657" t="s">
        <v>0</v>
      </c>
      <c r="C657" s="1">
        <v>45872.729166666664</v>
      </c>
      <c r="D657">
        <v>12</v>
      </c>
    </row>
    <row r="658" spans="1:4" x14ac:dyDescent="0.25">
      <c r="A658" t="s">
        <v>9</v>
      </c>
      <c r="B658" t="s">
        <v>19</v>
      </c>
      <c r="C658" s="1">
        <v>45867.885416666664</v>
      </c>
      <c r="D658">
        <v>1</v>
      </c>
    </row>
    <row r="659" spans="1:4" x14ac:dyDescent="0.25">
      <c r="A659" t="s">
        <v>11</v>
      </c>
      <c r="B659" t="s">
        <v>8</v>
      </c>
      <c r="C659" s="1">
        <v>45867.5</v>
      </c>
      <c r="D659">
        <v>17</v>
      </c>
    </row>
    <row r="660" spans="1:4" x14ac:dyDescent="0.25">
      <c r="A660" t="s">
        <v>7</v>
      </c>
      <c r="B660" t="s">
        <v>1</v>
      </c>
      <c r="C660" s="1">
        <v>45872.541666666664</v>
      </c>
      <c r="D660">
        <v>18</v>
      </c>
    </row>
    <row r="661" spans="1:4" x14ac:dyDescent="0.25">
      <c r="A661" t="s">
        <v>10</v>
      </c>
      <c r="B661" t="s">
        <v>53</v>
      </c>
      <c r="C661" s="1">
        <v>45870.458333333336</v>
      </c>
      <c r="D661">
        <v>112</v>
      </c>
    </row>
    <row r="662" spans="1:4" x14ac:dyDescent="0.25">
      <c r="A662" t="s">
        <v>7</v>
      </c>
      <c r="B662" t="s">
        <v>20</v>
      </c>
      <c r="C662" s="1">
        <v>45875.583333333336</v>
      </c>
      <c r="D662">
        <v>2</v>
      </c>
    </row>
    <row r="663" spans="1:4" x14ac:dyDescent="0.25">
      <c r="A663" t="s">
        <v>23</v>
      </c>
      <c r="B663" t="s">
        <v>2</v>
      </c>
      <c r="C663" s="1">
        <v>45873.166666666664</v>
      </c>
      <c r="D663">
        <v>4</v>
      </c>
    </row>
    <row r="664" spans="1:4" x14ac:dyDescent="0.25">
      <c r="A664" t="s">
        <v>7</v>
      </c>
      <c r="B664" t="s">
        <v>8</v>
      </c>
      <c r="C664" s="1">
        <v>45876.625</v>
      </c>
      <c r="D664">
        <v>2</v>
      </c>
    </row>
    <row r="665" spans="1:4" x14ac:dyDescent="0.25">
      <c r="A665" t="s">
        <v>14</v>
      </c>
      <c r="B665" t="s">
        <v>41</v>
      </c>
      <c r="C665" s="1">
        <v>45875.458333333336</v>
      </c>
      <c r="D665">
        <v>2</v>
      </c>
    </row>
    <row r="666" spans="1:4" x14ac:dyDescent="0.25">
      <c r="A666" t="s">
        <v>81</v>
      </c>
      <c r="B666" t="s">
        <v>57</v>
      </c>
      <c r="C666" s="1">
        <v>45873.166666666664</v>
      </c>
      <c r="D666">
        <v>1</v>
      </c>
    </row>
    <row r="667" spans="1:4" x14ac:dyDescent="0.25">
      <c r="A667" t="s">
        <v>15</v>
      </c>
      <c r="B667" t="s">
        <v>2</v>
      </c>
      <c r="C667" s="1">
        <v>45871.145833333336</v>
      </c>
      <c r="D667">
        <v>29</v>
      </c>
    </row>
    <row r="668" spans="1:4" x14ac:dyDescent="0.25">
      <c r="A668" t="s">
        <v>23</v>
      </c>
      <c r="B668" t="s">
        <v>20</v>
      </c>
      <c r="C668" s="1">
        <v>45871.083333333336</v>
      </c>
      <c r="D668">
        <v>8</v>
      </c>
    </row>
    <row r="669" spans="1:4" x14ac:dyDescent="0.25">
      <c r="A669" t="s">
        <v>9</v>
      </c>
      <c r="B669" t="s">
        <v>40</v>
      </c>
      <c r="C669" s="1">
        <v>45883.458333333336</v>
      </c>
      <c r="D669">
        <v>347</v>
      </c>
    </row>
    <row r="670" spans="1:4" x14ac:dyDescent="0.25">
      <c r="A670" t="s">
        <v>9</v>
      </c>
      <c r="B670" t="s">
        <v>41</v>
      </c>
      <c r="C670" s="1">
        <v>45855.458333333336</v>
      </c>
      <c r="D670">
        <v>3</v>
      </c>
    </row>
    <row r="671" spans="1:4" x14ac:dyDescent="0.25">
      <c r="A671" t="s">
        <v>9</v>
      </c>
      <c r="B671" t="s">
        <v>19</v>
      </c>
      <c r="C671" s="1">
        <v>45869.041666666664</v>
      </c>
      <c r="D671">
        <v>1</v>
      </c>
    </row>
    <row r="672" spans="1:4" x14ac:dyDescent="0.25">
      <c r="A672" t="s">
        <v>12</v>
      </c>
      <c r="B672" t="s">
        <v>8</v>
      </c>
      <c r="C672" s="1">
        <v>45871.145833333336</v>
      </c>
      <c r="D672">
        <v>197</v>
      </c>
    </row>
    <row r="673" spans="1:4" x14ac:dyDescent="0.25">
      <c r="A673" t="s">
        <v>9</v>
      </c>
      <c r="B673" t="s">
        <v>40</v>
      </c>
      <c r="C673" s="1">
        <v>45867.458333333336</v>
      </c>
      <c r="D673">
        <v>7</v>
      </c>
    </row>
    <row r="674" spans="1:4" x14ac:dyDescent="0.25">
      <c r="A674" t="s">
        <v>15</v>
      </c>
      <c r="B674" t="s">
        <v>0</v>
      </c>
      <c r="C674" s="1">
        <v>45871.083333333336</v>
      </c>
      <c r="D674">
        <v>2</v>
      </c>
    </row>
    <row r="675" spans="1:4" x14ac:dyDescent="0.25">
      <c r="A675" t="s">
        <v>81</v>
      </c>
      <c r="B675" t="s">
        <v>2</v>
      </c>
      <c r="C675" s="1">
        <v>45873.1875</v>
      </c>
      <c r="D675">
        <v>12</v>
      </c>
    </row>
    <row r="676" spans="1:4" x14ac:dyDescent="0.25">
      <c r="A676" t="s">
        <v>12</v>
      </c>
      <c r="B676" t="s">
        <v>19</v>
      </c>
      <c r="C676" s="1">
        <v>45871.625</v>
      </c>
      <c r="D676">
        <v>1</v>
      </c>
    </row>
    <row r="677" spans="1:4" x14ac:dyDescent="0.25">
      <c r="A677" t="s">
        <v>7</v>
      </c>
      <c r="B677" t="s">
        <v>8</v>
      </c>
      <c r="C677" s="1">
        <v>45872.083333333336</v>
      </c>
      <c r="D677">
        <v>360</v>
      </c>
    </row>
    <row r="678" spans="1:4" x14ac:dyDescent="0.25">
      <c r="A678" t="s">
        <v>23</v>
      </c>
      <c r="B678" t="s">
        <v>2</v>
      </c>
      <c r="C678" s="1">
        <v>45876.625</v>
      </c>
      <c r="D678">
        <v>1</v>
      </c>
    </row>
    <row r="679" spans="1:4" x14ac:dyDescent="0.25">
      <c r="A679" t="s">
        <v>7</v>
      </c>
      <c r="B679" t="s">
        <v>57</v>
      </c>
      <c r="C679" s="1">
        <v>45871.541666666664</v>
      </c>
      <c r="D679">
        <v>185</v>
      </c>
    </row>
    <row r="680" spans="1:4" x14ac:dyDescent="0.25">
      <c r="A680" t="s">
        <v>7</v>
      </c>
      <c r="B680" t="s">
        <v>8</v>
      </c>
      <c r="C680" s="1">
        <v>45868.145833333336</v>
      </c>
      <c r="D680">
        <v>1</v>
      </c>
    </row>
    <row r="681" spans="1:4" x14ac:dyDescent="0.25">
      <c r="A681" t="s">
        <v>77</v>
      </c>
      <c r="B681" t="s">
        <v>1</v>
      </c>
      <c r="C681" s="1">
        <v>45873.583333333336</v>
      </c>
      <c r="D681">
        <v>5</v>
      </c>
    </row>
    <row r="682" spans="1:4" x14ac:dyDescent="0.25">
      <c r="A682" t="s">
        <v>77</v>
      </c>
      <c r="B682" t="s">
        <v>20</v>
      </c>
      <c r="C682" s="1">
        <v>45872.083333333336</v>
      </c>
      <c r="D682">
        <v>2</v>
      </c>
    </row>
    <row r="683" spans="1:4" x14ac:dyDescent="0.25">
      <c r="A683" t="s">
        <v>7</v>
      </c>
      <c r="B683" t="s">
        <v>20</v>
      </c>
      <c r="C683" s="1">
        <v>45871.145833333336</v>
      </c>
      <c r="D683">
        <v>233</v>
      </c>
    </row>
    <row r="684" spans="1:4" x14ac:dyDescent="0.25">
      <c r="A684" t="s">
        <v>9</v>
      </c>
      <c r="B684" t="s">
        <v>41</v>
      </c>
      <c r="C684" s="1">
        <v>45871.458333333336</v>
      </c>
      <c r="D684">
        <v>5</v>
      </c>
    </row>
    <row r="685" spans="1:4" x14ac:dyDescent="0.25">
      <c r="A685" t="s">
        <v>7</v>
      </c>
      <c r="B685" t="s">
        <v>57</v>
      </c>
      <c r="C685" s="1">
        <v>45871.604166666664</v>
      </c>
      <c r="D685">
        <v>159</v>
      </c>
    </row>
    <row r="686" spans="1:4" x14ac:dyDescent="0.25">
      <c r="A686" t="s">
        <v>9</v>
      </c>
      <c r="B686" t="s">
        <v>51</v>
      </c>
      <c r="C686" s="1">
        <v>45863.458333333336</v>
      </c>
      <c r="D686">
        <v>7</v>
      </c>
    </row>
    <row r="687" spans="1:4" x14ac:dyDescent="0.25">
      <c r="A687" t="s">
        <v>7</v>
      </c>
      <c r="B687" t="s">
        <v>8</v>
      </c>
      <c r="C687" s="1">
        <v>45872.666666666664</v>
      </c>
      <c r="D687">
        <v>85</v>
      </c>
    </row>
    <row r="688" spans="1:4" x14ac:dyDescent="0.25">
      <c r="A688" t="s">
        <v>81</v>
      </c>
      <c r="B688" t="s">
        <v>20</v>
      </c>
      <c r="C688" s="1">
        <v>45872.1875</v>
      </c>
      <c r="D688">
        <v>7</v>
      </c>
    </row>
    <row r="689" spans="1:4" x14ac:dyDescent="0.25">
      <c r="A689" t="s">
        <v>77</v>
      </c>
      <c r="B689" t="s">
        <v>1</v>
      </c>
      <c r="C689" s="1">
        <v>45871.947916666664</v>
      </c>
      <c r="D689">
        <v>3</v>
      </c>
    </row>
    <row r="690" spans="1:4" x14ac:dyDescent="0.25">
      <c r="A690" t="s">
        <v>7</v>
      </c>
      <c r="B690" t="s">
        <v>1</v>
      </c>
      <c r="C690" s="1">
        <v>45873.145833333336</v>
      </c>
      <c r="D690">
        <v>28</v>
      </c>
    </row>
    <row r="691" spans="1:4" x14ac:dyDescent="0.25">
      <c r="A691" t="s">
        <v>15</v>
      </c>
      <c r="B691" t="s">
        <v>8</v>
      </c>
      <c r="C691" s="1">
        <v>45871.1875</v>
      </c>
      <c r="D691">
        <v>8</v>
      </c>
    </row>
    <row r="692" spans="1:4" x14ac:dyDescent="0.25">
      <c r="A692" t="s">
        <v>12</v>
      </c>
      <c r="B692" t="s">
        <v>19</v>
      </c>
      <c r="C692" s="1">
        <v>45871.145833333336</v>
      </c>
      <c r="D692">
        <v>157</v>
      </c>
    </row>
    <row r="693" spans="1:4" x14ac:dyDescent="0.25">
      <c r="A693" t="s">
        <v>7</v>
      </c>
      <c r="B693" t="s">
        <v>19</v>
      </c>
      <c r="C693" s="1">
        <v>45872.1875</v>
      </c>
      <c r="D693">
        <v>103</v>
      </c>
    </row>
    <row r="694" spans="1:4" x14ac:dyDescent="0.25">
      <c r="A694" t="s">
        <v>12</v>
      </c>
      <c r="B694" t="s">
        <v>8</v>
      </c>
      <c r="C694" s="1">
        <v>45871.625</v>
      </c>
      <c r="D694">
        <v>5</v>
      </c>
    </row>
    <row r="695" spans="1:4" x14ac:dyDescent="0.25">
      <c r="A695" t="s">
        <v>81</v>
      </c>
      <c r="B695" t="s">
        <v>2</v>
      </c>
      <c r="C695" s="1">
        <v>45873.666666666664</v>
      </c>
      <c r="D695">
        <v>10</v>
      </c>
    </row>
    <row r="696" spans="1:4" x14ac:dyDescent="0.25">
      <c r="A696" t="s">
        <v>7</v>
      </c>
      <c r="B696" t="s">
        <v>57</v>
      </c>
      <c r="C696" s="1">
        <v>45872.125</v>
      </c>
      <c r="D696">
        <v>55</v>
      </c>
    </row>
    <row r="697" spans="1:4" x14ac:dyDescent="0.25">
      <c r="A697" t="s">
        <v>81</v>
      </c>
      <c r="B697" t="s">
        <v>2</v>
      </c>
      <c r="C697" s="1">
        <v>45873.083333333336</v>
      </c>
      <c r="D697">
        <v>8</v>
      </c>
    </row>
    <row r="698" spans="1:4" x14ac:dyDescent="0.25">
      <c r="A698" t="s">
        <v>7</v>
      </c>
      <c r="B698" t="s">
        <v>8</v>
      </c>
      <c r="C698" s="1">
        <v>45876.729166666664</v>
      </c>
      <c r="D698">
        <v>49</v>
      </c>
    </row>
    <row r="699" spans="1:4" x14ac:dyDescent="0.25">
      <c r="A699" t="s">
        <v>77</v>
      </c>
      <c r="B699" t="s">
        <v>8</v>
      </c>
      <c r="C699" s="1">
        <v>45868.583333333336</v>
      </c>
      <c r="D699">
        <v>18</v>
      </c>
    </row>
    <row r="700" spans="1:4" x14ac:dyDescent="0.25">
      <c r="A700" t="s">
        <v>7</v>
      </c>
      <c r="B700" t="s">
        <v>0</v>
      </c>
      <c r="C700" s="1">
        <v>45872.083333333336</v>
      </c>
      <c r="D700">
        <v>122</v>
      </c>
    </row>
    <row r="701" spans="1:4" x14ac:dyDescent="0.25">
      <c r="A701" t="s">
        <v>7</v>
      </c>
      <c r="B701" t="s">
        <v>20</v>
      </c>
      <c r="C701" s="1">
        <v>45871.625</v>
      </c>
      <c r="D701">
        <v>118</v>
      </c>
    </row>
    <row r="702" spans="1:4" x14ac:dyDescent="0.25">
      <c r="A702" t="s">
        <v>7</v>
      </c>
      <c r="B702" t="s">
        <v>2</v>
      </c>
      <c r="C702" s="1">
        <v>45876.583333333336</v>
      </c>
      <c r="D702">
        <v>11</v>
      </c>
    </row>
    <row r="703" spans="1:4" x14ac:dyDescent="0.25">
      <c r="A703" t="s">
        <v>15</v>
      </c>
      <c r="B703" t="s">
        <v>1</v>
      </c>
      <c r="C703" s="1">
        <v>45871.541666666664</v>
      </c>
      <c r="D703">
        <v>1</v>
      </c>
    </row>
    <row r="704" spans="1:4" x14ac:dyDescent="0.25">
      <c r="A704" t="s">
        <v>23</v>
      </c>
      <c r="B704" t="s">
        <v>57</v>
      </c>
      <c r="C704" s="1">
        <v>45872.166666666664</v>
      </c>
      <c r="D704">
        <v>2</v>
      </c>
    </row>
    <row r="705" spans="1:4" x14ac:dyDescent="0.25">
      <c r="A705" t="s">
        <v>83</v>
      </c>
      <c r="B705" t="s">
        <v>19</v>
      </c>
      <c r="C705" s="1">
        <v>45871.458333333336</v>
      </c>
      <c r="D705">
        <v>1</v>
      </c>
    </row>
    <row r="706" spans="1:4" x14ac:dyDescent="0.25">
      <c r="A706" t="s">
        <v>81</v>
      </c>
      <c r="B706" t="s">
        <v>19</v>
      </c>
      <c r="C706" s="1">
        <v>45873.75</v>
      </c>
      <c r="D706">
        <v>6</v>
      </c>
    </row>
    <row r="707" spans="1:4" x14ac:dyDescent="0.25">
      <c r="A707" t="s">
        <v>13</v>
      </c>
      <c r="B707" t="s">
        <v>80</v>
      </c>
      <c r="C707" s="1">
        <v>45880.458333333336</v>
      </c>
      <c r="D707">
        <v>12</v>
      </c>
    </row>
    <row r="708" spans="1:4" x14ac:dyDescent="0.25">
      <c r="A708" t="s">
        <v>12</v>
      </c>
      <c r="B708" t="s">
        <v>2</v>
      </c>
      <c r="C708" s="1">
        <v>45871.0625</v>
      </c>
      <c r="D708">
        <v>1</v>
      </c>
    </row>
    <row r="709" spans="1:4" x14ac:dyDescent="0.25">
      <c r="A709" t="s">
        <v>23</v>
      </c>
      <c r="B709" t="s">
        <v>8</v>
      </c>
      <c r="C709" s="1">
        <v>45877.885416666664</v>
      </c>
      <c r="D709">
        <v>12</v>
      </c>
    </row>
    <row r="710" spans="1:4" x14ac:dyDescent="0.25">
      <c r="A710" t="s">
        <v>23</v>
      </c>
      <c r="B710" t="s">
        <v>0</v>
      </c>
      <c r="C710" s="1">
        <v>45872.125</v>
      </c>
      <c r="D710">
        <v>62</v>
      </c>
    </row>
    <row r="711" spans="1:4" x14ac:dyDescent="0.25">
      <c r="A711" t="s">
        <v>23</v>
      </c>
      <c r="B711" t="s">
        <v>19</v>
      </c>
      <c r="C711" s="1">
        <v>45876.885416666664</v>
      </c>
      <c r="D711">
        <v>29</v>
      </c>
    </row>
    <row r="712" spans="1:4" x14ac:dyDescent="0.25">
      <c r="A712" t="s">
        <v>7</v>
      </c>
      <c r="B712" t="s">
        <v>57</v>
      </c>
      <c r="C712" s="1">
        <v>45874.583333333336</v>
      </c>
      <c r="D712">
        <v>2</v>
      </c>
    </row>
    <row r="713" spans="1:4" x14ac:dyDescent="0.25">
      <c r="A713" t="s">
        <v>10</v>
      </c>
      <c r="B713" t="s">
        <v>294</v>
      </c>
      <c r="C713" s="1">
        <v>45871.458333333336</v>
      </c>
      <c r="D713">
        <v>6</v>
      </c>
    </row>
    <row r="714" spans="1:4" x14ac:dyDescent="0.25">
      <c r="A714" t="s">
        <v>7</v>
      </c>
      <c r="B714" t="s">
        <v>19</v>
      </c>
      <c r="C714" s="1">
        <v>45871.958333333336</v>
      </c>
      <c r="D714">
        <v>38</v>
      </c>
    </row>
    <row r="715" spans="1:4" x14ac:dyDescent="0.25">
      <c r="A715" t="s">
        <v>9</v>
      </c>
      <c r="B715" t="s">
        <v>92</v>
      </c>
      <c r="C715" s="1">
        <v>45868.458333333336</v>
      </c>
      <c r="D715">
        <v>7</v>
      </c>
    </row>
    <row r="716" spans="1:4" x14ac:dyDescent="0.25">
      <c r="A716" t="s">
        <v>23</v>
      </c>
      <c r="B716" t="s">
        <v>8</v>
      </c>
      <c r="C716" s="1">
        <v>45873.1875</v>
      </c>
      <c r="D716">
        <v>5</v>
      </c>
    </row>
    <row r="717" spans="1:4" x14ac:dyDescent="0.25">
      <c r="A717" t="s">
        <v>23</v>
      </c>
      <c r="B717" t="s">
        <v>0</v>
      </c>
      <c r="C717" s="1">
        <v>45875.666666666664</v>
      </c>
      <c r="D717">
        <v>1</v>
      </c>
    </row>
    <row r="718" spans="1:4" x14ac:dyDescent="0.25">
      <c r="A718" t="s">
        <v>12</v>
      </c>
      <c r="B718" t="s">
        <v>1</v>
      </c>
      <c r="C718" s="1">
        <v>45871.166666666664</v>
      </c>
      <c r="D718">
        <v>8</v>
      </c>
    </row>
    <row r="719" spans="1:4" x14ac:dyDescent="0.25">
      <c r="A719" t="s">
        <v>12</v>
      </c>
      <c r="B719" t="s">
        <v>2</v>
      </c>
      <c r="C719" s="1">
        <v>45871.145833333336</v>
      </c>
      <c r="D719">
        <v>128</v>
      </c>
    </row>
    <row r="720" spans="1:4" x14ac:dyDescent="0.25">
      <c r="A720" t="s">
        <v>81</v>
      </c>
      <c r="B720" t="s">
        <v>0</v>
      </c>
      <c r="C720" s="1">
        <v>45871.854166666664</v>
      </c>
      <c r="D720">
        <v>5</v>
      </c>
    </row>
    <row r="721" spans="1:4" x14ac:dyDescent="0.25">
      <c r="A721" t="s">
        <v>7</v>
      </c>
      <c r="B721" t="s">
        <v>2</v>
      </c>
      <c r="C721" s="1">
        <v>45874.166666666664</v>
      </c>
      <c r="D721">
        <v>3</v>
      </c>
    </row>
    <row r="722" spans="1:4" x14ac:dyDescent="0.25">
      <c r="A722" t="s">
        <v>15</v>
      </c>
      <c r="B722" t="s">
        <v>2</v>
      </c>
      <c r="C722" s="1">
        <v>45871.166666666664</v>
      </c>
      <c r="D722">
        <v>3</v>
      </c>
    </row>
    <row r="723" spans="1:4" x14ac:dyDescent="0.25">
      <c r="A723" t="s">
        <v>77</v>
      </c>
      <c r="B723" t="s">
        <v>57</v>
      </c>
      <c r="C723" s="1">
        <v>45872.208333333336</v>
      </c>
      <c r="D723">
        <v>1</v>
      </c>
    </row>
    <row r="724" spans="1:4" x14ac:dyDescent="0.25">
      <c r="A724" t="s">
        <v>23</v>
      </c>
      <c r="B724" t="s">
        <v>19</v>
      </c>
      <c r="C724" s="1">
        <v>45871.166666666664</v>
      </c>
      <c r="D724">
        <v>34</v>
      </c>
    </row>
    <row r="725" spans="1:4" x14ac:dyDescent="0.25">
      <c r="A725" t="s">
        <v>23</v>
      </c>
      <c r="B725" t="s">
        <v>8</v>
      </c>
      <c r="C725" s="1">
        <v>45875.625</v>
      </c>
      <c r="D725">
        <v>297</v>
      </c>
    </row>
    <row r="726" spans="1:4" x14ac:dyDescent="0.25">
      <c r="A726" t="s">
        <v>9</v>
      </c>
      <c r="B726" t="s">
        <v>2</v>
      </c>
      <c r="C726" s="1">
        <v>45871.125</v>
      </c>
      <c r="D726">
        <v>653</v>
      </c>
    </row>
    <row r="727" spans="1:4" x14ac:dyDescent="0.25">
      <c r="A727" t="s">
        <v>81</v>
      </c>
      <c r="B727" t="s">
        <v>2</v>
      </c>
      <c r="C727" s="1">
        <v>45872.854166666664</v>
      </c>
      <c r="D727">
        <v>2</v>
      </c>
    </row>
    <row r="728" spans="1:4" x14ac:dyDescent="0.25">
      <c r="A728" t="s">
        <v>9</v>
      </c>
      <c r="B728" t="s">
        <v>40</v>
      </c>
      <c r="C728" s="1">
        <v>45839.458333333336</v>
      </c>
      <c r="D728">
        <v>6</v>
      </c>
    </row>
    <row r="729" spans="1:4" x14ac:dyDescent="0.25">
      <c r="A729" t="s">
        <v>7</v>
      </c>
      <c r="B729" t="s">
        <v>2</v>
      </c>
      <c r="C729" s="1">
        <v>45871.885416666664</v>
      </c>
      <c r="D729">
        <v>364</v>
      </c>
    </row>
    <row r="730" spans="1:4" x14ac:dyDescent="0.25">
      <c r="A730" t="s">
        <v>7</v>
      </c>
      <c r="B730" t="s">
        <v>1</v>
      </c>
      <c r="C730" s="1">
        <v>45872.458333333336</v>
      </c>
      <c r="D730">
        <v>2</v>
      </c>
    </row>
    <row r="731" spans="1:4" x14ac:dyDescent="0.25">
      <c r="A731" t="s">
        <v>86</v>
      </c>
      <c r="B731" t="s">
        <v>8</v>
      </c>
      <c r="C731" s="1">
        <v>45871.541666666664</v>
      </c>
      <c r="D731">
        <v>1</v>
      </c>
    </row>
    <row r="732" spans="1:4" x14ac:dyDescent="0.25">
      <c r="A732" t="s">
        <v>77</v>
      </c>
      <c r="B732" t="s">
        <v>40</v>
      </c>
      <c r="C732" s="1">
        <v>45870.458333333336</v>
      </c>
      <c r="D732">
        <v>594</v>
      </c>
    </row>
    <row r="733" spans="1:4" x14ac:dyDescent="0.25">
      <c r="A733" t="s">
        <v>11</v>
      </c>
      <c r="B733" t="s">
        <v>2</v>
      </c>
      <c r="C733" s="1">
        <v>45868.208333333336</v>
      </c>
      <c r="D733">
        <v>1</v>
      </c>
    </row>
    <row r="734" spans="1:4" x14ac:dyDescent="0.25">
      <c r="A734" t="s">
        <v>9</v>
      </c>
      <c r="B734" t="s">
        <v>19</v>
      </c>
      <c r="C734" s="1">
        <v>45868.916666666664</v>
      </c>
      <c r="D734">
        <v>1</v>
      </c>
    </row>
    <row r="735" spans="1:4" x14ac:dyDescent="0.25">
      <c r="A735" t="s">
        <v>23</v>
      </c>
      <c r="B735" t="s">
        <v>19</v>
      </c>
      <c r="C735" s="1">
        <v>45875.625</v>
      </c>
      <c r="D735">
        <v>236</v>
      </c>
    </row>
    <row r="736" spans="1:4" x14ac:dyDescent="0.25">
      <c r="A736" t="s">
        <v>7</v>
      </c>
      <c r="B736" t="s">
        <v>1</v>
      </c>
      <c r="C736" s="1">
        <v>45875.75</v>
      </c>
      <c r="D736">
        <v>2</v>
      </c>
    </row>
    <row r="737" spans="1:4" x14ac:dyDescent="0.25">
      <c r="A737" t="s">
        <v>81</v>
      </c>
      <c r="B737" t="s">
        <v>0</v>
      </c>
      <c r="C737" s="1">
        <v>45873.125</v>
      </c>
      <c r="D737">
        <v>31</v>
      </c>
    </row>
    <row r="738" spans="1:4" x14ac:dyDescent="0.25">
      <c r="A738" t="s">
        <v>7</v>
      </c>
      <c r="B738" t="s">
        <v>1</v>
      </c>
      <c r="C738" s="1">
        <v>45872.604166666664</v>
      </c>
      <c r="D738">
        <v>139</v>
      </c>
    </row>
    <row r="739" spans="1:4" x14ac:dyDescent="0.25">
      <c r="A739" t="s">
        <v>23</v>
      </c>
      <c r="B739" t="s">
        <v>8</v>
      </c>
      <c r="C739" s="1">
        <v>45871.166666666664</v>
      </c>
      <c r="D739">
        <v>52</v>
      </c>
    </row>
    <row r="740" spans="1:4" x14ac:dyDescent="0.25">
      <c r="A740" t="s">
        <v>23</v>
      </c>
      <c r="B740" t="s">
        <v>0</v>
      </c>
      <c r="C740" s="1">
        <v>45873.083333333336</v>
      </c>
      <c r="D740">
        <v>10</v>
      </c>
    </row>
    <row r="741" spans="1:4" x14ac:dyDescent="0.25">
      <c r="A741" t="s">
        <v>7</v>
      </c>
      <c r="B741" t="s">
        <v>0</v>
      </c>
      <c r="C741" s="1">
        <v>45876.458333333336</v>
      </c>
      <c r="D741">
        <v>4</v>
      </c>
    </row>
    <row r="742" spans="1:4" x14ac:dyDescent="0.25">
      <c r="A742" t="s">
        <v>79</v>
      </c>
      <c r="B742" t="s">
        <v>84</v>
      </c>
      <c r="C742" s="1">
        <v>45831.583333333336</v>
      </c>
      <c r="D742">
        <v>9</v>
      </c>
    </row>
    <row r="743" spans="1:4" x14ac:dyDescent="0.25">
      <c r="A743" t="s">
        <v>81</v>
      </c>
      <c r="B743" t="s">
        <v>8</v>
      </c>
      <c r="C743" s="1">
        <v>45872.125</v>
      </c>
      <c r="D743">
        <v>419</v>
      </c>
    </row>
    <row r="744" spans="1:4" x14ac:dyDescent="0.25">
      <c r="A744" t="s">
        <v>23</v>
      </c>
      <c r="B744" t="s">
        <v>20</v>
      </c>
      <c r="C744" s="1">
        <v>45875.625</v>
      </c>
      <c r="D744">
        <v>3</v>
      </c>
    </row>
    <row r="745" spans="1:4" x14ac:dyDescent="0.25">
      <c r="A745" t="s">
        <v>23</v>
      </c>
      <c r="B745" t="s">
        <v>19</v>
      </c>
      <c r="C745" s="1">
        <v>45873.1875</v>
      </c>
      <c r="D745">
        <v>4</v>
      </c>
    </row>
    <row r="746" spans="1:4" x14ac:dyDescent="0.25">
      <c r="A746" t="s">
        <v>23</v>
      </c>
      <c r="B746" t="s">
        <v>57</v>
      </c>
      <c r="C746" s="1">
        <v>45871.208333333336</v>
      </c>
      <c r="D746">
        <v>6</v>
      </c>
    </row>
    <row r="747" spans="1:4" x14ac:dyDescent="0.25">
      <c r="A747" t="s">
        <v>77</v>
      </c>
      <c r="B747" t="s">
        <v>80</v>
      </c>
      <c r="C747" s="1">
        <v>45698.458333333336</v>
      </c>
      <c r="D747">
        <v>176</v>
      </c>
    </row>
    <row r="748" spans="1:4" x14ac:dyDescent="0.25">
      <c r="A748" t="s">
        <v>11</v>
      </c>
      <c r="B748" t="s">
        <v>1</v>
      </c>
      <c r="C748" s="1">
        <v>45871.208333333336</v>
      </c>
      <c r="D748">
        <v>1</v>
      </c>
    </row>
    <row r="749" spans="1:4" x14ac:dyDescent="0.25">
      <c r="A749" t="s">
        <v>87</v>
      </c>
      <c r="B749" t="s">
        <v>294</v>
      </c>
      <c r="C749" s="1">
        <v>45866.458333333336</v>
      </c>
      <c r="D749">
        <v>1</v>
      </c>
    </row>
    <row r="750" spans="1:4" x14ac:dyDescent="0.25">
      <c r="A750" t="s">
        <v>77</v>
      </c>
      <c r="B750" t="s">
        <v>1</v>
      </c>
      <c r="C750" s="1">
        <v>45872.666666666664</v>
      </c>
      <c r="D750">
        <v>2</v>
      </c>
    </row>
    <row r="751" spans="1:4" x14ac:dyDescent="0.25">
      <c r="A751" t="s">
        <v>23</v>
      </c>
      <c r="B751" t="s">
        <v>2</v>
      </c>
      <c r="C751" s="1">
        <v>45876.666666666664</v>
      </c>
      <c r="D751">
        <v>1</v>
      </c>
    </row>
    <row r="752" spans="1:4" x14ac:dyDescent="0.25">
      <c r="A752" t="s">
        <v>7</v>
      </c>
      <c r="B752" t="s">
        <v>8</v>
      </c>
      <c r="C752" s="1">
        <v>45873.125</v>
      </c>
      <c r="D752">
        <v>792</v>
      </c>
    </row>
    <row r="753" spans="1:4" x14ac:dyDescent="0.25">
      <c r="A753" t="s">
        <v>14</v>
      </c>
      <c r="B753" t="s">
        <v>2</v>
      </c>
      <c r="C753" s="1">
        <v>45871.083333333336</v>
      </c>
      <c r="D753">
        <v>4</v>
      </c>
    </row>
    <row r="754" spans="1:4" x14ac:dyDescent="0.25">
      <c r="A754" t="s">
        <v>77</v>
      </c>
      <c r="B754" t="s">
        <v>1</v>
      </c>
      <c r="C754" s="1">
        <v>45871.5</v>
      </c>
      <c r="D754">
        <v>1</v>
      </c>
    </row>
    <row r="755" spans="1:4" x14ac:dyDescent="0.25">
      <c r="A755" t="s">
        <v>81</v>
      </c>
      <c r="B755" t="s">
        <v>8</v>
      </c>
      <c r="C755" s="1">
        <v>45879.916666666664</v>
      </c>
      <c r="D755">
        <v>3</v>
      </c>
    </row>
    <row r="756" spans="1:4" x14ac:dyDescent="0.25">
      <c r="A756" t="s">
        <v>23</v>
      </c>
      <c r="B756" t="s">
        <v>1</v>
      </c>
      <c r="C756" s="1">
        <v>45872.729166666664</v>
      </c>
      <c r="D756">
        <v>12</v>
      </c>
    </row>
    <row r="757" spans="1:4" x14ac:dyDescent="0.25">
      <c r="A757" t="s">
        <v>11</v>
      </c>
      <c r="B757" t="s">
        <v>8</v>
      </c>
      <c r="C757" s="1">
        <v>45868.885416666664</v>
      </c>
      <c r="D757">
        <v>2</v>
      </c>
    </row>
    <row r="758" spans="1:4" x14ac:dyDescent="0.25">
      <c r="A758" t="s">
        <v>7</v>
      </c>
      <c r="B758" t="s">
        <v>51</v>
      </c>
      <c r="C758" s="1">
        <v>45875.458333333336</v>
      </c>
      <c r="D758">
        <v>453</v>
      </c>
    </row>
    <row r="759" spans="1:4" x14ac:dyDescent="0.25">
      <c r="A759" t="s">
        <v>23</v>
      </c>
      <c r="B759" t="s">
        <v>20</v>
      </c>
      <c r="C759" s="1">
        <v>45876.583333333336</v>
      </c>
      <c r="D759">
        <v>3</v>
      </c>
    </row>
    <row r="760" spans="1:4" x14ac:dyDescent="0.25">
      <c r="A760" t="s">
        <v>11</v>
      </c>
      <c r="B760" t="s">
        <v>19</v>
      </c>
      <c r="C760" s="1">
        <v>45868.583333333336</v>
      </c>
      <c r="D760">
        <v>8</v>
      </c>
    </row>
    <row r="761" spans="1:4" x14ac:dyDescent="0.25">
      <c r="A761" t="s">
        <v>81</v>
      </c>
      <c r="B761" t="s">
        <v>1</v>
      </c>
      <c r="C761" s="1">
        <v>45871.145833333336</v>
      </c>
      <c r="D761">
        <v>1</v>
      </c>
    </row>
    <row r="762" spans="1:4" x14ac:dyDescent="0.25">
      <c r="A762" t="s">
        <v>7</v>
      </c>
      <c r="B762" t="s">
        <v>8</v>
      </c>
      <c r="C762" s="1">
        <v>45877.583333333336</v>
      </c>
      <c r="D762">
        <v>199</v>
      </c>
    </row>
    <row r="763" spans="1:4" x14ac:dyDescent="0.25">
      <c r="A763" t="s">
        <v>81</v>
      </c>
      <c r="B763" t="s">
        <v>57</v>
      </c>
      <c r="C763" s="1">
        <v>45873.885416666664</v>
      </c>
      <c r="D763">
        <v>1</v>
      </c>
    </row>
    <row r="764" spans="1:4" x14ac:dyDescent="0.25">
      <c r="A764" t="s">
        <v>81</v>
      </c>
      <c r="B764" t="s">
        <v>20</v>
      </c>
      <c r="C764" s="1">
        <v>45871.916666666664</v>
      </c>
      <c r="D764">
        <v>29</v>
      </c>
    </row>
    <row r="765" spans="1:4" x14ac:dyDescent="0.25">
      <c r="A765" t="s">
        <v>87</v>
      </c>
      <c r="B765" t="s">
        <v>19</v>
      </c>
      <c r="C765" s="1">
        <v>45871.125</v>
      </c>
      <c r="D765">
        <v>7</v>
      </c>
    </row>
    <row r="766" spans="1:4" x14ac:dyDescent="0.25">
      <c r="A766" t="s">
        <v>9</v>
      </c>
      <c r="B766" t="s">
        <v>0</v>
      </c>
      <c r="C766" s="1">
        <v>45871.041666666664</v>
      </c>
      <c r="D766">
        <v>3</v>
      </c>
    </row>
    <row r="767" spans="1:4" x14ac:dyDescent="0.25">
      <c r="A767" t="s">
        <v>88</v>
      </c>
      <c r="B767" t="s">
        <v>19</v>
      </c>
      <c r="C767" s="1">
        <v>45871.166666666664</v>
      </c>
      <c r="D767">
        <v>29</v>
      </c>
    </row>
    <row r="768" spans="1:4" x14ac:dyDescent="0.25">
      <c r="A768" t="s">
        <v>77</v>
      </c>
      <c r="B768" t="s">
        <v>1</v>
      </c>
      <c r="C768" s="1">
        <v>45871.145833333336</v>
      </c>
      <c r="D768">
        <v>173</v>
      </c>
    </row>
    <row r="769" spans="1:4" x14ac:dyDescent="0.25">
      <c r="A769" t="s">
        <v>81</v>
      </c>
      <c r="B769" t="s">
        <v>19</v>
      </c>
      <c r="C769" s="1">
        <v>45872.125</v>
      </c>
      <c r="D769">
        <v>489</v>
      </c>
    </row>
    <row r="770" spans="1:4" x14ac:dyDescent="0.25">
      <c r="A770" t="s">
        <v>7</v>
      </c>
      <c r="B770" t="s">
        <v>0</v>
      </c>
      <c r="C770" s="1">
        <v>45873.0625</v>
      </c>
      <c r="D770">
        <v>1</v>
      </c>
    </row>
    <row r="771" spans="1:4" x14ac:dyDescent="0.25">
      <c r="A771" t="s">
        <v>81</v>
      </c>
      <c r="B771" t="s">
        <v>57</v>
      </c>
      <c r="C771" s="1">
        <v>45871.604166666664</v>
      </c>
      <c r="D771">
        <v>155</v>
      </c>
    </row>
    <row r="772" spans="1:4" x14ac:dyDescent="0.25">
      <c r="A772" t="s">
        <v>14</v>
      </c>
      <c r="B772" t="s">
        <v>51</v>
      </c>
      <c r="C772" s="1">
        <v>45863.458333333336</v>
      </c>
      <c r="D772">
        <v>3</v>
      </c>
    </row>
    <row r="773" spans="1:4" x14ac:dyDescent="0.25">
      <c r="A773" t="s">
        <v>7</v>
      </c>
      <c r="B773" t="s">
        <v>19</v>
      </c>
      <c r="C773" s="1">
        <v>45872.916666666664</v>
      </c>
      <c r="D773">
        <v>49</v>
      </c>
    </row>
    <row r="774" spans="1:4" x14ac:dyDescent="0.25">
      <c r="A774" t="s">
        <v>23</v>
      </c>
      <c r="B774" t="s">
        <v>8</v>
      </c>
      <c r="C774" s="1">
        <v>45872.020833333336</v>
      </c>
      <c r="D774">
        <v>52</v>
      </c>
    </row>
    <row r="775" spans="1:4" x14ac:dyDescent="0.25">
      <c r="A775" t="s">
        <v>14</v>
      </c>
      <c r="B775" t="s">
        <v>53</v>
      </c>
      <c r="C775" s="1">
        <v>45870.458333333336</v>
      </c>
      <c r="D775">
        <v>14</v>
      </c>
    </row>
    <row r="776" spans="1:4" x14ac:dyDescent="0.25">
      <c r="A776" t="s">
        <v>83</v>
      </c>
      <c r="B776" t="s">
        <v>8</v>
      </c>
      <c r="C776" s="1">
        <v>45868.145833333336</v>
      </c>
      <c r="D776">
        <v>2</v>
      </c>
    </row>
    <row r="777" spans="1:4" x14ac:dyDescent="0.25">
      <c r="A777" t="s">
        <v>23</v>
      </c>
      <c r="B777" t="s">
        <v>0</v>
      </c>
      <c r="C777" s="1">
        <v>45874.145833333336</v>
      </c>
      <c r="D777">
        <v>1</v>
      </c>
    </row>
    <row r="778" spans="1:4" x14ac:dyDescent="0.25">
      <c r="A778" t="s">
        <v>9</v>
      </c>
      <c r="B778" t="s">
        <v>8</v>
      </c>
      <c r="C778" s="1">
        <v>45871.5</v>
      </c>
      <c r="D778">
        <v>24</v>
      </c>
    </row>
    <row r="779" spans="1:4" x14ac:dyDescent="0.25">
      <c r="A779" t="s">
        <v>11</v>
      </c>
      <c r="B779" t="s">
        <v>19</v>
      </c>
      <c r="C779" s="1">
        <v>45868.885416666664</v>
      </c>
      <c r="D779">
        <v>3</v>
      </c>
    </row>
    <row r="780" spans="1:4" x14ac:dyDescent="0.25">
      <c r="A780" t="s">
        <v>23</v>
      </c>
      <c r="B780" t="s">
        <v>57</v>
      </c>
      <c r="C780" s="1">
        <v>45871.604166666664</v>
      </c>
      <c r="D780">
        <v>1</v>
      </c>
    </row>
    <row r="781" spans="1:4" x14ac:dyDescent="0.25">
      <c r="A781" t="s">
        <v>13</v>
      </c>
      <c r="B781" t="s">
        <v>80</v>
      </c>
      <c r="C781" s="1">
        <v>45807.458333333336</v>
      </c>
      <c r="D781">
        <v>2</v>
      </c>
    </row>
    <row r="782" spans="1:4" x14ac:dyDescent="0.25">
      <c r="A782" t="s">
        <v>23</v>
      </c>
      <c r="B782" t="s">
        <v>19</v>
      </c>
      <c r="C782" s="1">
        <v>45872.020833333336</v>
      </c>
      <c r="D782">
        <v>45</v>
      </c>
    </row>
    <row r="783" spans="1:4" x14ac:dyDescent="0.25">
      <c r="A783" t="s">
        <v>7</v>
      </c>
      <c r="B783" t="s">
        <v>20</v>
      </c>
      <c r="C783" s="1">
        <v>45871.947916666664</v>
      </c>
      <c r="D783">
        <v>4</v>
      </c>
    </row>
    <row r="784" spans="1:4" x14ac:dyDescent="0.25">
      <c r="A784" t="s">
        <v>7</v>
      </c>
      <c r="B784" t="s">
        <v>20</v>
      </c>
      <c r="C784" s="1">
        <v>45873.125</v>
      </c>
      <c r="D784">
        <v>14</v>
      </c>
    </row>
    <row r="785" spans="1:4" x14ac:dyDescent="0.25">
      <c r="A785" t="s">
        <v>87</v>
      </c>
      <c r="B785" t="s">
        <v>8</v>
      </c>
      <c r="C785" s="1">
        <v>45871.125</v>
      </c>
      <c r="D785">
        <v>6</v>
      </c>
    </row>
    <row r="786" spans="1:4" x14ac:dyDescent="0.25">
      <c r="A786" t="s">
        <v>10</v>
      </c>
      <c r="B786" t="s">
        <v>20</v>
      </c>
      <c r="C786" s="1">
        <v>45871.666666666664</v>
      </c>
      <c r="D786">
        <v>44</v>
      </c>
    </row>
    <row r="787" spans="1:4" x14ac:dyDescent="0.25">
      <c r="A787" t="s">
        <v>7</v>
      </c>
      <c r="B787" t="s">
        <v>57</v>
      </c>
      <c r="C787" s="1">
        <v>45872.208333333336</v>
      </c>
      <c r="D787">
        <v>8</v>
      </c>
    </row>
    <row r="788" spans="1:4" x14ac:dyDescent="0.25">
      <c r="A788" t="s">
        <v>81</v>
      </c>
      <c r="B788" t="s">
        <v>2</v>
      </c>
      <c r="C788" s="1">
        <v>45873.166666666664</v>
      </c>
      <c r="D788">
        <v>7</v>
      </c>
    </row>
    <row r="789" spans="1:4" x14ac:dyDescent="0.25">
      <c r="A789" t="s">
        <v>9</v>
      </c>
      <c r="B789" t="s">
        <v>8</v>
      </c>
      <c r="C789" s="1">
        <v>45871.145833333336</v>
      </c>
      <c r="D789">
        <v>334</v>
      </c>
    </row>
    <row r="790" spans="1:4" x14ac:dyDescent="0.25">
      <c r="A790" t="s">
        <v>10</v>
      </c>
      <c r="B790" t="s">
        <v>0</v>
      </c>
      <c r="C790" s="1">
        <v>45871.604166666664</v>
      </c>
      <c r="D790">
        <v>3</v>
      </c>
    </row>
    <row r="791" spans="1:4" x14ac:dyDescent="0.25">
      <c r="A791" t="s">
        <v>88</v>
      </c>
      <c r="B791" t="s">
        <v>8</v>
      </c>
      <c r="C791" s="1">
        <v>45871.166666666664</v>
      </c>
      <c r="D791">
        <v>29</v>
      </c>
    </row>
    <row r="792" spans="1:4" x14ac:dyDescent="0.25">
      <c r="A792" t="s">
        <v>81</v>
      </c>
      <c r="B792" t="s">
        <v>8</v>
      </c>
      <c r="C792" s="1">
        <v>45872.020833333336</v>
      </c>
      <c r="D792">
        <v>49</v>
      </c>
    </row>
    <row r="793" spans="1:4" x14ac:dyDescent="0.25">
      <c r="A793" t="s">
        <v>7</v>
      </c>
      <c r="B793" t="s">
        <v>57</v>
      </c>
      <c r="C793" s="1">
        <v>45873.625</v>
      </c>
      <c r="D793">
        <v>4</v>
      </c>
    </row>
    <row r="794" spans="1:4" x14ac:dyDescent="0.25">
      <c r="A794" t="s">
        <v>88</v>
      </c>
      <c r="B794" t="s">
        <v>20</v>
      </c>
      <c r="C794" s="1">
        <v>45871.125</v>
      </c>
      <c r="D794">
        <v>99</v>
      </c>
    </row>
    <row r="795" spans="1:4" x14ac:dyDescent="0.25">
      <c r="A795" t="s">
        <v>11</v>
      </c>
      <c r="B795" t="s">
        <v>53</v>
      </c>
      <c r="C795" s="1">
        <v>45873.458333333336</v>
      </c>
      <c r="D795">
        <v>22</v>
      </c>
    </row>
    <row r="796" spans="1:4" x14ac:dyDescent="0.25">
      <c r="A796" t="s">
        <v>77</v>
      </c>
      <c r="B796" t="s">
        <v>57</v>
      </c>
      <c r="C796" s="1">
        <v>45871.1875</v>
      </c>
      <c r="D796">
        <v>206</v>
      </c>
    </row>
    <row r="797" spans="1:4" x14ac:dyDescent="0.25">
      <c r="A797" t="s">
        <v>7</v>
      </c>
      <c r="B797" t="s">
        <v>60</v>
      </c>
      <c r="C797" s="1">
        <v>45852.458333333336</v>
      </c>
      <c r="D797">
        <v>40</v>
      </c>
    </row>
    <row r="798" spans="1:4" x14ac:dyDescent="0.25">
      <c r="A798" t="s">
        <v>7</v>
      </c>
      <c r="B798" t="s">
        <v>19</v>
      </c>
      <c r="C798" s="1">
        <v>45871.75</v>
      </c>
      <c r="D798">
        <v>198</v>
      </c>
    </row>
    <row r="799" spans="1:4" x14ac:dyDescent="0.25">
      <c r="A799" t="s">
        <v>7</v>
      </c>
      <c r="B799" t="s">
        <v>2</v>
      </c>
      <c r="C799" s="1">
        <v>45871.729166666664</v>
      </c>
      <c r="D799">
        <v>246</v>
      </c>
    </row>
    <row r="800" spans="1:4" x14ac:dyDescent="0.25">
      <c r="A800" t="s">
        <v>11</v>
      </c>
      <c r="B800" t="s">
        <v>41</v>
      </c>
      <c r="C800" s="1">
        <v>45875.458333333336</v>
      </c>
      <c r="D800">
        <v>182</v>
      </c>
    </row>
    <row r="801" spans="1:4" x14ac:dyDescent="0.25">
      <c r="A801" t="s">
        <v>12</v>
      </c>
      <c r="B801" t="s">
        <v>8</v>
      </c>
      <c r="C801" s="1">
        <v>45869.458333333336</v>
      </c>
      <c r="D801">
        <v>1</v>
      </c>
    </row>
    <row r="802" spans="1:4" x14ac:dyDescent="0.25">
      <c r="A802" t="s">
        <v>7</v>
      </c>
      <c r="B802" t="s">
        <v>0</v>
      </c>
      <c r="C802" s="1">
        <v>45872.947916666664</v>
      </c>
      <c r="D802">
        <v>2</v>
      </c>
    </row>
    <row r="803" spans="1:4" x14ac:dyDescent="0.25">
      <c r="A803" t="s">
        <v>88</v>
      </c>
      <c r="B803" t="s">
        <v>0</v>
      </c>
      <c r="C803" s="1">
        <v>45870.916666666664</v>
      </c>
      <c r="D803">
        <v>1</v>
      </c>
    </row>
    <row r="804" spans="1:4" x14ac:dyDescent="0.25">
      <c r="A804" t="s">
        <v>81</v>
      </c>
      <c r="B804" t="s">
        <v>57</v>
      </c>
      <c r="C804" s="1">
        <v>45872.208333333336</v>
      </c>
      <c r="D804">
        <v>2</v>
      </c>
    </row>
    <row r="805" spans="1:4" x14ac:dyDescent="0.25">
      <c r="A805" t="s">
        <v>81</v>
      </c>
      <c r="B805" t="s">
        <v>8</v>
      </c>
      <c r="C805" s="1">
        <v>45872.166666666664</v>
      </c>
      <c r="D805">
        <v>62</v>
      </c>
    </row>
    <row r="806" spans="1:4" x14ac:dyDescent="0.25">
      <c r="A806" t="s">
        <v>77</v>
      </c>
      <c r="B806" t="s">
        <v>1</v>
      </c>
      <c r="C806" s="1">
        <v>45875.75</v>
      </c>
      <c r="D806">
        <v>1</v>
      </c>
    </row>
    <row r="807" spans="1:4" x14ac:dyDescent="0.25">
      <c r="A807" t="s">
        <v>23</v>
      </c>
      <c r="B807" t="s">
        <v>20</v>
      </c>
      <c r="C807" s="1">
        <v>45872.125</v>
      </c>
      <c r="D807">
        <v>45</v>
      </c>
    </row>
    <row r="808" spans="1:4" x14ac:dyDescent="0.25">
      <c r="A808" t="s">
        <v>10</v>
      </c>
      <c r="B808" t="s">
        <v>19</v>
      </c>
      <c r="C808" s="1">
        <v>45871.458333333336</v>
      </c>
      <c r="D808">
        <v>77</v>
      </c>
    </row>
    <row r="809" spans="1:4" x14ac:dyDescent="0.25">
      <c r="A809" t="s">
        <v>7</v>
      </c>
      <c r="B809" t="s">
        <v>19</v>
      </c>
      <c r="C809" s="1">
        <v>45873.166666666664</v>
      </c>
      <c r="D809">
        <v>17</v>
      </c>
    </row>
    <row r="810" spans="1:4" x14ac:dyDescent="0.25">
      <c r="A810" t="s">
        <v>12</v>
      </c>
      <c r="B810" t="s">
        <v>20</v>
      </c>
      <c r="C810" s="1">
        <v>45871.885416666664</v>
      </c>
      <c r="D810">
        <v>9</v>
      </c>
    </row>
    <row r="811" spans="1:4" x14ac:dyDescent="0.25">
      <c r="A811" t="s">
        <v>77</v>
      </c>
      <c r="B811" t="s">
        <v>8</v>
      </c>
      <c r="C811" s="1">
        <v>45870.958333333336</v>
      </c>
      <c r="D811">
        <v>4</v>
      </c>
    </row>
    <row r="812" spans="1:4" x14ac:dyDescent="0.25">
      <c r="A812" t="s">
        <v>81</v>
      </c>
      <c r="B812" t="s">
        <v>19</v>
      </c>
      <c r="C812" s="1">
        <v>45872.020833333336</v>
      </c>
      <c r="D812">
        <v>12</v>
      </c>
    </row>
    <row r="813" spans="1:4" x14ac:dyDescent="0.25">
      <c r="A813" t="s">
        <v>15</v>
      </c>
      <c r="B813" t="s">
        <v>8</v>
      </c>
      <c r="C813" s="1">
        <v>45871.5</v>
      </c>
      <c r="D813">
        <v>1</v>
      </c>
    </row>
    <row r="814" spans="1:4" x14ac:dyDescent="0.25">
      <c r="A814" t="s">
        <v>87</v>
      </c>
      <c r="B814" t="s">
        <v>19</v>
      </c>
      <c r="C814" s="1">
        <v>45871.166666666664</v>
      </c>
      <c r="D814">
        <v>5</v>
      </c>
    </row>
    <row r="815" spans="1:4" x14ac:dyDescent="0.25">
      <c r="A815" t="s">
        <v>7</v>
      </c>
      <c r="B815" t="s">
        <v>8</v>
      </c>
      <c r="C815" s="1">
        <v>45878.885416666664</v>
      </c>
      <c r="D815">
        <v>4</v>
      </c>
    </row>
    <row r="816" spans="1:4" x14ac:dyDescent="0.25">
      <c r="A816" t="s">
        <v>9</v>
      </c>
      <c r="B816" t="s">
        <v>8</v>
      </c>
      <c r="C816" s="1">
        <v>45871.458333333336</v>
      </c>
      <c r="D816">
        <v>23</v>
      </c>
    </row>
    <row r="817" spans="1:4" x14ac:dyDescent="0.25">
      <c r="A817" t="s">
        <v>83</v>
      </c>
      <c r="B817" t="s">
        <v>8</v>
      </c>
      <c r="C817" s="1">
        <v>45871.885416666664</v>
      </c>
      <c r="D817">
        <v>1</v>
      </c>
    </row>
    <row r="818" spans="1:4" x14ac:dyDescent="0.25">
      <c r="A818" t="s">
        <v>81</v>
      </c>
      <c r="B818" t="s">
        <v>1</v>
      </c>
      <c r="C818" s="1">
        <v>45871.666666666664</v>
      </c>
      <c r="D818">
        <v>2</v>
      </c>
    </row>
    <row r="819" spans="1:4" x14ac:dyDescent="0.25">
      <c r="A819" t="s">
        <v>23</v>
      </c>
      <c r="B819" t="s">
        <v>8</v>
      </c>
      <c r="C819" s="1">
        <v>45871.125</v>
      </c>
      <c r="D819">
        <v>105</v>
      </c>
    </row>
    <row r="820" spans="1:4" x14ac:dyDescent="0.25">
      <c r="A820" t="s">
        <v>81</v>
      </c>
      <c r="B820" t="s">
        <v>0</v>
      </c>
      <c r="C820" s="1">
        <v>45873.0625</v>
      </c>
      <c r="D820">
        <v>1</v>
      </c>
    </row>
    <row r="821" spans="1:4" x14ac:dyDescent="0.25">
      <c r="A821" t="s">
        <v>10</v>
      </c>
      <c r="B821" t="s">
        <v>20</v>
      </c>
      <c r="C821" s="1">
        <v>45871.604166666664</v>
      </c>
      <c r="D821">
        <v>37</v>
      </c>
    </row>
    <row r="822" spans="1:4" x14ac:dyDescent="0.25">
      <c r="A822" t="s">
        <v>81</v>
      </c>
      <c r="B822" t="s">
        <v>0</v>
      </c>
      <c r="C822" s="1">
        <v>45871.916666666664</v>
      </c>
      <c r="D822">
        <v>72</v>
      </c>
    </row>
    <row r="823" spans="1:4" x14ac:dyDescent="0.25">
      <c r="A823" t="s">
        <v>7</v>
      </c>
      <c r="B823" t="s">
        <v>80</v>
      </c>
      <c r="C823" s="1">
        <v>45698.458333333336</v>
      </c>
      <c r="D823">
        <v>176</v>
      </c>
    </row>
    <row r="824" spans="1:4" x14ac:dyDescent="0.25">
      <c r="A824" t="s">
        <v>83</v>
      </c>
      <c r="B824" t="s">
        <v>8</v>
      </c>
      <c r="C824" s="1">
        <v>45869.625</v>
      </c>
      <c r="D824">
        <v>1</v>
      </c>
    </row>
    <row r="825" spans="1:4" x14ac:dyDescent="0.25">
      <c r="A825" t="s">
        <v>81</v>
      </c>
      <c r="B825" t="s">
        <v>2</v>
      </c>
      <c r="C825" s="1">
        <v>45871.947916666664</v>
      </c>
      <c r="D825">
        <v>18</v>
      </c>
    </row>
    <row r="826" spans="1:4" x14ac:dyDescent="0.25">
      <c r="A826" t="s">
        <v>77</v>
      </c>
      <c r="B826" t="s">
        <v>8</v>
      </c>
      <c r="C826" s="1">
        <v>45872.125</v>
      </c>
      <c r="D826">
        <v>22</v>
      </c>
    </row>
    <row r="827" spans="1:4" x14ac:dyDescent="0.25">
      <c r="A827" t="s">
        <v>81</v>
      </c>
      <c r="B827" t="s">
        <v>8</v>
      </c>
      <c r="C827" s="1">
        <v>45874.1875</v>
      </c>
      <c r="D827">
        <v>9</v>
      </c>
    </row>
    <row r="828" spans="1:4" x14ac:dyDescent="0.25">
      <c r="A828" t="s">
        <v>7</v>
      </c>
      <c r="B828" t="s">
        <v>2</v>
      </c>
      <c r="C828" s="1">
        <v>45871.541666666664</v>
      </c>
      <c r="D828">
        <v>216</v>
      </c>
    </row>
    <row r="829" spans="1:4" x14ac:dyDescent="0.25">
      <c r="A829" t="s">
        <v>81</v>
      </c>
      <c r="B829" t="s">
        <v>0</v>
      </c>
      <c r="C829" s="1">
        <v>45871.947916666664</v>
      </c>
      <c r="D829">
        <v>14</v>
      </c>
    </row>
    <row r="830" spans="1:4" x14ac:dyDescent="0.25">
      <c r="A830" t="s">
        <v>10</v>
      </c>
      <c r="B830" t="s">
        <v>41</v>
      </c>
      <c r="C830" s="1">
        <v>45870.458333333336</v>
      </c>
      <c r="D830">
        <v>151</v>
      </c>
    </row>
    <row r="831" spans="1:4" x14ac:dyDescent="0.25">
      <c r="A831" t="s">
        <v>23</v>
      </c>
      <c r="B831" t="s">
        <v>19</v>
      </c>
      <c r="C831" s="1">
        <v>45871.125</v>
      </c>
      <c r="D831">
        <v>105</v>
      </c>
    </row>
    <row r="832" spans="1:4" x14ac:dyDescent="0.25">
      <c r="A832" t="s">
        <v>23</v>
      </c>
      <c r="B832" t="s">
        <v>0</v>
      </c>
      <c r="C832" s="1">
        <v>45876.583333333336</v>
      </c>
      <c r="D832">
        <v>2</v>
      </c>
    </row>
    <row r="833" spans="1:4" x14ac:dyDescent="0.25">
      <c r="A833" t="s">
        <v>10</v>
      </c>
      <c r="B833" t="s">
        <v>40</v>
      </c>
      <c r="C833" s="1">
        <v>45874.458333333336</v>
      </c>
      <c r="D833">
        <v>20</v>
      </c>
    </row>
    <row r="834" spans="1:4" x14ac:dyDescent="0.25">
      <c r="A834" t="s">
        <v>10</v>
      </c>
      <c r="B834" t="s">
        <v>8</v>
      </c>
      <c r="C834" s="1">
        <v>45871.458333333336</v>
      </c>
      <c r="D834">
        <v>1</v>
      </c>
    </row>
    <row r="835" spans="1:4" x14ac:dyDescent="0.25">
      <c r="A835" t="s">
        <v>7</v>
      </c>
      <c r="B835" t="s">
        <v>1</v>
      </c>
      <c r="C835" s="1">
        <v>45875.541666666664</v>
      </c>
      <c r="D835">
        <v>2</v>
      </c>
    </row>
    <row r="836" spans="1:4" x14ac:dyDescent="0.25">
      <c r="A836" t="s">
        <v>12</v>
      </c>
      <c r="B836" t="s">
        <v>20</v>
      </c>
      <c r="C836" s="1">
        <v>45871.625</v>
      </c>
      <c r="D836">
        <v>8</v>
      </c>
    </row>
    <row r="837" spans="1:4" x14ac:dyDescent="0.25">
      <c r="A837" t="s">
        <v>12</v>
      </c>
      <c r="B837" t="s">
        <v>40</v>
      </c>
      <c r="C837" s="1">
        <v>45872.458333333336</v>
      </c>
      <c r="D837">
        <v>1</v>
      </c>
    </row>
    <row r="838" spans="1:4" x14ac:dyDescent="0.25">
      <c r="A838" t="s">
        <v>87</v>
      </c>
      <c r="B838" t="s">
        <v>8</v>
      </c>
      <c r="C838" s="1">
        <v>45871.166666666664</v>
      </c>
      <c r="D838">
        <v>2</v>
      </c>
    </row>
    <row r="839" spans="1:4" x14ac:dyDescent="0.25">
      <c r="A839" t="s">
        <v>87</v>
      </c>
      <c r="B839" t="s">
        <v>41</v>
      </c>
      <c r="C839" s="1">
        <v>45866.458333333336</v>
      </c>
      <c r="D839">
        <v>1</v>
      </c>
    </row>
    <row r="840" spans="1:4" x14ac:dyDescent="0.25">
      <c r="A840" t="s">
        <v>10</v>
      </c>
      <c r="B840" t="s">
        <v>53</v>
      </c>
      <c r="C840" s="1">
        <v>45869.458333333336</v>
      </c>
      <c r="D840">
        <v>11</v>
      </c>
    </row>
    <row r="841" spans="1:4" x14ac:dyDescent="0.25">
      <c r="A841" t="s">
        <v>77</v>
      </c>
      <c r="B841" t="s">
        <v>1</v>
      </c>
      <c r="C841" s="1">
        <v>45871.458333333336</v>
      </c>
      <c r="D841">
        <v>67</v>
      </c>
    </row>
    <row r="842" spans="1:4" x14ac:dyDescent="0.25">
      <c r="A842" t="s">
        <v>83</v>
      </c>
      <c r="B842" t="s">
        <v>19</v>
      </c>
      <c r="C842" s="1">
        <v>45871.885416666664</v>
      </c>
      <c r="D842">
        <v>4</v>
      </c>
    </row>
    <row r="843" spans="1:4" x14ac:dyDescent="0.25">
      <c r="A843" t="s">
        <v>23</v>
      </c>
      <c r="B843" t="s">
        <v>1</v>
      </c>
      <c r="C843" s="1">
        <v>45877.020833333336</v>
      </c>
      <c r="D843">
        <v>1</v>
      </c>
    </row>
    <row r="844" spans="1:4" x14ac:dyDescent="0.25">
      <c r="A844" t="s">
        <v>7</v>
      </c>
      <c r="B844" t="s">
        <v>8</v>
      </c>
      <c r="C844" s="1">
        <v>45871.916666666664</v>
      </c>
      <c r="D844">
        <v>351</v>
      </c>
    </row>
    <row r="845" spans="1:4" x14ac:dyDescent="0.25">
      <c r="A845" t="s">
        <v>23</v>
      </c>
      <c r="B845" t="s">
        <v>2</v>
      </c>
      <c r="C845" s="1">
        <v>45872.166666666664</v>
      </c>
      <c r="D845">
        <v>3</v>
      </c>
    </row>
    <row r="846" spans="1:4" x14ac:dyDescent="0.25">
      <c r="A846" t="s">
        <v>10</v>
      </c>
      <c r="B846" t="s">
        <v>20</v>
      </c>
      <c r="C846" s="1">
        <v>45871.625</v>
      </c>
      <c r="D846">
        <v>27</v>
      </c>
    </row>
    <row r="847" spans="1:4" x14ac:dyDescent="0.25">
      <c r="A847" t="s">
        <v>7</v>
      </c>
      <c r="B847" t="s">
        <v>19</v>
      </c>
      <c r="C847" s="1">
        <v>45875.145833333336</v>
      </c>
      <c r="D847">
        <v>2</v>
      </c>
    </row>
    <row r="848" spans="1:4" x14ac:dyDescent="0.25">
      <c r="A848" t="s">
        <v>9</v>
      </c>
      <c r="B848" t="s">
        <v>40</v>
      </c>
      <c r="C848" s="1">
        <v>45874.458333333336</v>
      </c>
      <c r="D848">
        <v>20</v>
      </c>
    </row>
    <row r="849" spans="1:4" x14ac:dyDescent="0.25">
      <c r="A849" t="s">
        <v>23</v>
      </c>
      <c r="B849" t="s">
        <v>57</v>
      </c>
      <c r="C849" s="1">
        <v>45872.625</v>
      </c>
      <c r="D849">
        <v>1</v>
      </c>
    </row>
    <row r="850" spans="1:4" x14ac:dyDescent="0.25">
      <c r="A850" t="s">
        <v>81</v>
      </c>
      <c r="B850" t="s">
        <v>41</v>
      </c>
      <c r="C850" s="1">
        <v>45875.458333333336</v>
      </c>
      <c r="D850">
        <v>191</v>
      </c>
    </row>
    <row r="851" spans="1:4" x14ac:dyDescent="0.25">
      <c r="A851" t="s">
        <v>7</v>
      </c>
      <c r="B851" t="s">
        <v>57</v>
      </c>
      <c r="C851" s="1">
        <v>45871.1875</v>
      </c>
      <c r="D851">
        <v>219</v>
      </c>
    </row>
    <row r="852" spans="1:4" x14ac:dyDescent="0.25">
      <c r="A852" t="s">
        <v>23</v>
      </c>
      <c r="B852" t="s">
        <v>1</v>
      </c>
      <c r="C852" s="1">
        <v>45873.583333333336</v>
      </c>
      <c r="D852">
        <v>2</v>
      </c>
    </row>
    <row r="853" spans="1:4" x14ac:dyDescent="0.25">
      <c r="A853" t="s">
        <v>83</v>
      </c>
      <c r="B853" t="s">
        <v>19</v>
      </c>
      <c r="C853" s="1">
        <v>45868.208333333336</v>
      </c>
      <c r="D853">
        <v>2</v>
      </c>
    </row>
    <row r="854" spans="1:4" x14ac:dyDescent="0.25">
      <c r="A854" t="s">
        <v>7</v>
      </c>
      <c r="B854" t="s">
        <v>8</v>
      </c>
      <c r="C854" s="1">
        <v>45875.145833333336</v>
      </c>
      <c r="D854">
        <v>4</v>
      </c>
    </row>
    <row r="855" spans="1:4" x14ac:dyDescent="0.25">
      <c r="A855" t="s">
        <v>7</v>
      </c>
      <c r="B855" t="s">
        <v>19</v>
      </c>
      <c r="C855" s="1">
        <v>45873.125</v>
      </c>
      <c r="D855">
        <v>724</v>
      </c>
    </row>
    <row r="856" spans="1:4" x14ac:dyDescent="0.25">
      <c r="A856" t="s">
        <v>9</v>
      </c>
      <c r="B856" t="s">
        <v>0</v>
      </c>
      <c r="C856" s="1">
        <v>45871.1875</v>
      </c>
      <c r="D856">
        <v>20</v>
      </c>
    </row>
    <row r="857" spans="1:4" x14ac:dyDescent="0.25">
      <c r="A857" t="s">
        <v>10</v>
      </c>
      <c r="B857" t="s">
        <v>0</v>
      </c>
      <c r="C857" s="1">
        <v>45871.208333333336</v>
      </c>
      <c r="D857">
        <v>55</v>
      </c>
    </row>
    <row r="858" spans="1:4" x14ac:dyDescent="0.25">
      <c r="A858" t="s">
        <v>9</v>
      </c>
      <c r="B858" t="s">
        <v>41</v>
      </c>
      <c r="C858" s="1">
        <v>45864.458333333336</v>
      </c>
      <c r="D858">
        <v>9</v>
      </c>
    </row>
    <row r="859" spans="1:4" x14ac:dyDescent="0.25">
      <c r="A859" t="s">
        <v>7</v>
      </c>
      <c r="B859" t="s">
        <v>1</v>
      </c>
      <c r="C859" s="1">
        <v>45872.666666666664</v>
      </c>
      <c r="D859">
        <v>12</v>
      </c>
    </row>
    <row r="860" spans="1:4" x14ac:dyDescent="0.25">
      <c r="A860" t="s">
        <v>7</v>
      </c>
      <c r="B860" t="s">
        <v>20</v>
      </c>
      <c r="C860" s="1">
        <v>45871.854166666664</v>
      </c>
      <c r="D860">
        <v>3</v>
      </c>
    </row>
    <row r="861" spans="1:4" x14ac:dyDescent="0.25">
      <c r="A861" t="s">
        <v>9</v>
      </c>
      <c r="B861" t="s">
        <v>294</v>
      </c>
      <c r="C861" s="1">
        <v>45873.458333333336</v>
      </c>
      <c r="D861">
        <v>4</v>
      </c>
    </row>
    <row r="862" spans="1:4" x14ac:dyDescent="0.25">
      <c r="A862" t="s">
        <v>7</v>
      </c>
      <c r="B862" t="s">
        <v>57</v>
      </c>
      <c r="C862" s="1">
        <v>45872.604166666664</v>
      </c>
      <c r="D862">
        <v>16</v>
      </c>
    </row>
    <row r="863" spans="1:4" x14ac:dyDescent="0.25">
      <c r="A863" t="s">
        <v>81</v>
      </c>
      <c r="B863" t="s">
        <v>57</v>
      </c>
      <c r="C863" s="1">
        <v>45871.395833333336</v>
      </c>
      <c r="D863">
        <v>3</v>
      </c>
    </row>
    <row r="864" spans="1:4" x14ac:dyDescent="0.25">
      <c r="A864" t="s">
        <v>81</v>
      </c>
      <c r="B864" t="s">
        <v>20</v>
      </c>
      <c r="C864" s="1">
        <v>45873.1875</v>
      </c>
      <c r="D864">
        <v>1</v>
      </c>
    </row>
    <row r="865" spans="1:4" x14ac:dyDescent="0.25">
      <c r="A865" t="s">
        <v>81</v>
      </c>
      <c r="B865" t="s">
        <v>19</v>
      </c>
      <c r="C865" s="1">
        <v>45872.166666666664</v>
      </c>
      <c r="D865">
        <v>53</v>
      </c>
    </row>
    <row r="866" spans="1:4" x14ac:dyDescent="0.25">
      <c r="A866" t="s">
        <v>12</v>
      </c>
      <c r="B866" t="s">
        <v>0</v>
      </c>
      <c r="C866" s="1">
        <v>45871.208333333336</v>
      </c>
      <c r="D866">
        <v>7</v>
      </c>
    </row>
    <row r="867" spans="1:4" x14ac:dyDescent="0.25">
      <c r="A867" t="s">
        <v>9</v>
      </c>
      <c r="B867" t="s">
        <v>51</v>
      </c>
      <c r="C867" s="1">
        <v>45872.458333333336</v>
      </c>
      <c r="D867">
        <v>20</v>
      </c>
    </row>
    <row r="868" spans="1:4" x14ac:dyDescent="0.25">
      <c r="A868" t="s">
        <v>14</v>
      </c>
      <c r="B868" t="s">
        <v>2</v>
      </c>
      <c r="C868" s="1">
        <v>45871.125</v>
      </c>
      <c r="D868">
        <v>4</v>
      </c>
    </row>
    <row r="869" spans="1:4" x14ac:dyDescent="0.25">
      <c r="A869" t="s">
        <v>7</v>
      </c>
      <c r="B869" t="s">
        <v>8</v>
      </c>
      <c r="C869" s="1">
        <v>45871.958333333336</v>
      </c>
      <c r="D869">
        <v>32</v>
      </c>
    </row>
    <row r="870" spans="1:4" x14ac:dyDescent="0.25">
      <c r="A870" t="s">
        <v>7</v>
      </c>
      <c r="B870" t="s">
        <v>20</v>
      </c>
      <c r="C870" s="1">
        <v>45872.916666666664</v>
      </c>
      <c r="D870">
        <v>7</v>
      </c>
    </row>
    <row r="871" spans="1:4" x14ac:dyDescent="0.25">
      <c r="A871" t="s">
        <v>11</v>
      </c>
      <c r="B871" t="s">
        <v>20</v>
      </c>
      <c r="C871" s="1">
        <v>45871.125</v>
      </c>
      <c r="D871">
        <v>2</v>
      </c>
    </row>
    <row r="872" spans="1:4" x14ac:dyDescent="0.25">
      <c r="A872" t="s">
        <v>81</v>
      </c>
      <c r="B872" t="s">
        <v>20</v>
      </c>
      <c r="C872" s="1">
        <v>45873.125</v>
      </c>
      <c r="D872">
        <v>9</v>
      </c>
    </row>
    <row r="873" spans="1:4" x14ac:dyDescent="0.25">
      <c r="A873" t="s">
        <v>7</v>
      </c>
      <c r="B873" t="s">
        <v>2</v>
      </c>
      <c r="C873" s="1">
        <v>45871.583333333336</v>
      </c>
      <c r="D873">
        <v>7</v>
      </c>
    </row>
    <row r="874" spans="1:4" x14ac:dyDescent="0.25">
      <c r="A874" t="s">
        <v>9</v>
      </c>
      <c r="B874" t="s">
        <v>19</v>
      </c>
      <c r="C874" s="1">
        <v>45871.458333333336</v>
      </c>
      <c r="D874">
        <v>113</v>
      </c>
    </row>
    <row r="875" spans="1:4" x14ac:dyDescent="0.25">
      <c r="A875" t="s">
        <v>13</v>
      </c>
      <c r="B875" t="s">
        <v>80</v>
      </c>
      <c r="C875" s="1">
        <v>45883.458333333336</v>
      </c>
      <c r="D875">
        <v>16</v>
      </c>
    </row>
    <row r="876" spans="1:4" x14ac:dyDescent="0.25">
      <c r="A876" t="s">
        <v>9</v>
      </c>
      <c r="B876" t="s">
        <v>20</v>
      </c>
      <c r="C876" s="1">
        <v>45871.604166666664</v>
      </c>
      <c r="D876">
        <v>58</v>
      </c>
    </row>
    <row r="877" spans="1:4" x14ac:dyDescent="0.25">
      <c r="A877" t="s">
        <v>23</v>
      </c>
      <c r="B877" t="s">
        <v>0</v>
      </c>
      <c r="C877" s="1">
        <v>45873.125</v>
      </c>
      <c r="D877">
        <v>25</v>
      </c>
    </row>
    <row r="878" spans="1:4" x14ac:dyDescent="0.25">
      <c r="A878" t="s">
        <v>9</v>
      </c>
      <c r="B878" t="s">
        <v>1</v>
      </c>
      <c r="C878" s="1">
        <v>45871.885416666664</v>
      </c>
      <c r="D878">
        <v>22</v>
      </c>
    </row>
    <row r="879" spans="1:4" x14ac:dyDescent="0.25">
      <c r="A879" t="s">
        <v>23</v>
      </c>
      <c r="B879" t="s">
        <v>8</v>
      </c>
      <c r="C879" s="1">
        <v>45876.885416666664</v>
      </c>
      <c r="D879">
        <v>56</v>
      </c>
    </row>
    <row r="880" spans="1:4" x14ac:dyDescent="0.25">
      <c r="A880" t="s">
        <v>23</v>
      </c>
      <c r="B880" t="s">
        <v>1</v>
      </c>
      <c r="C880" s="1">
        <v>45876.125</v>
      </c>
      <c r="D880">
        <v>6</v>
      </c>
    </row>
    <row r="881" spans="1:4" x14ac:dyDescent="0.25">
      <c r="A881" t="s">
        <v>23</v>
      </c>
      <c r="B881" t="s">
        <v>19</v>
      </c>
      <c r="C881" s="1">
        <v>45875.885416666664</v>
      </c>
      <c r="D881">
        <v>24</v>
      </c>
    </row>
    <row r="882" spans="1:4" x14ac:dyDescent="0.25">
      <c r="A882" t="s">
        <v>7</v>
      </c>
      <c r="B882" t="s">
        <v>0</v>
      </c>
      <c r="C882" s="1">
        <v>45873.020833333336</v>
      </c>
      <c r="D882">
        <v>3</v>
      </c>
    </row>
    <row r="883" spans="1:4" x14ac:dyDescent="0.25">
      <c r="A883" t="s">
        <v>7</v>
      </c>
      <c r="B883" t="s">
        <v>57</v>
      </c>
      <c r="C883" s="1">
        <v>45873.583333333336</v>
      </c>
      <c r="D883">
        <v>4</v>
      </c>
    </row>
    <row r="884" spans="1:4" x14ac:dyDescent="0.25">
      <c r="A884" t="s">
        <v>23</v>
      </c>
      <c r="B884" t="s">
        <v>19</v>
      </c>
      <c r="C884" s="1">
        <v>45873.604166666664</v>
      </c>
      <c r="D884">
        <v>14</v>
      </c>
    </row>
    <row r="885" spans="1:4" x14ac:dyDescent="0.25">
      <c r="A885" t="s">
        <v>79</v>
      </c>
      <c r="B885" t="s">
        <v>80</v>
      </c>
      <c r="C885" s="1">
        <v>45877.458333333336</v>
      </c>
      <c r="D885">
        <v>10</v>
      </c>
    </row>
    <row r="886" spans="1:4" x14ac:dyDescent="0.25">
      <c r="A886" t="s">
        <v>77</v>
      </c>
      <c r="B886" t="s">
        <v>8</v>
      </c>
      <c r="C886" s="1">
        <v>45871.75</v>
      </c>
      <c r="D886">
        <v>19</v>
      </c>
    </row>
    <row r="887" spans="1:4" x14ac:dyDescent="0.25">
      <c r="A887" t="s">
        <v>9</v>
      </c>
      <c r="B887" t="s">
        <v>20</v>
      </c>
      <c r="C887" s="1">
        <v>45871.666666666664</v>
      </c>
      <c r="D887">
        <v>57</v>
      </c>
    </row>
    <row r="888" spans="1:4" x14ac:dyDescent="0.25">
      <c r="A888" t="s">
        <v>13</v>
      </c>
      <c r="B888" t="s">
        <v>84</v>
      </c>
      <c r="C888" s="1">
        <v>45879.458333333336</v>
      </c>
      <c r="D888">
        <v>288</v>
      </c>
    </row>
    <row r="889" spans="1:4" x14ac:dyDescent="0.25">
      <c r="A889" t="s">
        <v>23</v>
      </c>
      <c r="B889" t="s">
        <v>0</v>
      </c>
      <c r="C889" s="1">
        <v>45874.666666666664</v>
      </c>
      <c r="D889">
        <v>1</v>
      </c>
    </row>
    <row r="890" spans="1:4" x14ac:dyDescent="0.25">
      <c r="A890" t="s">
        <v>15</v>
      </c>
      <c r="B890" t="s">
        <v>20</v>
      </c>
      <c r="C890" s="1">
        <v>45871.145833333336</v>
      </c>
      <c r="D890">
        <v>3</v>
      </c>
    </row>
    <row r="891" spans="1:4" x14ac:dyDescent="0.25">
      <c r="A891" t="s">
        <v>77</v>
      </c>
      <c r="B891" t="s">
        <v>57</v>
      </c>
      <c r="C891" s="1">
        <v>45871.208333333336</v>
      </c>
      <c r="D891">
        <v>707</v>
      </c>
    </row>
    <row r="892" spans="1:4" x14ac:dyDescent="0.25">
      <c r="A892" t="s">
        <v>77</v>
      </c>
      <c r="B892" t="s">
        <v>8</v>
      </c>
      <c r="C892" s="1">
        <v>45871.166666666664</v>
      </c>
      <c r="D892">
        <v>493</v>
      </c>
    </row>
    <row r="893" spans="1:4" x14ac:dyDescent="0.25">
      <c r="A893" t="s">
        <v>23</v>
      </c>
      <c r="B893" t="s">
        <v>8</v>
      </c>
      <c r="C893" s="1">
        <v>45874.625</v>
      </c>
      <c r="D893">
        <v>19</v>
      </c>
    </row>
    <row r="894" spans="1:4" x14ac:dyDescent="0.25">
      <c r="A894" t="s">
        <v>79</v>
      </c>
      <c r="B894" t="s">
        <v>4</v>
      </c>
      <c r="C894" s="1">
        <v>45874.125</v>
      </c>
      <c r="D894">
        <v>2</v>
      </c>
    </row>
    <row r="895" spans="1:4" x14ac:dyDescent="0.25">
      <c r="A895" t="s">
        <v>81</v>
      </c>
      <c r="B895" t="s">
        <v>2</v>
      </c>
      <c r="C895" s="1">
        <v>45871.854166666664</v>
      </c>
      <c r="D895">
        <v>8</v>
      </c>
    </row>
    <row r="896" spans="1:4" x14ac:dyDescent="0.25">
      <c r="A896" t="s">
        <v>13</v>
      </c>
      <c r="B896" t="s">
        <v>84</v>
      </c>
      <c r="C896" s="1">
        <v>45863.458333333336</v>
      </c>
      <c r="D896">
        <v>780</v>
      </c>
    </row>
    <row r="897" spans="1:4" x14ac:dyDescent="0.25">
      <c r="A897" t="s">
        <v>9</v>
      </c>
      <c r="B897" t="s">
        <v>8</v>
      </c>
      <c r="C897" s="1">
        <v>45871.666666666664</v>
      </c>
      <c r="D897">
        <v>7</v>
      </c>
    </row>
    <row r="898" spans="1:4" x14ac:dyDescent="0.25">
      <c r="A898" t="s">
        <v>7</v>
      </c>
      <c r="B898" t="s">
        <v>2</v>
      </c>
      <c r="C898" s="1">
        <v>45872.885416666664</v>
      </c>
      <c r="D898">
        <v>55</v>
      </c>
    </row>
    <row r="899" spans="1:4" x14ac:dyDescent="0.25">
      <c r="A899" t="s">
        <v>81</v>
      </c>
      <c r="B899" t="s">
        <v>20</v>
      </c>
      <c r="C899" s="1">
        <v>45871.958333333336</v>
      </c>
      <c r="D899">
        <v>18</v>
      </c>
    </row>
    <row r="900" spans="1:4" x14ac:dyDescent="0.25">
      <c r="A900" t="s">
        <v>23</v>
      </c>
      <c r="B900" t="s">
        <v>1</v>
      </c>
      <c r="C900" s="1">
        <v>45874.541666666664</v>
      </c>
      <c r="D900">
        <v>2</v>
      </c>
    </row>
    <row r="901" spans="1:4" x14ac:dyDescent="0.25">
      <c r="A901" t="s">
        <v>10</v>
      </c>
      <c r="B901" t="s">
        <v>1</v>
      </c>
      <c r="C901" s="1">
        <v>45871.0625</v>
      </c>
      <c r="D901">
        <v>1</v>
      </c>
    </row>
    <row r="902" spans="1:4" x14ac:dyDescent="0.25">
      <c r="A902" t="s">
        <v>9</v>
      </c>
      <c r="B902" t="s">
        <v>19</v>
      </c>
      <c r="C902" s="1">
        <v>45871.083333333336</v>
      </c>
      <c r="D902">
        <v>146</v>
      </c>
    </row>
    <row r="903" spans="1:4" x14ac:dyDescent="0.25">
      <c r="A903" t="s">
        <v>88</v>
      </c>
      <c r="B903" t="s">
        <v>0</v>
      </c>
      <c r="C903" s="1">
        <v>45871.125</v>
      </c>
      <c r="D903">
        <v>314</v>
      </c>
    </row>
    <row r="904" spans="1:4" x14ac:dyDescent="0.25">
      <c r="A904" t="s">
        <v>23</v>
      </c>
      <c r="B904" t="s">
        <v>2</v>
      </c>
      <c r="C904" s="1">
        <v>45875.083333333336</v>
      </c>
      <c r="D904">
        <v>1</v>
      </c>
    </row>
    <row r="905" spans="1:4" x14ac:dyDescent="0.25">
      <c r="A905" t="s">
        <v>7</v>
      </c>
      <c r="B905" t="s">
        <v>2</v>
      </c>
      <c r="C905" s="1">
        <v>45871.75</v>
      </c>
      <c r="D905">
        <v>38</v>
      </c>
    </row>
    <row r="906" spans="1:4" x14ac:dyDescent="0.25">
      <c r="A906" t="s">
        <v>10</v>
      </c>
      <c r="B906" t="s">
        <v>1</v>
      </c>
      <c r="C906" s="1">
        <v>45870.885416666664</v>
      </c>
      <c r="D906">
        <v>1</v>
      </c>
    </row>
    <row r="907" spans="1:4" x14ac:dyDescent="0.25">
      <c r="A907" t="s">
        <v>7</v>
      </c>
      <c r="B907" t="s">
        <v>1</v>
      </c>
      <c r="C907" s="1">
        <v>45873.458333333336</v>
      </c>
      <c r="D907">
        <v>1</v>
      </c>
    </row>
    <row r="908" spans="1:4" x14ac:dyDescent="0.25">
      <c r="A908" t="s">
        <v>77</v>
      </c>
      <c r="B908" t="s">
        <v>42</v>
      </c>
      <c r="C908" s="1">
        <v>45883.458333333336</v>
      </c>
      <c r="D908">
        <v>127</v>
      </c>
    </row>
    <row r="909" spans="1:4" x14ac:dyDescent="0.25">
      <c r="A909" t="s">
        <v>77</v>
      </c>
      <c r="B909" t="s">
        <v>53</v>
      </c>
      <c r="C909" s="1">
        <v>45875.458333333336</v>
      </c>
      <c r="D909">
        <v>255</v>
      </c>
    </row>
    <row r="910" spans="1:4" x14ac:dyDescent="0.25">
      <c r="A910" t="s">
        <v>23</v>
      </c>
      <c r="B910" t="s">
        <v>19</v>
      </c>
      <c r="C910" s="1">
        <v>45874.625</v>
      </c>
      <c r="D910">
        <v>22</v>
      </c>
    </row>
    <row r="911" spans="1:4" x14ac:dyDescent="0.25">
      <c r="A911" t="s">
        <v>7</v>
      </c>
      <c r="B911" t="s">
        <v>1</v>
      </c>
      <c r="C911" s="1">
        <v>45876.75</v>
      </c>
      <c r="D911">
        <v>1</v>
      </c>
    </row>
    <row r="912" spans="1:4" x14ac:dyDescent="0.25">
      <c r="A912" t="s">
        <v>7</v>
      </c>
      <c r="B912" t="s">
        <v>1</v>
      </c>
      <c r="C912" s="1">
        <v>45871.604166666664</v>
      </c>
      <c r="D912">
        <v>199</v>
      </c>
    </row>
    <row r="913" spans="1:4" x14ac:dyDescent="0.25">
      <c r="A913" t="s">
        <v>14</v>
      </c>
      <c r="B913" t="s">
        <v>19</v>
      </c>
      <c r="C913" s="1">
        <v>45871.041666666664</v>
      </c>
      <c r="D913">
        <v>2</v>
      </c>
    </row>
    <row r="914" spans="1:4" x14ac:dyDescent="0.25">
      <c r="A914" t="s">
        <v>9</v>
      </c>
      <c r="B914" t="s">
        <v>0</v>
      </c>
      <c r="C914" s="1">
        <v>45871.020833333336</v>
      </c>
      <c r="D914">
        <v>12</v>
      </c>
    </row>
    <row r="915" spans="1:4" x14ac:dyDescent="0.25">
      <c r="A915" t="s">
        <v>9</v>
      </c>
      <c r="B915" t="s">
        <v>20</v>
      </c>
      <c r="C915" s="1">
        <v>45871.083333333336</v>
      </c>
      <c r="D915">
        <v>88</v>
      </c>
    </row>
    <row r="916" spans="1:4" x14ac:dyDescent="0.25">
      <c r="A916" t="s">
        <v>87</v>
      </c>
      <c r="B916" t="s">
        <v>294</v>
      </c>
      <c r="C916" s="1">
        <v>45865.458333333336</v>
      </c>
      <c r="D916">
        <v>1</v>
      </c>
    </row>
    <row r="917" spans="1:4" x14ac:dyDescent="0.25">
      <c r="A917" t="s">
        <v>81</v>
      </c>
      <c r="B917" t="s">
        <v>8</v>
      </c>
      <c r="C917" s="1">
        <v>45871.125</v>
      </c>
      <c r="D917">
        <v>75</v>
      </c>
    </row>
    <row r="918" spans="1:4" x14ac:dyDescent="0.25">
      <c r="A918" t="s">
        <v>7</v>
      </c>
      <c r="B918" t="s">
        <v>20</v>
      </c>
      <c r="C918" s="1">
        <v>45873.083333333336</v>
      </c>
      <c r="D918">
        <v>8</v>
      </c>
    </row>
    <row r="919" spans="1:4" x14ac:dyDescent="0.25">
      <c r="A919" t="s">
        <v>23</v>
      </c>
      <c r="B919" t="s">
        <v>2</v>
      </c>
      <c r="C919" s="1">
        <v>45875.666666666664</v>
      </c>
      <c r="D919">
        <v>2</v>
      </c>
    </row>
    <row r="920" spans="1:4" x14ac:dyDescent="0.25">
      <c r="A920" t="s">
        <v>23</v>
      </c>
      <c r="B920" t="s">
        <v>8</v>
      </c>
      <c r="C920" s="1">
        <v>45873.604166666664</v>
      </c>
      <c r="D920">
        <v>12</v>
      </c>
    </row>
    <row r="921" spans="1:4" x14ac:dyDescent="0.25">
      <c r="A921" t="s">
        <v>11</v>
      </c>
      <c r="B921" t="s">
        <v>8</v>
      </c>
      <c r="C921" s="1">
        <v>45867.145833333336</v>
      </c>
      <c r="D921">
        <v>2</v>
      </c>
    </row>
    <row r="922" spans="1:4" x14ac:dyDescent="0.25">
      <c r="A922" t="s">
        <v>23</v>
      </c>
      <c r="B922" t="s">
        <v>20</v>
      </c>
      <c r="C922" s="1">
        <v>45873.208333333336</v>
      </c>
      <c r="D922">
        <v>1</v>
      </c>
    </row>
    <row r="923" spans="1:4" x14ac:dyDescent="0.25">
      <c r="A923" t="s">
        <v>7</v>
      </c>
      <c r="B923" t="s">
        <v>8</v>
      </c>
      <c r="C923" s="1">
        <v>45874.125</v>
      </c>
      <c r="D923">
        <v>206</v>
      </c>
    </row>
    <row r="924" spans="1:4" x14ac:dyDescent="0.25">
      <c r="A924" t="s">
        <v>77</v>
      </c>
      <c r="B924" t="s">
        <v>1</v>
      </c>
      <c r="C924" s="1">
        <v>45871.666666666664</v>
      </c>
      <c r="D924">
        <v>176</v>
      </c>
    </row>
    <row r="925" spans="1:4" x14ac:dyDescent="0.25">
      <c r="A925" t="s">
        <v>14</v>
      </c>
      <c r="B925" t="s">
        <v>20</v>
      </c>
      <c r="C925" s="1">
        <v>45871.1875</v>
      </c>
      <c r="D925">
        <v>1</v>
      </c>
    </row>
    <row r="926" spans="1:4" x14ac:dyDescent="0.25">
      <c r="A926" t="s">
        <v>83</v>
      </c>
      <c r="B926" t="s">
        <v>8</v>
      </c>
      <c r="C926" s="1">
        <v>45867.125</v>
      </c>
      <c r="D926">
        <v>2</v>
      </c>
    </row>
    <row r="927" spans="1:4" x14ac:dyDescent="0.25">
      <c r="A927" t="s">
        <v>11</v>
      </c>
      <c r="B927" t="s">
        <v>92</v>
      </c>
      <c r="C927" s="1">
        <v>45878.458333333336</v>
      </c>
      <c r="D927">
        <v>39</v>
      </c>
    </row>
    <row r="928" spans="1:4" x14ac:dyDescent="0.25">
      <c r="A928" t="s">
        <v>7</v>
      </c>
      <c r="B928" t="s">
        <v>39</v>
      </c>
      <c r="C928" s="1">
        <v>45883.458333333336</v>
      </c>
      <c r="D928">
        <v>4048</v>
      </c>
    </row>
    <row r="929" spans="1:4" x14ac:dyDescent="0.25">
      <c r="A929" t="s">
        <v>23</v>
      </c>
      <c r="B929" t="s">
        <v>0</v>
      </c>
      <c r="C929" s="1">
        <v>45872.916666666664</v>
      </c>
      <c r="D929">
        <v>2</v>
      </c>
    </row>
    <row r="930" spans="1:4" x14ac:dyDescent="0.25">
      <c r="A930" t="s">
        <v>23</v>
      </c>
      <c r="B930" t="s">
        <v>20</v>
      </c>
      <c r="C930" s="1">
        <v>45877.583333333336</v>
      </c>
      <c r="D930">
        <v>2</v>
      </c>
    </row>
    <row r="931" spans="1:4" x14ac:dyDescent="0.25">
      <c r="A931" t="s">
        <v>81</v>
      </c>
      <c r="B931" t="s">
        <v>53</v>
      </c>
      <c r="C931" s="1">
        <v>45875.458333333336</v>
      </c>
      <c r="D931">
        <v>549</v>
      </c>
    </row>
    <row r="932" spans="1:4" x14ac:dyDescent="0.25">
      <c r="A932" t="s">
        <v>81</v>
      </c>
      <c r="B932" t="s">
        <v>1</v>
      </c>
      <c r="C932" s="1">
        <v>45872.145833333336</v>
      </c>
      <c r="D932">
        <v>47</v>
      </c>
    </row>
    <row r="933" spans="1:4" x14ac:dyDescent="0.25">
      <c r="A933" t="s">
        <v>81</v>
      </c>
      <c r="B933" t="s">
        <v>20</v>
      </c>
      <c r="C933" s="1">
        <v>45872.916666666664</v>
      </c>
      <c r="D933">
        <v>6</v>
      </c>
    </row>
    <row r="934" spans="1:4" x14ac:dyDescent="0.25">
      <c r="A934" t="s">
        <v>81</v>
      </c>
      <c r="B934" t="s">
        <v>57</v>
      </c>
      <c r="C934" s="1">
        <v>45872.885416666664</v>
      </c>
      <c r="D934">
        <v>3</v>
      </c>
    </row>
    <row r="935" spans="1:4" x14ac:dyDescent="0.25">
      <c r="A935" t="s">
        <v>81</v>
      </c>
      <c r="B935" t="s">
        <v>20</v>
      </c>
      <c r="C935" s="1">
        <v>45873.145833333336</v>
      </c>
      <c r="D935">
        <v>13</v>
      </c>
    </row>
    <row r="936" spans="1:4" x14ac:dyDescent="0.25">
      <c r="A936" t="s">
        <v>23</v>
      </c>
      <c r="B936" t="s">
        <v>19</v>
      </c>
      <c r="C936" s="1">
        <v>45879.916666666664</v>
      </c>
      <c r="D936">
        <v>4</v>
      </c>
    </row>
    <row r="937" spans="1:4" x14ac:dyDescent="0.25">
      <c r="A937" t="s">
        <v>7</v>
      </c>
      <c r="B937" t="s">
        <v>57</v>
      </c>
      <c r="C937" s="1">
        <v>45871.395833333336</v>
      </c>
      <c r="D937">
        <v>3</v>
      </c>
    </row>
    <row r="938" spans="1:4" x14ac:dyDescent="0.25">
      <c r="A938" t="s">
        <v>81</v>
      </c>
      <c r="B938" t="s">
        <v>19</v>
      </c>
      <c r="C938" s="1">
        <v>45871.125</v>
      </c>
      <c r="D938">
        <v>99</v>
      </c>
    </row>
    <row r="939" spans="1:4" x14ac:dyDescent="0.25">
      <c r="A939" t="s">
        <v>23</v>
      </c>
      <c r="B939" t="s">
        <v>8</v>
      </c>
      <c r="C939" s="1">
        <v>45873.020833333336</v>
      </c>
      <c r="D939">
        <v>20</v>
      </c>
    </row>
    <row r="940" spans="1:4" x14ac:dyDescent="0.25">
      <c r="A940" t="s">
        <v>7</v>
      </c>
      <c r="B940" t="s">
        <v>19</v>
      </c>
      <c r="C940" s="1">
        <v>45871.916666666664</v>
      </c>
      <c r="D940">
        <v>263</v>
      </c>
    </row>
    <row r="941" spans="1:4" x14ac:dyDescent="0.25">
      <c r="A941" t="s">
        <v>14</v>
      </c>
      <c r="B941" t="s">
        <v>53</v>
      </c>
      <c r="C941" s="1">
        <v>45869.458333333336</v>
      </c>
      <c r="D941">
        <v>5</v>
      </c>
    </row>
    <row r="942" spans="1:4" x14ac:dyDescent="0.25">
      <c r="A942" t="s">
        <v>77</v>
      </c>
      <c r="B942" t="s">
        <v>1</v>
      </c>
      <c r="C942" s="1">
        <v>45871.083333333336</v>
      </c>
      <c r="D942">
        <v>22</v>
      </c>
    </row>
    <row r="943" spans="1:4" x14ac:dyDescent="0.25">
      <c r="A943" t="s">
        <v>9</v>
      </c>
      <c r="B943" t="s">
        <v>53</v>
      </c>
      <c r="C943" s="1">
        <v>45864.458333333336</v>
      </c>
      <c r="D943">
        <v>12</v>
      </c>
    </row>
    <row r="944" spans="1:4" x14ac:dyDescent="0.25">
      <c r="A944" t="s">
        <v>83</v>
      </c>
      <c r="B944" t="s">
        <v>19</v>
      </c>
      <c r="C944" s="1">
        <v>45867.125</v>
      </c>
      <c r="D944">
        <v>27</v>
      </c>
    </row>
    <row r="945" spans="1:4" x14ac:dyDescent="0.25">
      <c r="A945" t="s">
        <v>23</v>
      </c>
      <c r="B945" t="s">
        <v>1</v>
      </c>
      <c r="C945" s="1">
        <v>45871.145833333336</v>
      </c>
      <c r="D945">
        <v>6</v>
      </c>
    </row>
    <row r="946" spans="1:4" x14ac:dyDescent="0.25">
      <c r="A946" t="s">
        <v>10</v>
      </c>
      <c r="B946" t="s">
        <v>2</v>
      </c>
      <c r="C946" s="1">
        <v>45871.145833333336</v>
      </c>
      <c r="D946">
        <v>354</v>
      </c>
    </row>
    <row r="947" spans="1:4" x14ac:dyDescent="0.25">
      <c r="A947" t="s">
        <v>81</v>
      </c>
      <c r="B947" t="s">
        <v>1</v>
      </c>
      <c r="C947" s="1">
        <v>45872.729166666664</v>
      </c>
      <c r="D947">
        <v>18</v>
      </c>
    </row>
    <row r="948" spans="1:4" x14ac:dyDescent="0.25">
      <c r="A948" t="s">
        <v>23</v>
      </c>
      <c r="B948" t="s">
        <v>57</v>
      </c>
      <c r="C948" s="1">
        <v>45872.604166666664</v>
      </c>
      <c r="D948">
        <v>1</v>
      </c>
    </row>
    <row r="949" spans="1:4" x14ac:dyDescent="0.25">
      <c r="A949" t="s">
        <v>81</v>
      </c>
      <c r="B949" t="s">
        <v>57</v>
      </c>
      <c r="C949" s="1">
        <v>45871.1875</v>
      </c>
      <c r="D949">
        <v>5</v>
      </c>
    </row>
    <row r="950" spans="1:4" x14ac:dyDescent="0.25">
      <c r="A950" t="s">
        <v>10</v>
      </c>
      <c r="B950" t="s">
        <v>57</v>
      </c>
      <c r="C950" s="1">
        <v>45871.166666666664</v>
      </c>
      <c r="D950">
        <v>34</v>
      </c>
    </row>
    <row r="951" spans="1:4" x14ac:dyDescent="0.25">
      <c r="A951" t="s">
        <v>23</v>
      </c>
      <c r="B951" t="s">
        <v>19</v>
      </c>
      <c r="C951" s="1">
        <v>45873.020833333336</v>
      </c>
      <c r="D951">
        <v>19</v>
      </c>
    </row>
    <row r="952" spans="1:4" x14ac:dyDescent="0.25">
      <c r="A952" t="s">
        <v>7</v>
      </c>
      <c r="B952" t="s">
        <v>20</v>
      </c>
      <c r="C952" s="1">
        <v>45874.125</v>
      </c>
      <c r="D952">
        <v>6</v>
      </c>
    </row>
    <row r="953" spans="1:4" x14ac:dyDescent="0.25">
      <c r="A953" t="s">
        <v>83</v>
      </c>
      <c r="B953" t="s">
        <v>19</v>
      </c>
      <c r="C953" s="1">
        <v>45867.1875</v>
      </c>
      <c r="D953">
        <v>3</v>
      </c>
    </row>
    <row r="954" spans="1:4" x14ac:dyDescent="0.25">
      <c r="A954" t="s">
        <v>7</v>
      </c>
      <c r="B954" t="s">
        <v>57</v>
      </c>
      <c r="C954" s="1">
        <v>45871.208333333336</v>
      </c>
      <c r="D954">
        <v>740</v>
      </c>
    </row>
    <row r="955" spans="1:4" x14ac:dyDescent="0.25">
      <c r="A955" t="s">
        <v>81</v>
      </c>
      <c r="B955" t="s">
        <v>2</v>
      </c>
      <c r="C955" s="1">
        <v>45872.166666666664</v>
      </c>
      <c r="D955">
        <v>49</v>
      </c>
    </row>
    <row r="956" spans="1:4" x14ac:dyDescent="0.25">
      <c r="A956" t="s">
        <v>7</v>
      </c>
      <c r="B956" t="s">
        <v>0</v>
      </c>
      <c r="C956" s="1">
        <v>45871.885416666664</v>
      </c>
      <c r="D956">
        <v>252</v>
      </c>
    </row>
    <row r="957" spans="1:4" x14ac:dyDescent="0.25">
      <c r="A957" t="s">
        <v>81</v>
      </c>
      <c r="B957" t="s">
        <v>2</v>
      </c>
      <c r="C957" s="1">
        <v>45871.583333333336</v>
      </c>
      <c r="D957">
        <v>7</v>
      </c>
    </row>
    <row r="958" spans="1:4" x14ac:dyDescent="0.25">
      <c r="A958" t="s">
        <v>11</v>
      </c>
      <c r="B958" t="s">
        <v>53</v>
      </c>
      <c r="C958" s="1">
        <v>45872.458333333336</v>
      </c>
      <c r="D958">
        <v>664</v>
      </c>
    </row>
    <row r="959" spans="1:4" x14ac:dyDescent="0.25">
      <c r="A959" t="s">
        <v>81</v>
      </c>
      <c r="B959" t="s">
        <v>8</v>
      </c>
      <c r="C959" s="1">
        <v>45873.020833333336</v>
      </c>
      <c r="D959">
        <v>4</v>
      </c>
    </row>
    <row r="960" spans="1:4" x14ac:dyDescent="0.25">
      <c r="A960" t="s">
        <v>23</v>
      </c>
      <c r="B960" t="s">
        <v>2</v>
      </c>
      <c r="C960" s="1">
        <v>45871.885416666664</v>
      </c>
      <c r="D960">
        <v>3</v>
      </c>
    </row>
    <row r="961" spans="1:4" x14ac:dyDescent="0.25">
      <c r="A961" t="s">
        <v>81</v>
      </c>
      <c r="B961" t="s">
        <v>1</v>
      </c>
      <c r="C961" s="1">
        <v>45871.5</v>
      </c>
      <c r="D961">
        <v>1</v>
      </c>
    </row>
    <row r="962" spans="1:4" x14ac:dyDescent="0.25">
      <c r="A962" t="s">
        <v>9</v>
      </c>
      <c r="B962" t="s">
        <v>8</v>
      </c>
      <c r="C962" s="1">
        <v>45871.083333333336</v>
      </c>
      <c r="D962">
        <v>78</v>
      </c>
    </row>
    <row r="963" spans="1:4" x14ac:dyDescent="0.25">
      <c r="A963" t="s">
        <v>10</v>
      </c>
      <c r="B963" t="s">
        <v>0</v>
      </c>
      <c r="C963" s="1">
        <v>45871.1875</v>
      </c>
      <c r="D963">
        <v>12</v>
      </c>
    </row>
    <row r="964" spans="1:4" x14ac:dyDescent="0.25">
      <c r="A964" t="s">
        <v>87</v>
      </c>
      <c r="B964" t="s">
        <v>0</v>
      </c>
      <c r="C964" s="1">
        <v>45871.083333333336</v>
      </c>
      <c r="D964">
        <v>1</v>
      </c>
    </row>
    <row r="965" spans="1:4" x14ac:dyDescent="0.25">
      <c r="A965" t="s">
        <v>7</v>
      </c>
      <c r="B965" t="s">
        <v>8</v>
      </c>
      <c r="C965" s="1">
        <v>45874.1875</v>
      </c>
      <c r="D965">
        <v>9</v>
      </c>
    </row>
    <row r="966" spans="1:4" x14ac:dyDescent="0.25">
      <c r="A966" t="s">
        <v>7</v>
      </c>
      <c r="B966" t="s">
        <v>0</v>
      </c>
      <c r="C966" s="1">
        <v>45871.947916666664</v>
      </c>
      <c r="D966">
        <v>14</v>
      </c>
    </row>
    <row r="967" spans="1:4" x14ac:dyDescent="0.25">
      <c r="A967" t="s">
        <v>81</v>
      </c>
      <c r="B967" t="s">
        <v>57</v>
      </c>
      <c r="C967" s="1">
        <v>45871.208333333336</v>
      </c>
      <c r="D967">
        <v>7</v>
      </c>
    </row>
    <row r="968" spans="1:4" x14ac:dyDescent="0.25">
      <c r="A968" t="s">
        <v>11</v>
      </c>
      <c r="B968" t="s">
        <v>1</v>
      </c>
      <c r="C968" s="1">
        <v>45871.145833333336</v>
      </c>
      <c r="D968">
        <v>1</v>
      </c>
    </row>
    <row r="969" spans="1:4" x14ac:dyDescent="0.25">
      <c r="A969" t="s">
        <v>81</v>
      </c>
      <c r="B969" t="s">
        <v>8</v>
      </c>
      <c r="C969" s="1">
        <v>45871.166666666664</v>
      </c>
      <c r="D969">
        <v>37</v>
      </c>
    </row>
    <row r="970" spans="1:4" x14ac:dyDescent="0.25">
      <c r="A970" t="s">
        <v>9</v>
      </c>
      <c r="B970" t="s">
        <v>19</v>
      </c>
      <c r="C970" s="1">
        <v>45871.145833333336</v>
      </c>
      <c r="D970">
        <v>702</v>
      </c>
    </row>
    <row r="971" spans="1:4" x14ac:dyDescent="0.25">
      <c r="A971" t="s">
        <v>12</v>
      </c>
      <c r="B971" t="s">
        <v>20</v>
      </c>
      <c r="C971" s="1">
        <v>45871.458333333336</v>
      </c>
      <c r="D971">
        <v>7</v>
      </c>
    </row>
    <row r="972" spans="1:4" x14ac:dyDescent="0.25">
      <c r="A972" t="s">
        <v>7</v>
      </c>
      <c r="B972" t="s">
        <v>19</v>
      </c>
      <c r="C972" s="1">
        <v>45874.166666666664</v>
      </c>
      <c r="D972">
        <v>16</v>
      </c>
    </row>
    <row r="973" spans="1:4" x14ac:dyDescent="0.25">
      <c r="A973" t="s">
        <v>23</v>
      </c>
      <c r="B973" t="s">
        <v>2</v>
      </c>
      <c r="C973" s="1">
        <v>45873.020833333336</v>
      </c>
      <c r="D973">
        <v>1</v>
      </c>
    </row>
    <row r="974" spans="1:4" x14ac:dyDescent="0.25">
      <c r="A974" t="s">
        <v>81</v>
      </c>
      <c r="B974" t="s">
        <v>19</v>
      </c>
      <c r="C974" s="1">
        <v>45873.020833333336</v>
      </c>
      <c r="D974">
        <v>2</v>
      </c>
    </row>
    <row r="975" spans="1:4" x14ac:dyDescent="0.25">
      <c r="A975" t="s">
        <v>7</v>
      </c>
      <c r="B975" t="s">
        <v>8</v>
      </c>
      <c r="C975" s="1">
        <v>45871.75</v>
      </c>
      <c r="D975">
        <v>219</v>
      </c>
    </row>
    <row r="976" spans="1:4" x14ac:dyDescent="0.25">
      <c r="A976" t="s">
        <v>81</v>
      </c>
      <c r="B976" t="s">
        <v>8</v>
      </c>
      <c r="C976" s="1">
        <v>45871.75</v>
      </c>
      <c r="D976">
        <v>168</v>
      </c>
    </row>
    <row r="977" spans="1:4" x14ac:dyDescent="0.25">
      <c r="A977" t="s">
        <v>81</v>
      </c>
      <c r="B977" t="s">
        <v>1</v>
      </c>
      <c r="C977" s="1">
        <v>45872.666666666664</v>
      </c>
      <c r="D977">
        <v>9</v>
      </c>
    </row>
    <row r="978" spans="1:4" x14ac:dyDescent="0.25">
      <c r="A978" t="s">
        <v>14</v>
      </c>
      <c r="B978" t="s">
        <v>19</v>
      </c>
      <c r="C978" s="1">
        <v>45871.083333333336</v>
      </c>
      <c r="D978">
        <v>12</v>
      </c>
    </row>
    <row r="979" spans="1:4" x14ac:dyDescent="0.25">
      <c r="A979" t="s">
        <v>81</v>
      </c>
      <c r="B979" t="s">
        <v>2</v>
      </c>
      <c r="C979" s="1">
        <v>45872.947916666664</v>
      </c>
      <c r="D979">
        <v>1</v>
      </c>
    </row>
    <row r="980" spans="1:4" x14ac:dyDescent="0.25">
      <c r="A980" t="s">
        <v>77</v>
      </c>
      <c r="B980" t="s">
        <v>8</v>
      </c>
      <c r="C980" s="1">
        <v>45871.125</v>
      </c>
      <c r="D980">
        <v>315</v>
      </c>
    </row>
    <row r="981" spans="1:4" x14ac:dyDescent="0.25">
      <c r="A981" t="s">
        <v>23</v>
      </c>
      <c r="B981" t="s">
        <v>1</v>
      </c>
      <c r="C981" s="1">
        <v>45875.75</v>
      </c>
      <c r="D981">
        <v>1</v>
      </c>
    </row>
    <row r="982" spans="1:4" x14ac:dyDescent="0.25">
      <c r="A982" t="s">
        <v>81</v>
      </c>
      <c r="B982" t="s">
        <v>0</v>
      </c>
      <c r="C982" s="1">
        <v>45872.916666666664</v>
      </c>
      <c r="D982">
        <v>4</v>
      </c>
    </row>
    <row r="983" spans="1:4" x14ac:dyDescent="0.25">
      <c r="A983" t="s">
        <v>88</v>
      </c>
      <c r="B983" t="s">
        <v>20</v>
      </c>
      <c r="C983" s="1">
        <v>45871.166666666664</v>
      </c>
      <c r="D983">
        <v>32</v>
      </c>
    </row>
    <row r="984" spans="1:4" x14ac:dyDescent="0.25">
      <c r="A984" t="s">
        <v>81</v>
      </c>
      <c r="B984" t="s">
        <v>0</v>
      </c>
      <c r="C984" s="1">
        <v>45872.947916666664</v>
      </c>
      <c r="D984">
        <v>2</v>
      </c>
    </row>
    <row r="985" spans="1:4" x14ac:dyDescent="0.25">
      <c r="A985" t="s">
        <v>7</v>
      </c>
      <c r="B985" t="s">
        <v>19</v>
      </c>
      <c r="C985" s="1">
        <v>45877.583333333336</v>
      </c>
      <c r="D985">
        <v>176</v>
      </c>
    </row>
    <row r="986" spans="1:4" x14ac:dyDescent="0.25">
      <c r="A986" t="s">
        <v>10</v>
      </c>
      <c r="B986" t="s">
        <v>41</v>
      </c>
      <c r="C986" s="1">
        <v>45869.458333333336</v>
      </c>
      <c r="D986">
        <v>31</v>
      </c>
    </row>
    <row r="987" spans="1:4" x14ac:dyDescent="0.25">
      <c r="A987" t="s">
        <v>23</v>
      </c>
      <c r="B987" t="s">
        <v>0</v>
      </c>
      <c r="C987" s="1">
        <v>45877.583333333336</v>
      </c>
      <c r="D987">
        <v>4</v>
      </c>
    </row>
    <row r="988" spans="1:4" x14ac:dyDescent="0.25">
      <c r="A988" t="s">
        <v>10</v>
      </c>
      <c r="B988" t="s">
        <v>40</v>
      </c>
      <c r="C988" s="1">
        <v>45873.458333333336</v>
      </c>
      <c r="D988">
        <v>14</v>
      </c>
    </row>
    <row r="989" spans="1:4" x14ac:dyDescent="0.25">
      <c r="A989" t="s">
        <v>11</v>
      </c>
      <c r="B989" t="s">
        <v>19</v>
      </c>
      <c r="C989" s="1">
        <v>45871.166666666664</v>
      </c>
      <c r="D989">
        <v>24</v>
      </c>
    </row>
    <row r="990" spans="1:4" x14ac:dyDescent="0.25">
      <c r="A990" t="s">
        <v>77</v>
      </c>
      <c r="B990" t="s">
        <v>1</v>
      </c>
      <c r="C990" s="1">
        <v>45872.729166666664</v>
      </c>
      <c r="D990">
        <v>2</v>
      </c>
    </row>
    <row r="991" spans="1:4" x14ac:dyDescent="0.25">
      <c r="A991" t="s">
        <v>7</v>
      </c>
      <c r="B991" t="s">
        <v>1</v>
      </c>
      <c r="C991" s="1">
        <v>45874.541666666664</v>
      </c>
      <c r="D991">
        <v>2</v>
      </c>
    </row>
    <row r="992" spans="1:4" x14ac:dyDescent="0.25">
      <c r="A992" t="s">
        <v>87</v>
      </c>
      <c r="B992" t="s">
        <v>19</v>
      </c>
      <c r="C992" s="1">
        <v>45871.1875</v>
      </c>
      <c r="D992">
        <v>2</v>
      </c>
    </row>
    <row r="993" spans="1:4" x14ac:dyDescent="0.25">
      <c r="A993" t="s">
        <v>23</v>
      </c>
      <c r="B993" t="s">
        <v>20</v>
      </c>
      <c r="C993" s="1">
        <v>45873.125</v>
      </c>
      <c r="D993">
        <v>5</v>
      </c>
    </row>
    <row r="994" spans="1:4" x14ac:dyDescent="0.25">
      <c r="A994" t="s">
        <v>10</v>
      </c>
      <c r="B994" t="s">
        <v>53</v>
      </c>
      <c r="C994" s="1">
        <v>45868.458333333336</v>
      </c>
      <c r="D994">
        <v>33</v>
      </c>
    </row>
    <row r="995" spans="1:4" x14ac:dyDescent="0.25">
      <c r="A995" t="s">
        <v>7</v>
      </c>
      <c r="B995" t="s">
        <v>8</v>
      </c>
      <c r="C995" s="1">
        <v>45872.916666666664</v>
      </c>
      <c r="D995">
        <v>66</v>
      </c>
    </row>
    <row r="996" spans="1:4" x14ac:dyDescent="0.25">
      <c r="A996" t="s">
        <v>14</v>
      </c>
      <c r="B996" t="s">
        <v>8</v>
      </c>
      <c r="C996" s="1">
        <v>45871.083333333336</v>
      </c>
      <c r="D996">
        <v>6</v>
      </c>
    </row>
    <row r="997" spans="1:4" x14ac:dyDescent="0.25">
      <c r="A997" t="s">
        <v>87</v>
      </c>
      <c r="B997" t="s">
        <v>53</v>
      </c>
      <c r="C997" s="1">
        <v>45864.458333333336</v>
      </c>
      <c r="D997">
        <v>1</v>
      </c>
    </row>
    <row r="998" spans="1:4" x14ac:dyDescent="0.25">
      <c r="A998" t="s">
        <v>88</v>
      </c>
      <c r="B998" t="s">
        <v>1</v>
      </c>
      <c r="C998" s="1">
        <v>45871.541666666664</v>
      </c>
      <c r="D998">
        <v>1</v>
      </c>
    </row>
    <row r="999" spans="1:4" x14ac:dyDescent="0.25">
      <c r="A999" t="s">
        <v>23</v>
      </c>
      <c r="B999" t="s">
        <v>2</v>
      </c>
      <c r="C999" s="1">
        <v>45871.166666666664</v>
      </c>
      <c r="D999">
        <v>2</v>
      </c>
    </row>
    <row r="1000" spans="1:4" x14ac:dyDescent="0.25">
      <c r="A1000" t="s">
        <v>7</v>
      </c>
      <c r="B1000" t="s">
        <v>20</v>
      </c>
      <c r="C1000" s="1">
        <v>45877.583333333336</v>
      </c>
      <c r="D1000">
        <v>2</v>
      </c>
    </row>
    <row r="1001" spans="1:4" x14ac:dyDescent="0.25">
      <c r="A1001" t="s">
        <v>7</v>
      </c>
      <c r="B1001" t="s">
        <v>19</v>
      </c>
      <c r="C1001" s="1">
        <v>45874.145833333336</v>
      </c>
      <c r="D1001">
        <v>19</v>
      </c>
    </row>
    <row r="1002" spans="1:4" x14ac:dyDescent="0.25">
      <c r="A1002" t="s">
        <v>14</v>
      </c>
      <c r="B1002" t="s">
        <v>0</v>
      </c>
      <c r="C1002" s="1">
        <v>45871.145833333336</v>
      </c>
      <c r="D1002">
        <v>1</v>
      </c>
    </row>
    <row r="1003" spans="1:4" x14ac:dyDescent="0.25">
      <c r="A1003" t="s">
        <v>81</v>
      </c>
      <c r="B1003" t="s">
        <v>2</v>
      </c>
      <c r="C1003" s="1">
        <v>45871.625</v>
      </c>
      <c r="D1003">
        <v>233</v>
      </c>
    </row>
    <row r="1004" spans="1:4" x14ac:dyDescent="0.25">
      <c r="A1004" t="s">
        <v>7</v>
      </c>
      <c r="B1004" t="s">
        <v>60</v>
      </c>
      <c r="C1004" s="1">
        <v>45841.458333333336</v>
      </c>
      <c r="D1004">
        <v>360</v>
      </c>
    </row>
    <row r="1005" spans="1:4" x14ac:dyDescent="0.25">
      <c r="A1005" t="s">
        <v>9</v>
      </c>
      <c r="B1005" t="s">
        <v>0</v>
      </c>
      <c r="C1005" s="1">
        <v>45871.604166666664</v>
      </c>
      <c r="D1005">
        <v>3</v>
      </c>
    </row>
    <row r="1006" spans="1:4" x14ac:dyDescent="0.25">
      <c r="A1006" t="s">
        <v>7</v>
      </c>
      <c r="B1006" t="s">
        <v>1</v>
      </c>
      <c r="C1006" s="1">
        <v>45871.083333333336</v>
      </c>
      <c r="D1006">
        <v>44</v>
      </c>
    </row>
    <row r="1007" spans="1:4" x14ac:dyDescent="0.25">
      <c r="A1007" t="s">
        <v>7</v>
      </c>
      <c r="B1007" t="s">
        <v>1</v>
      </c>
      <c r="C1007" s="1">
        <v>45875.729166666664</v>
      </c>
      <c r="D1007">
        <v>1</v>
      </c>
    </row>
    <row r="1008" spans="1:4" x14ac:dyDescent="0.25">
      <c r="A1008" t="s">
        <v>11</v>
      </c>
      <c r="B1008" t="s">
        <v>8</v>
      </c>
      <c r="C1008" s="1">
        <v>45871.166666666664</v>
      </c>
      <c r="D1008">
        <v>51</v>
      </c>
    </row>
    <row r="1009" spans="1:4" x14ac:dyDescent="0.25">
      <c r="A1009" t="s">
        <v>23</v>
      </c>
      <c r="B1009" t="s">
        <v>57</v>
      </c>
      <c r="C1009" s="1">
        <v>45873.625</v>
      </c>
      <c r="D1009">
        <v>4</v>
      </c>
    </row>
    <row r="1010" spans="1:4" x14ac:dyDescent="0.25">
      <c r="A1010" t="s">
        <v>88</v>
      </c>
      <c r="B1010" t="s">
        <v>8</v>
      </c>
      <c r="C1010" s="1">
        <v>45871.1875</v>
      </c>
      <c r="D1010">
        <v>30</v>
      </c>
    </row>
    <row r="1011" spans="1:4" x14ac:dyDescent="0.25">
      <c r="A1011" t="s">
        <v>81</v>
      </c>
      <c r="B1011" t="s">
        <v>41</v>
      </c>
      <c r="C1011" s="1">
        <v>45876.458333333336</v>
      </c>
      <c r="D1011">
        <v>157</v>
      </c>
    </row>
    <row r="1012" spans="1:4" x14ac:dyDescent="0.25">
      <c r="A1012" t="s">
        <v>83</v>
      </c>
      <c r="B1012" t="s">
        <v>19</v>
      </c>
      <c r="C1012" s="1">
        <v>45867.208333333336</v>
      </c>
      <c r="D1012">
        <v>1</v>
      </c>
    </row>
    <row r="1013" spans="1:4" x14ac:dyDescent="0.25">
      <c r="A1013" t="s">
        <v>77</v>
      </c>
      <c r="B1013" t="s">
        <v>41</v>
      </c>
      <c r="C1013" s="1">
        <v>45876.458333333336</v>
      </c>
      <c r="D1013">
        <v>96</v>
      </c>
    </row>
    <row r="1014" spans="1:4" x14ac:dyDescent="0.25">
      <c r="A1014" t="s">
        <v>23</v>
      </c>
      <c r="B1014" t="s">
        <v>1</v>
      </c>
      <c r="C1014" s="1">
        <v>45874.583333333336</v>
      </c>
      <c r="D1014">
        <v>9</v>
      </c>
    </row>
    <row r="1015" spans="1:4" x14ac:dyDescent="0.25">
      <c r="A1015" t="s">
        <v>10</v>
      </c>
      <c r="B1015" t="s">
        <v>0</v>
      </c>
      <c r="C1015" s="1">
        <v>45871.625</v>
      </c>
      <c r="D1015">
        <v>7</v>
      </c>
    </row>
    <row r="1016" spans="1:4" x14ac:dyDescent="0.25">
      <c r="A1016" t="s">
        <v>9</v>
      </c>
      <c r="B1016" t="s">
        <v>40</v>
      </c>
      <c r="C1016" s="1">
        <v>45873.458333333336</v>
      </c>
      <c r="D1016">
        <v>14</v>
      </c>
    </row>
    <row r="1017" spans="1:4" x14ac:dyDescent="0.25">
      <c r="A1017" t="s">
        <v>7</v>
      </c>
      <c r="B1017" t="s">
        <v>8</v>
      </c>
      <c r="C1017" s="1">
        <v>45874.145833333336</v>
      </c>
      <c r="D1017">
        <v>27</v>
      </c>
    </row>
    <row r="1018" spans="1:4" x14ac:dyDescent="0.25">
      <c r="A1018" t="s">
        <v>7</v>
      </c>
      <c r="B1018" t="s">
        <v>57</v>
      </c>
      <c r="C1018" s="1">
        <v>45873.604166666664</v>
      </c>
      <c r="D1018">
        <v>1</v>
      </c>
    </row>
    <row r="1019" spans="1:4" x14ac:dyDescent="0.25">
      <c r="A1019" t="s">
        <v>7</v>
      </c>
      <c r="B1019" t="s">
        <v>19</v>
      </c>
      <c r="C1019" s="1">
        <v>45874.125</v>
      </c>
      <c r="D1019">
        <v>173</v>
      </c>
    </row>
    <row r="1020" spans="1:4" x14ac:dyDescent="0.25">
      <c r="A1020" t="s">
        <v>10</v>
      </c>
      <c r="B1020" t="s">
        <v>8</v>
      </c>
      <c r="C1020" s="1">
        <v>45871.145833333336</v>
      </c>
      <c r="D1020">
        <v>53</v>
      </c>
    </row>
    <row r="1021" spans="1:4" x14ac:dyDescent="0.25">
      <c r="A1021" t="s">
        <v>14</v>
      </c>
      <c r="B1021" t="s">
        <v>40</v>
      </c>
      <c r="C1021" s="1">
        <v>45873.458333333336</v>
      </c>
      <c r="D1021">
        <v>3</v>
      </c>
    </row>
    <row r="1022" spans="1:4" x14ac:dyDescent="0.25">
      <c r="A1022" t="s">
        <v>291</v>
      </c>
      <c r="B1022" t="s">
        <v>42</v>
      </c>
      <c r="C1022" s="1">
        <v>45883.458333333336</v>
      </c>
      <c r="D1022">
        <v>90</v>
      </c>
    </row>
    <row r="1023" spans="1:4" x14ac:dyDescent="0.25">
      <c r="A1023" t="s">
        <v>9</v>
      </c>
      <c r="B1023" t="s">
        <v>41</v>
      </c>
      <c r="C1023" s="1">
        <v>45865.458333333336</v>
      </c>
      <c r="D1023">
        <v>7</v>
      </c>
    </row>
    <row r="1024" spans="1:4" x14ac:dyDescent="0.25">
      <c r="A1024" t="s">
        <v>7</v>
      </c>
      <c r="B1024" t="s">
        <v>1</v>
      </c>
      <c r="C1024" s="1">
        <v>45871.666666666664</v>
      </c>
      <c r="D1024">
        <v>184</v>
      </c>
    </row>
    <row r="1025" spans="1:4" x14ac:dyDescent="0.25">
      <c r="A1025" t="s">
        <v>9</v>
      </c>
      <c r="B1025" t="s">
        <v>39</v>
      </c>
      <c r="C1025" s="1">
        <v>45864.458333333336</v>
      </c>
      <c r="D1025">
        <v>1</v>
      </c>
    </row>
    <row r="1026" spans="1:4" x14ac:dyDescent="0.25">
      <c r="A1026" t="s">
        <v>10</v>
      </c>
      <c r="B1026" t="s">
        <v>0</v>
      </c>
      <c r="C1026" s="1">
        <v>45871.041666666664</v>
      </c>
      <c r="D1026">
        <v>3</v>
      </c>
    </row>
    <row r="1027" spans="1:4" x14ac:dyDescent="0.25">
      <c r="A1027" t="s">
        <v>81</v>
      </c>
      <c r="B1027" t="s">
        <v>19</v>
      </c>
      <c r="C1027" s="1">
        <v>45871.166666666664</v>
      </c>
      <c r="D1027">
        <v>32</v>
      </c>
    </row>
    <row r="1028" spans="1:4" x14ac:dyDescent="0.25">
      <c r="A1028" t="s">
        <v>9</v>
      </c>
      <c r="B1028" t="s">
        <v>51</v>
      </c>
      <c r="C1028" s="1">
        <v>45873.458333333336</v>
      </c>
      <c r="D1028">
        <v>4</v>
      </c>
    </row>
    <row r="1029" spans="1:4" x14ac:dyDescent="0.25">
      <c r="A1029" t="s">
        <v>77</v>
      </c>
      <c r="B1029" t="s">
        <v>19</v>
      </c>
      <c r="C1029" s="1">
        <v>45871.75</v>
      </c>
      <c r="D1029">
        <v>1</v>
      </c>
    </row>
    <row r="1030" spans="1:4" x14ac:dyDescent="0.25">
      <c r="A1030" t="s">
        <v>10</v>
      </c>
      <c r="B1030" t="s">
        <v>19</v>
      </c>
      <c r="C1030" s="1">
        <v>45867.083333333336</v>
      </c>
      <c r="D1030">
        <v>1</v>
      </c>
    </row>
    <row r="1031" spans="1:4" x14ac:dyDescent="0.25">
      <c r="A1031" t="s">
        <v>88</v>
      </c>
      <c r="B1031" t="s">
        <v>19</v>
      </c>
      <c r="C1031" s="1">
        <v>45871.1875</v>
      </c>
      <c r="D1031">
        <v>28</v>
      </c>
    </row>
    <row r="1032" spans="1:4" x14ac:dyDescent="0.25">
      <c r="A1032" t="s">
        <v>88</v>
      </c>
      <c r="B1032" t="s">
        <v>0</v>
      </c>
      <c r="C1032" s="1">
        <v>45871.083333333336</v>
      </c>
      <c r="D1032">
        <v>58</v>
      </c>
    </row>
    <row r="1033" spans="1:4" x14ac:dyDescent="0.25">
      <c r="A1033" t="s">
        <v>11</v>
      </c>
      <c r="B1033" t="s">
        <v>19</v>
      </c>
      <c r="C1033" s="1">
        <v>45845.604166666664</v>
      </c>
      <c r="D1033">
        <v>3</v>
      </c>
    </row>
    <row r="1034" spans="1:4" x14ac:dyDescent="0.25">
      <c r="A1034" t="s">
        <v>12</v>
      </c>
      <c r="B1034" t="s">
        <v>8</v>
      </c>
      <c r="C1034" s="1">
        <v>45869.625</v>
      </c>
      <c r="D1034">
        <v>1</v>
      </c>
    </row>
    <row r="1035" spans="1:4" x14ac:dyDescent="0.25">
      <c r="A1035" t="s">
        <v>7</v>
      </c>
      <c r="B1035" t="s">
        <v>20</v>
      </c>
      <c r="C1035" s="1">
        <v>45871.916666666664</v>
      </c>
      <c r="D1035">
        <v>34</v>
      </c>
    </row>
    <row r="1036" spans="1:4" x14ac:dyDescent="0.25">
      <c r="A1036" t="s">
        <v>11</v>
      </c>
      <c r="B1036" t="s">
        <v>42</v>
      </c>
      <c r="C1036" s="1">
        <v>45882.458333333336</v>
      </c>
      <c r="D1036">
        <v>173</v>
      </c>
    </row>
    <row r="1037" spans="1:4" x14ac:dyDescent="0.25">
      <c r="A1037" t="s">
        <v>7</v>
      </c>
      <c r="B1037" t="s">
        <v>0</v>
      </c>
      <c r="C1037" s="1">
        <v>45871.854166666664</v>
      </c>
      <c r="D1037">
        <v>7</v>
      </c>
    </row>
    <row r="1038" spans="1:4" x14ac:dyDescent="0.25">
      <c r="A1038" t="s">
        <v>81</v>
      </c>
      <c r="B1038" t="s">
        <v>2</v>
      </c>
      <c r="C1038" s="1">
        <v>45875.083333333336</v>
      </c>
      <c r="D1038">
        <v>1</v>
      </c>
    </row>
    <row r="1039" spans="1:4" x14ac:dyDescent="0.25">
      <c r="A1039" t="s">
        <v>83</v>
      </c>
      <c r="B1039" t="s">
        <v>8</v>
      </c>
      <c r="C1039" s="1">
        <v>45870.583333333336</v>
      </c>
      <c r="D1039">
        <v>1</v>
      </c>
    </row>
    <row r="1040" spans="1:4" x14ac:dyDescent="0.25">
      <c r="A1040" t="s">
        <v>81</v>
      </c>
      <c r="B1040" t="s">
        <v>20</v>
      </c>
      <c r="C1040" s="1">
        <v>45874.125</v>
      </c>
      <c r="D1040">
        <v>1</v>
      </c>
    </row>
    <row r="1041" spans="1:4" x14ac:dyDescent="0.25">
      <c r="A1041" t="s">
        <v>10</v>
      </c>
      <c r="B1041" t="s">
        <v>19</v>
      </c>
      <c r="C1041" s="1">
        <v>45871.145833333336</v>
      </c>
      <c r="D1041">
        <v>416</v>
      </c>
    </row>
    <row r="1042" spans="1:4" x14ac:dyDescent="0.25">
      <c r="A1042" t="s">
        <v>77</v>
      </c>
      <c r="B1042" t="s">
        <v>19</v>
      </c>
      <c r="C1042" s="1">
        <v>45871.166666666664</v>
      </c>
      <c r="D1042">
        <v>439</v>
      </c>
    </row>
    <row r="1043" spans="1:4" x14ac:dyDescent="0.25">
      <c r="A1043" t="s">
        <v>81</v>
      </c>
      <c r="B1043" t="s">
        <v>19</v>
      </c>
      <c r="C1043" s="1">
        <v>45871.75</v>
      </c>
      <c r="D1043">
        <v>174</v>
      </c>
    </row>
    <row r="1044" spans="1:4" x14ac:dyDescent="0.25">
      <c r="A1044" t="s">
        <v>13</v>
      </c>
      <c r="B1044" t="s">
        <v>80</v>
      </c>
      <c r="C1044" s="1">
        <v>45882.458333333336</v>
      </c>
      <c r="D1044">
        <v>4</v>
      </c>
    </row>
    <row r="1045" spans="1:4" x14ac:dyDescent="0.25">
      <c r="A1045" t="s">
        <v>79</v>
      </c>
      <c r="B1045" t="s">
        <v>4</v>
      </c>
      <c r="C1045" s="1">
        <v>45874.75</v>
      </c>
      <c r="D1045">
        <v>1</v>
      </c>
    </row>
    <row r="1046" spans="1:4" x14ac:dyDescent="0.25">
      <c r="A1046" t="s">
        <v>23</v>
      </c>
      <c r="B1046" t="s">
        <v>1</v>
      </c>
      <c r="C1046" s="1">
        <v>45875.125</v>
      </c>
      <c r="D1046">
        <v>4</v>
      </c>
    </row>
    <row r="1047" spans="1:4" x14ac:dyDescent="0.25">
      <c r="A1047" t="s">
        <v>23</v>
      </c>
      <c r="B1047" t="s">
        <v>0</v>
      </c>
      <c r="C1047" s="1">
        <v>45874.125</v>
      </c>
      <c r="D1047">
        <v>13</v>
      </c>
    </row>
    <row r="1048" spans="1:4" x14ac:dyDescent="0.25">
      <c r="A1048" t="s">
        <v>23</v>
      </c>
      <c r="B1048" t="s">
        <v>57</v>
      </c>
      <c r="C1048" s="1">
        <v>45872.458333333336</v>
      </c>
      <c r="D1048">
        <v>1</v>
      </c>
    </row>
    <row r="1049" spans="1:4" x14ac:dyDescent="0.25">
      <c r="A1049" t="s">
        <v>9</v>
      </c>
      <c r="B1049" t="s">
        <v>1</v>
      </c>
      <c r="C1049" s="1">
        <v>45870.885416666664</v>
      </c>
      <c r="D1049">
        <v>1</v>
      </c>
    </row>
    <row r="1050" spans="1:4" x14ac:dyDescent="0.25">
      <c r="A1050" t="s">
        <v>23</v>
      </c>
      <c r="B1050" t="s">
        <v>8</v>
      </c>
      <c r="C1050" s="1">
        <v>45875.885416666664</v>
      </c>
      <c r="D1050">
        <v>51</v>
      </c>
    </row>
    <row r="1051" spans="1:4" x14ac:dyDescent="0.25">
      <c r="A1051" t="s">
        <v>13</v>
      </c>
      <c r="B1051" t="s">
        <v>80</v>
      </c>
      <c r="C1051" s="1">
        <v>45869.458333333336</v>
      </c>
      <c r="D1051">
        <v>2</v>
      </c>
    </row>
    <row r="1052" spans="1:4" x14ac:dyDescent="0.25">
      <c r="A1052" t="s">
        <v>79</v>
      </c>
      <c r="B1052" t="s">
        <v>80</v>
      </c>
      <c r="C1052" s="1">
        <v>45874.458333333336</v>
      </c>
      <c r="D1052">
        <v>32</v>
      </c>
    </row>
    <row r="1053" spans="1:4" x14ac:dyDescent="0.25">
      <c r="A1053" t="s">
        <v>77</v>
      </c>
      <c r="B1053" t="s">
        <v>1</v>
      </c>
      <c r="C1053" s="1">
        <v>45872.541666666664</v>
      </c>
      <c r="D1053">
        <v>3</v>
      </c>
    </row>
    <row r="1054" spans="1:4" x14ac:dyDescent="0.25">
      <c r="A1054" t="s">
        <v>7</v>
      </c>
      <c r="B1054" t="s">
        <v>0</v>
      </c>
      <c r="C1054" s="1">
        <v>45872.020833333336</v>
      </c>
      <c r="D1054">
        <v>23</v>
      </c>
    </row>
    <row r="1055" spans="1:4" x14ac:dyDescent="0.25">
      <c r="A1055" t="s">
        <v>10</v>
      </c>
      <c r="B1055" t="s">
        <v>294</v>
      </c>
      <c r="C1055" s="1">
        <v>45873.458333333336</v>
      </c>
      <c r="D1055">
        <v>4</v>
      </c>
    </row>
    <row r="1056" spans="1:4" x14ac:dyDescent="0.25">
      <c r="A1056" t="s">
        <v>9</v>
      </c>
      <c r="B1056" t="s">
        <v>2</v>
      </c>
      <c r="C1056" s="1">
        <v>45871.145833333336</v>
      </c>
      <c r="D1056">
        <v>563</v>
      </c>
    </row>
    <row r="1057" spans="1:4" x14ac:dyDescent="0.25">
      <c r="A1057" t="s">
        <v>15</v>
      </c>
      <c r="B1057" t="s">
        <v>2</v>
      </c>
      <c r="C1057" s="1">
        <v>45871.1875</v>
      </c>
      <c r="D1057">
        <v>1</v>
      </c>
    </row>
    <row r="1058" spans="1:4" x14ac:dyDescent="0.25">
      <c r="A1058" t="s">
        <v>23</v>
      </c>
      <c r="B1058" t="s">
        <v>8</v>
      </c>
      <c r="C1058" s="1">
        <v>45871.1875</v>
      </c>
      <c r="D1058">
        <v>26</v>
      </c>
    </row>
    <row r="1059" spans="1:4" x14ac:dyDescent="0.25">
      <c r="A1059" t="s">
        <v>7</v>
      </c>
      <c r="B1059" t="s">
        <v>20</v>
      </c>
      <c r="C1059" s="1">
        <v>45876.541666666664</v>
      </c>
      <c r="D1059">
        <v>5</v>
      </c>
    </row>
    <row r="1060" spans="1:4" x14ac:dyDescent="0.25">
      <c r="A1060" t="s">
        <v>10</v>
      </c>
      <c r="B1060" t="s">
        <v>0</v>
      </c>
      <c r="C1060" s="1">
        <v>45871.020833333336</v>
      </c>
      <c r="D1060">
        <v>9</v>
      </c>
    </row>
    <row r="1061" spans="1:4" x14ac:dyDescent="0.25">
      <c r="A1061" t="s">
        <v>23</v>
      </c>
      <c r="B1061" t="s">
        <v>0</v>
      </c>
      <c r="C1061" s="1">
        <v>45873.666666666664</v>
      </c>
      <c r="D1061">
        <v>4</v>
      </c>
    </row>
    <row r="1062" spans="1:4" x14ac:dyDescent="0.25">
      <c r="A1062" t="s">
        <v>77</v>
      </c>
      <c r="B1062" t="s">
        <v>19</v>
      </c>
      <c r="C1062" s="1">
        <v>45871.583333333336</v>
      </c>
      <c r="D1062">
        <v>7</v>
      </c>
    </row>
    <row r="1063" spans="1:4" x14ac:dyDescent="0.25">
      <c r="A1063" t="s">
        <v>77</v>
      </c>
      <c r="B1063" t="s">
        <v>8</v>
      </c>
      <c r="C1063" s="1">
        <v>45874.166666666664</v>
      </c>
      <c r="D1063">
        <v>6</v>
      </c>
    </row>
    <row r="1064" spans="1:4" x14ac:dyDescent="0.25">
      <c r="A1064" t="s">
        <v>7</v>
      </c>
      <c r="B1064" t="s">
        <v>2</v>
      </c>
      <c r="C1064" s="1">
        <v>45872.166666666664</v>
      </c>
      <c r="D1064">
        <v>52</v>
      </c>
    </row>
    <row r="1065" spans="1:4" x14ac:dyDescent="0.25">
      <c r="A1065" t="s">
        <v>11</v>
      </c>
      <c r="B1065" t="s">
        <v>1</v>
      </c>
      <c r="C1065" s="1">
        <v>45867.083333333336</v>
      </c>
      <c r="D1065">
        <v>1</v>
      </c>
    </row>
    <row r="1066" spans="1:4" x14ac:dyDescent="0.25">
      <c r="A1066" t="s">
        <v>86</v>
      </c>
      <c r="B1066" t="s">
        <v>57</v>
      </c>
      <c r="C1066" s="1">
        <v>45871.145833333336</v>
      </c>
      <c r="D1066">
        <v>1</v>
      </c>
    </row>
    <row r="1067" spans="1:4" x14ac:dyDescent="0.25">
      <c r="A1067" t="s">
        <v>10</v>
      </c>
      <c r="B1067" t="s">
        <v>8</v>
      </c>
      <c r="C1067" s="1">
        <v>45871.541666666664</v>
      </c>
      <c r="D1067">
        <v>2</v>
      </c>
    </row>
    <row r="1068" spans="1:4" x14ac:dyDescent="0.25">
      <c r="A1068" t="s">
        <v>23</v>
      </c>
      <c r="B1068" t="s">
        <v>19</v>
      </c>
      <c r="C1068" s="1">
        <v>45873.166666666664</v>
      </c>
      <c r="D1068">
        <v>2</v>
      </c>
    </row>
    <row r="1069" spans="1:4" x14ac:dyDescent="0.25">
      <c r="A1069" t="s">
        <v>81</v>
      </c>
      <c r="B1069" t="s">
        <v>20</v>
      </c>
      <c r="C1069" s="1">
        <v>45871.541666666664</v>
      </c>
      <c r="D1069">
        <v>134</v>
      </c>
    </row>
    <row r="1070" spans="1:4" x14ac:dyDescent="0.25">
      <c r="A1070" t="s">
        <v>10</v>
      </c>
      <c r="B1070" t="s">
        <v>0</v>
      </c>
      <c r="C1070" s="1">
        <v>45871.885416666664</v>
      </c>
      <c r="D1070">
        <v>8</v>
      </c>
    </row>
    <row r="1071" spans="1:4" x14ac:dyDescent="0.25">
      <c r="A1071" t="s">
        <v>79</v>
      </c>
      <c r="B1071" t="s">
        <v>84</v>
      </c>
      <c r="C1071" s="1">
        <v>45867.458333333336</v>
      </c>
      <c r="D1071">
        <v>60</v>
      </c>
    </row>
    <row r="1072" spans="1:4" x14ac:dyDescent="0.25">
      <c r="A1072" t="s">
        <v>7</v>
      </c>
      <c r="B1072" t="s">
        <v>2</v>
      </c>
      <c r="C1072" s="1">
        <v>45873.885416666664</v>
      </c>
      <c r="D1072">
        <v>42</v>
      </c>
    </row>
    <row r="1073" spans="1:4" x14ac:dyDescent="0.25">
      <c r="A1073" t="s">
        <v>23</v>
      </c>
      <c r="B1073" t="s">
        <v>0</v>
      </c>
      <c r="C1073" s="1">
        <v>45875.541666666664</v>
      </c>
      <c r="D1073">
        <v>1</v>
      </c>
    </row>
    <row r="1074" spans="1:4" x14ac:dyDescent="0.25">
      <c r="A1074" t="s">
        <v>23</v>
      </c>
      <c r="B1074" t="s">
        <v>57</v>
      </c>
      <c r="C1074" s="1">
        <v>45875.083333333336</v>
      </c>
      <c r="D1074">
        <v>1</v>
      </c>
    </row>
    <row r="1075" spans="1:4" x14ac:dyDescent="0.25">
      <c r="A1075" t="s">
        <v>81</v>
      </c>
      <c r="B1075" t="s">
        <v>20</v>
      </c>
      <c r="C1075" s="1">
        <v>45872.958333333336</v>
      </c>
      <c r="D1075">
        <v>1</v>
      </c>
    </row>
    <row r="1076" spans="1:4" x14ac:dyDescent="0.25">
      <c r="A1076" t="s">
        <v>7</v>
      </c>
      <c r="B1076" t="s">
        <v>85</v>
      </c>
      <c r="C1076" s="1">
        <v>45871.145833333336</v>
      </c>
      <c r="D1076">
        <v>5</v>
      </c>
    </row>
    <row r="1077" spans="1:4" x14ac:dyDescent="0.25">
      <c r="A1077" t="s">
        <v>7</v>
      </c>
      <c r="B1077" t="s">
        <v>8</v>
      </c>
      <c r="C1077" s="1">
        <v>45872.541666666664</v>
      </c>
      <c r="D1077">
        <v>92</v>
      </c>
    </row>
    <row r="1078" spans="1:4" x14ac:dyDescent="0.25">
      <c r="A1078" t="s">
        <v>23</v>
      </c>
      <c r="B1078" t="s">
        <v>19</v>
      </c>
      <c r="C1078" s="1">
        <v>45874.885416666664</v>
      </c>
      <c r="D1078">
        <v>31</v>
      </c>
    </row>
    <row r="1079" spans="1:4" x14ac:dyDescent="0.25">
      <c r="A1079" t="s">
        <v>88</v>
      </c>
      <c r="B1079" t="s">
        <v>1</v>
      </c>
      <c r="C1079" s="1">
        <v>45871.75</v>
      </c>
      <c r="D1079">
        <v>1</v>
      </c>
    </row>
    <row r="1080" spans="1:4" x14ac:dyDescent="0.25">
      <c r="A1080" t="s">
        <v>23</v>
      </c>
      <c r="B1080" t="s">
        <v>8</v>
      </c>
      <c r="C1080" s="1">
        <v>45873.166666666664</v>
      </c>
      <c r="D1080">
        <v>2</v>
      </c>
    </row>
    <row r="1081" spans="1:4" x14ac:dyDescent="0.25">
      <c r="A1081" t="s">
        <v>10</v>
      </c>
      <c r="B1081" t="s">
        <v>39</v>
      </c>
      <c r="C1081" s="1">
        <v>45837.458333333336</v>
      </c>
      <c r="D1081">
        <v>7</v>
      </c>
    </row>
    <row r="1082" spans="1:4" x14ac:dyDescent="0.25">
      <c r="A1082" t="s">
        <v>9</v>
      </c>
      <c r="B1082" t="s">
        <v>0</v>
      </c>
      <c r="C1082" s="1">
        <v>45872.020833333336</v>
      </c>
      <c r="D1082">
        <v>1</v>
      </c>
    </row>
    <row r="1083" spans="1:4" x14ac:dyDescent="0.25">
      <c r="A1083" t="s">
        <v>23</v>
      </c>
      <c r="B1083" t="s">
        <v>0</v>
      </c>
      <c r="C1083" s="1">
        <v>45871.083333333336</v>
      </c>
      <c r="D1083">
        <v>14</v>
      </c>
    </row>
    <row r="1084" spans="1:4" x14ac:dyDescent="0.25">
      <c r="A1084" t="s">
        <v>9</v>
      </c>
      <c r="B1084" t="s">
        <v>19</v>
      </c>
      <c r="C1084" s="1">
        <v>45867.625</v>
      </c>
      <c r="D1084">
        <v>1</v>
      </c>
    </row>
    <row r="1085" spans="1:4" x14ac:dyDescent="0.25">
      <c r="A1085" t="s">
        <v>7</v>
      </c>
      <c r="B1085" t="s">
        <v>57</v>
      </c>
      <c r="C1085" s="1">
        <v>45871.166666666664</v>
      </c>
      <c r="D1085">
        <v>291</v>
      </c>
    </row>
    <row r="1086" spans="1:4" x14ac:dyDescent="0.25">
      <c r="A1086" t="s">
        <v>7</v>
      </c>
      <c r="B1086" t="s">
        <v>8</v>
      </c>
      <c r="C1086" s="1">
        <v>45871.125</v>
      </c>
      <c r="D1086">
        <v>963</v>
      </c>
    </row>
    <row r="1087" spans="1:4" x14ac:dyDescent="0.25">
      <c r="A1087" t="s">
        <v>83</v>
      </c>
      <c r="B1087" t="s">
        <v>19</v>
      </c>
      <c r="C1087" s="1">
        <v>45871.208333333336</v>
      </c>
      <c r="D1087">
        <v>694</v>
      </c>
    </row>
    <row r="1088" spans="1:4" x14ac:dyDescent="0.25">
      <c r="A1088" t="s">
        <v>9</v>
      </c>
      <c r="B1088" t="s">
        <v>0</v>
      </c>
      <c r="C1088" s="1">
        <v>45871.166666666664</v>
      </c>
      <c r="D1088">
        <v>94</v>
      </c>
    </row>
    <row r="1089" spans="1:4" x14ac:dyDescent="0.25">
      <c r="A1089" t="s">
        <v>10</v>
      </c>
      <c r="B1089" t="s">
        <v>19</v>
      </c>
      <c r="C1089" s="1">
        <v>45871.541666666664</v>
      </c>
      <c r="D1089">
        <v>7</v>
      </c>
    </row>
    <row r="1090" spans="1:4" x14ac:dyDescent="0.25">
      <c r="A1090" t="s">
        <v>23</v>
      </c>
      <c r="B1090" t="s">
        <v>19</v>
      </c>
      <c r="C1090" s="1">
        <v>45871.1875</v>
      </c>
      <c r="D1090">
        <v>42</v>
      </c>
    </row>
    <row r="1091" spans="1:4" x14ac:dyDescent="0.25">
      <c r="A1091" t="s">
        <v>77</v>
      </c>
      <c r="B1091" t="s">
        <v>8</v>
      </c>
      <c r="C1091" s="1">
        <v>45872.1875</v>
      </c>
      <c r="D1091">
        <v>1</v>
      </c>
    </row>
    <row r="1092" spans="1:4" x14ac:dyDescent="0.25">
      <c r="A1092" t="s">
        <v>10</v>
      </c>
      <c r="B1092" t="s">
        <v>57</v>
      </c>
      <c r="C1092" s="1">
        <v>45871.125</v>
      </c>
      <c r="D1092">
        <v>300</v>
      </c>
    </row>
    <row r="1093" spans="1:4" x14ac:dyDescent="0.25">
      <c r="A1093" t="s">
        <v>7</v>
      </c>
      <c r="B1093" t="s">
        <v>20</v>
      </c>
      <c r="C1093" s="1">
        <v>45872.083333333336</v>
      </c>
      <c r="D1093">
        <v>73</v>
      </c>
    </row>
    <row r="1094" spans="1:4" x14ac:dyDescent="0.25">
      <c r="A1094" t="s">
        <v>13</v>
      </c>
      <c r="B1094" t="s">
        <v>84</v>
      </c>
      <c r="C1094" s="1">
        <v>45856.583333333336</v>
      </c>
      <c r="D1094">
        <v>12</v>
      </c>
    </row>
    <row r="1095" spans="1:4" x14ac:dyDescent="0.25">
      <c r="A1095" t="s">
        <v>11</v>
      </c>
      <c r="B1095" t="s">
        <v>92</v>
      </c>
      <c r="C1095" s="1">
        <v>45877.458333333336</v>
      </c>
      <c r="D1095">
        <v>8</v>
      </c>
    </row>
    <row r="1096" spans="1:4" x14ac:dyDescent="0.25">
      <c r="A1096" t="s">
        <v>23</v>
      </c>
      <c r="B1096" t="s">
        <v>20</v>
      </c>
      <c r="C1096" s="1">
        <v>45874.583333333336</v>
      </c>
      <c r="D1096">
        <v>1</v>
      </c>
    </row>
    <row r="1097" spans="1:4" x14ac:dyDescent="0.25">
      <c r="A1097" t="s">
        <v>86</v>
      </c>
      <c r="B1097" t="s">
        <v>8</v>
      </c>
      <c r="C1097" s="1">
        <v>45871.916666666664</v>
      </c>
      <c r="D1097">
        <v>1</v>
      </c>
    </row>
    <row r="1098" spans="1:4" x14ac:dyDescent="0.25">
      <c r="A1098" t="s">
        <v>88</v>
      </c>
      <c r="B1098" t="s">
        <v>57</v>
      </c>
      <c r="C1098" s="1">
        <v>45871.083333333336</v>
      </c>
      <c r="D1098">
        <v>4</v>
      </c>
    </row>
    <row r="1099" spans="1:4" x14ac:dyDescent="0.25">
      <c r="A1099" t="s">
        <v>15</v>
      </c>
      <c r="B1099" t="s">
        <v>1</v>
      </c>
      <c r="C1099" s="1">
        <v>45871.458333333336</v>
      </c>
      <c r="D1099">
        <v>2</v>
      </c>
    </row>
    <row r="1100" spans="1:4" x14ac:dyDescent="0.25">
      <c r="A1100" t="s">
        <v>7</v>
      </c>
      <c r="B1100" t="s">
        <v>2</v>
      </c>
      <c r="C1100" s="1">
        <v>45876.625</v>
      </c>
      <c r="D1100">
        <v>1</v>
      </c>
    </row>
    <row r="1101" spans="1:4" x14ac:dyDescent="0.25">
      <c r="A1101" t="s">
        <v>88</v>
      </c>
      <c r="B1101" t="s">
        <v>20</v>
      </c>
      <c r="C1101" s="1">
        <v>45871.1875</v>
      </c>
      <c r="D1101">
        <v>22</v>
      </c>
    </row>
    <row r="1102" spans="1:4" x14ac:dyDescent="0.25">
      <c r="A1102" t="s">
        <v>81</v>
      </c>
      <c r="B1102" t="s">
        <v>19</v>
      </c>
      <c r="C1102" s="1">
        <v>45872.1875</v>
      </c>
      <c r="D1102">
        <v>95</v>
      </c>
    </row>
    <row r="1103" spans="1:4" x14ac:dyDescent="0.25">
      <c r="A1103" t="s">
        <v>87</v>
      </c>
      <c r="B1103" t="s">
        <v>20</v>
      </c>
      <c r="C1103" s="1">
        <v>45871.145833333336</v>
      </c>
      <c r="D1103">
        <v>1</v>
      </c>
    </row>
    <row r="1104" spans="1:4" x14ac:dyDescent="0.25">
      <c r="A1104" t="s">
        <v>81</v>
      </c>
      <c r="B1104" t="s">
        <v>1</v>
      </c>
      <c r="C1104" s="1">
        <v>45873.145833333336</v>
      </c>
      <c r="D1104">
        <v>24</v>
      </c>
    </row>
    <row r="1105" spans="1:4" x14ac:dyDescent="0.25">
      <c r="A1105" t="s">
        <v>81</v>
      </c>
      <c r="B1105" t="s">
        <v>53</v>
      </c>
      <c r="C1105" s="1">
        <v>45876.458333333336</v>
      </c>
      <c r="D1105">
        <v>525</v>
      </c>
    </row>
    <row r="1106" spans="1:4" x14ac:dyDescent="0.25">
      <c r="A1106" t="s">
        <v>10</v>
      </c>
      <c r="B1106" t="s">
        <v>20</v>
      </c>
      <c r="C1106" s="1">
        <v>45871.083333333336</v>
      </c>
      <c r="D1106">
        <v>51</v>
      </c>
    </row>
    <row r="1107" spans="1:4" x14ac:dyDescent="0.25">
      <c r="A1107" t="s">
        <v>7</v>
      </c>
      <c r="B1107" t="s">
        <v>8</v>
      </c>
      <c r="C1107" s="1">
        <v>45875.583333333336</v>
      </c>
      <c r="D1107">
        <v>224</v>
      </c>
    </row>
    <row r="1108" spans="1:4" x14ac:dyDescent="0.25">
      <c r="A1108" t="s">
        <v>81</v>
      </c>
      <c r="B1108" t="s">
        <v>57</v>
      </c>
      <c r="C1108" s="1">
        <v>45871.885416666664</v>
      </c>
      <c r="D1108">
        <v>77</v>
      </c>
    </row>
    <row r="1109" spans="1:4" x14ac:dyDescent="0.25">
      <c r="A1109" t="s">
        <v>15</v>
      </c>
      <c r="B1109" t="s">
        <v>57</v>
      </c>
      <c r="C1109" s="1">
        <v>45871.208333333336</v>
      </c>
      <c r="D1109">
        <v>2</v>
      </c>
    </row>
    <row r="1110" spans="1:4" x14ac:dyDescent="0.25">
      <c r="A1110" t="s">
        <v>83</v>
      </c>
      <c r="B1110" t="s">
        <v>8</v>
      </c>
      <c r="C1110" s="1">
        <v>45871.208333333336</v>
      </c>
      <c r="D1110">
        <v>546</v>
      </c>
    </row>
    <row r="1111" spans="1:4" x14ac:dyDescent="0.25">
      <c r="A1111" t="s">
        <v>14</v>
      </c>
      <c r="B1111" t="s">
        <v>0</v>
      </c>
      <c r="C1111" s="1">
        <v>45871.125</v>
      </c>
      <c r="D1111">
        <v>6</v>
      </c>
    </row>
    <row r="1112" spans="1:4" x14ac:dyDescent="0.25">
      <c r="A1112" t="s">
        <v>81</v>
      </c>
      <c r="B1112" t="s">
        <v>20</v>
      </c>
      <c r="C1112" s="1">
        <v>45872.145833333336</v>
      </c>
      <c r="D1112">
        <v>28</v>
      </c>
    </row>
    <row r="1113" spans="1:4" x14ac:dyDescent="0.25">
      <c r="A1113" t="s">
        <v>9</v>
      </c>
      <c r="B1113" t="s">
        <v>1</v>
      </c>
      <c r="C1113" s="1">
        <v>45871.625</v>
      </c>
      <c r="D1113">
        <v>6</v>
      </c>
    </row>
    <row r="1114" spans="1:4" x14ac:dyDescent="0.25">
      <c r="A1114" t="s">
        <v>23</v>
      </c>
      <c r="B1114" t="s">
        <v>19</v>
      </c>
      <c r="C1114" s="1">
        <v>45872.208333333336</v>
      </c>
      <c r="D1114">
        <v>102</v>
      </c>
    </row>
    <row r="1115" spans="1:4" x14ac:dyDescent="0.25">
      <c r="A1115" t="s">
        <v>10</v>
      </c>
      <c r="B1115" t="s">
        <v>51</v>
      </c>
      <c r="C1115" s="1">
        <v>45860.458333333336</v>
      </c>
      <c r="D1115">
        <v>5</v>
      </c>
    </row>
    <row r="1116" spans="1:4" x14ac:dyDescent="0.25">
      <c r="A1116" t="s">
        <v>81</v>
      </c>
      <c r="B1116" t="s">
        <v>2</v>
      </c>
      <c r="C1116" s="1">
        <v>45872.885416666664</v>
      </c>
      <c r="D1116">
        <v>44</v>
      </c>
    </row>
    <row r="1117" spans="1:4" x14ac:dyDescent="0.25">
      <c r="A1117" t="s">
        <v>88</v>
      </c>
      <c r="B1117" t="s">
        <v>20</v>
      </c>
      <c r="C1117" s="1">
        <v>45871.958333333336</v>
      </c>
      <c r="D1117">
        <v>3</v>
      </c>
    </row>
    <row r="1118" spans="1:4" x14ac:dyDescent="0.25">
      <c r="A1118" t="s">
        <v>9</v>
      </c>
      <c r="B1118" t="s">
        <v>53</v>
      </c>
      <c r="C1118" s="1">
        <v>45865.458333333336</v>
      </c>
      <c r="D1118">
        <v>10</v>
      </c>
    </row>
    <row r="1119" spans="1:4" x14ac:dyDescent="0.25">
      <c r="A1119" t="s">
        <v>23</v>
      </c>
      <c r="B1119" t="s">
        <v>1</v>
      </c>
      <c r="C1119" s="1">
        <v>45872.145833333336</v>
      </c>
      <c r="D1119">
        <v>4</v>
      </c>
    </row>
    <row r="1120" spans="1:4" x14ac:dyDescent="0.25">
      <c r="A1120" t="s">
        <v>83</v>
      </c>
      <c r="B1120" t="s">
        <v>19</v>
      </c>
      <c r="C1120" s="1">
        <v>45871.604166666664</v>
      </c>
      <c r="D1120">
        <v>3</v>
      </c>
    </row>
    <row r="1121" spans="1:4" x14ac:dyDescent="0.25">
      <c r="A1121" t="s">
        <v>10</v>
      </c>
      <c r="B1121" t="s">
        <v>8</v>
      </c>
      <c r="C1121" s="1">
        <v>45870.0625</v>
      </c>
      <c r="D1121">
        <v>1</v>
      </c>
    </row>
    <row r="1122" spans="1:4" x14ac:dyDescent="0.25">
      <c r="A1122" t="s">
        <v>11</v>
      </c>
      <c r="B1122" t="s">
        <v>19</v>
      </c>
      <c r="C1122" s="1">
        <v>45870.885416666664</v>
      </c>
      <c r="D1122">
        <v>7</v>
      </c>
    </row>
    <row r="1123" spans="1:4" x14ac:dyDescent="0.25">
      <c r="A1123" t="s">
        <v>83</v>
      </c>
      <c r="B1123" t="s">
        <v>8</v>
      </c>
      <c r="C1123" s="1">
        <v>45872.020833333336</v>
      </c>
      <c r="D1123">
        <v>3</v>
      </c>
    </row>
    <row r="1124" spans="1:4" x14ac:dyDescent="0.25">
      <c r="A1124" t="s">
        <v>23</v>
      </c>
      <c r="B1124" t="s">
        <v>20</v>
      </c>
      <c r="C1124" s="1">
        <v>45871.75</v>
      </c>
      <c r="D1124">
        <v>2</v>
      </c>
    </row>
    <row r="1125" spans="1:4" x14ac:dyDescent="0.25">
      <c r="A1125" t="s">
        <v>7</v>
      </c>
      <c r="B1125" t="s">
        <v>20</v>
      </c>
      <c r="C1125" s="1">
        <v>45875.125</v>
      </c>
      <c r="D1125">
        <v>4</v>
      </c>
    </row>
    <row r="1126" spans="1:4" x14ac:dyDescent="0.25">
      <c r="A1126" t="s">
        <v>23</v>
      </c>
      <c r="B1126" t="s">
        <v>8</v>
      </c>
      <c r="C1126" s="1">
        <v>45872.208333333336</v>
      </c>
      <c r="D1126">
        <v>115</v>
      </c>
    </row>
    <row r="1127" spans="1:4" x14ac:dyDescent="0.25">
      <c r="A1127" t="s">
        <v>81</v>
      </c>
      <c r="B1127" t="s">
        <v>0</v>
      </c>
      <c r="C1127" s="1">
        <v>45872.083333333336</v>
      </c>
      <c r="D1127">
        <v>98</v>
      </c>
    </row>
    <row r="1128" spans="1:4" x14ac:dyDescent="0.25">
      <c r="A1128" t="s">
        <v>83</v>
      </c>
      <c r="B1128" t="s">
        <v>19</v>
      </c>
      <c r="C1128" s="1">
        <v>45866.958333333336</v>
      </c>
      <c r="D1128">
        <v>1</v>
      </c>
    </row>
    <row r="1129" spans="1:4" x14ac:dyDescent="0.25">
      <c r="A1129" t="s">
        <v>11</v>
      </c>
      <c r="B1129" t="s">
        <v>53</v>
      </c>
      <c r="C1129" s="1">
        <v>45875.458333333336</v>
      </c>
      <c r="D1129">
        <v>145</v>
      </c>
    </row>
    <row r="1130" spans="1:4" x14ac:dyDescent="0.25">
      <c r="A1130" t="s">
        <v>88</v>
      </c>
      <c r="B1130" t="s">
        <v>19</v>
      </c>
      <c r="C1130" s="1">
        <v>45871.395833333336</v>
      </c>
      <c r="D1130">
        <v>1</v>
      </c>
    </row>
    <row r="1131" spans="1:4" x14ac:dyDescent="0.25">
      <c r="A1131" t="s">
        <v>7</v>
      </c>
      <c r="B1131" t="s">
        <v>19</v>
      </c>
      <c r="C1131" s="1">
        <v>45873.75</v>
      </c>
      <c r="D1131">
        <v>6</v>
      </c>
    </row>
    <row r="1132" spans="1:4" x14ac:dyDescent="0.25">
      <c r="A1132" t="s">
        <v>81</v>
      </c>
      <c r="B1132" t="s">
        <v>1</v>
      </c>
      <c r="C1132" s="1">
        <v>45871.083333333336</v>
      </c>
      <c r="D1132">
        <v>1</v>
      </c>
    </row>
    <row r="1133" spans="1:4" x14ac:dyDescent="0.25">
      <c r="A1133" t="s">
        <v>7</v>
      </c>
      <c r="B1133" t="s">
        <v>19</v>
      </c>
      <c r="C1133" s="1">
        <v>45875.166666666664</v>
      </c>
      <c r="D1133">
        <v>2</v>
      </c>
    </row>
    <row r="1134" spans="1:4" x14ac:dyDescent="0.25">
      <c r="A1134" t="s">
        <v>7</v>
      </c>
      <c r="B1134" t="s">
        <v>8</v>
      </c>
      <c r="C1134" s="1">
        <v>45877.1875</v>
      </c>
      <c r="D1134">
        <v>14</v>
      </c>
    </row>
    <row r="1135" spans="1:4" x14ac:dyDescent="0.25">
      <c r="A1135" t="s">
        <v>83</v>
      </c>
      <c r="B1135" t="s">
        <v>8</v>
      </c>
      <c r="C1135" s="1">
        <v>45871.604166666664</v>
      </c>
      <c r="D1135">
        <v>3</v>
      </c>
    </row>
    <row r="1136" spans="1:4" x14ac:dyDescent="0.25">
      <c r="A1136" t="s">
        <v>11</v>
      </c>
      <c r="B1136" t="s">
        <v>1</v>
      </c>
      <c r="C1136" s="1">
        <v>45868.145833333336</v>
      </c>
      <c r="D1136">
        <v>1</v>
      </c>
    </row>
    <row r="1137" spans="1:4" x14ac:dyDescent="0.25">
      <c r="A1137" t="s">
        <v>7</v>
      </c>
      <c r="B1137" t="s">
        <v>0</v>
      </c>
      <c r="C1137" s="1">
        <v>45874.947916666664</v>
      </c>
      <c r="D1137">
        <v>1</v>
      </c>
    </row>
    <row r="1138" spans="1:4" x14ac:dyDescent="0.25">
      <c r="A1138" t="s">
        <v>81</v>
      </c>
      <c r="B1138" t="s">
        <v>8</v>
      </c>
      <c r="C1138" s="1">
        <v>45874.166666666664</v>
      </c>
      <c r="D1138">
        <v>20</v>
      </c>
    </row>
    <row r="1139" spans="1:4" x14ac:dyDescent="0.25">
      <c r="A1139" t="s">
        <v>11</v>
      </c>
      <c r="B1139" t="s">
        <v>41</v>
      </c>
      <c r="C1139" s="1">
        <v>45873.458333333336</v>
      </c>
      <c r="D1139">
        <v>1</v>
      </c>
    </row>
    <row r="1140" spans="1:4" x14ac:dyDescent="0.25">
      <c r="A1140" t="s">
        <v>12</v>
      </c>
      <c r="B1140" t="s">
        <v>8</v>
      </c>
      <c r="C1140" s="1">
        <v>45871.458333333336</v>
      </c>
      <c r="D1140">
        <v>9</v>
      </c>
    </row>
    <row r="1141" spans="1:4" x14ac:dyDescent="0.25">
      <c r="A1141" t="s">
        <v>15</v>
      </c>
      <c r="B1141" t="s">
        <v>20</v>
      </c>
      <c r="C1141" s="1">
        <v>45871.916666666664</v>
      </c>
      <c r="D1141">
        <v>1</v>
      </c>
    </row>
    <row r="1142" spans="1:4" x14ac:dyDescent="0.25">
      <c r="A1142" t="s">
        <v>23</v>
      </c>
      <c r="B1142" t="s">
        <v>2</v>
      </c>
      <c r="C1142" s="1">
        <v>45872.020833333336</v>
      </c>
      <c r="D1142">
        <v>29</v>
      </c>
    </row>
    <row r="1143" spans="1:4" x14ac:dyDescent="0.25">
      <c r="A1143" t="s">
        <v>11</v>
      </c>
      <c r="B1143" t="s">
        <v>8</v>
      </c>
      <c r="C1143" s="1">
        <v>45868.208333333336</v>
      </c>
      <c r="D1143">
        <v>2</v>
      </c>
    </row>
    <row r="1144" spans="1:4" x14ac:dyDescent="0.25">
      <c r="A1144" t="s">
        <v>83</v>
      </c>
      <c r="B1144" t="s">
        <v>19</v>
      </c>
      <c r="C1144" s="1">
        <v>45868.166666666664</v>
      </c>
      <c r="D1144">
        <v>1</v>
      </c>
    </row>
    <row r="1145" spans="1:4" x14ac:dyDescent="0.25">
      <c r="A1145" t="s">
        <v>81</v>
      </c>
      <c r="B1145" t="s">
        <v>20</v>
      </c>
      <c r="C1145" s="1">
        <v>45871.75</v>
      </c>
      <c r="D1145">
        <v>23</v>
      </c>
    </row>
    <row r="1146" spans="1:4" x14ac:dyDescent="0.25">
      <c r="A1146" t="s">
        <v>7</v>
      </c>
      <c r="B1146" t="s">
        <v>8</v>
      </c>
      <c r="C1146" s="1">
        <v>45872.75</v>
      </c>
      <c r="D1146">
        <v>6</v>
      </c>
    </row>
    <row r="1147" spans="1:4" x14ac:dyDescent="0.25">
      <c r="A1147" t="s">
        <v>23</v>
      </c>
      <c r="B1147" t="s">
        <v>1</v>
      </c>
      <c r="C1147" s="1">
        <v>45876.1875</v>
      </c>
      <c r="D1147">
        <v>1</v>
      </c>
    </row>
    <row r="1148" spans="1:4" x14ac:dyDescent="0.25">
      <c r="A1148" t="s">
        <v>83</v>
      </c>
      <c r="B1148" t="s">
        <v>19</v>
      </c>
      <c r="C1148" s="1">
        <v>45869.583333333336</v>
      </c>
      <c r="D1148">
        <v>1</v>
      </c>
    </row>
    <row r="1149" spans="1:4" x14ac:dyDescent="0.25">
      <c r="A1149" t="s">
        <v>7</v>
      </c>
      <c r="B1149" t="s">
        <v>20</v>
      </c>
      <c r="C1149" s="1">
        <v>45877.75</v>
      </c>
      <c r="D1149">
        <v>1</v>
      </c>
    </row>
    <row r="1150" spans="1:4" x14ac:dyDescent="0.25">
      <c r="A1150" t="s">
        <v>7</v>
      </c>
      <c r="B1150" t="s">
        <v>0</v>
      </c>
      <c r="C1150" s="1">
        <v>45875.666666666664</v>
      </c>
      <c r="D1150">
        <v>1</v>
      </c>
    </row>
    <row r="1151" spans="1:4" x14ac:dyDescent="0.25">
      <c r="A1151" t="s">
        <v>9</v>
      </c>
      <c r="B1151" t="s">
        <v>8</v>
      </c>
      <c r="C1151" s="1">
        <v>45869.458333333336</v>
      </c>
      <c r="D1151">
        <v>1</v>
      </c>
    </row>
    <row r="1152" spans="1:4" x14ac:dyDescent="0.25">
      <c r="A1152" t="s">
        <v>7</v>
      </c>
      <c r="B1152" t="s">
        <v>8</v>
      </c>
      <c r="C1152" s="1">
        <v>45876.885416666664</v>
      </c>
      <c r="D1152">
        <v>56</v>
      </c>
    </row>
    <row r="1153" spans="1:4" x14ac:dyDescent="0.25">
      <c r="A1153" t="s">
        <v>7</v>
      </c>
      <c r="B1153" t="s">
        <v>1</v>
      </c>
      <c r="C1153" s="1">
        <v>45876.125</v>
      </c>
      <c r="D1153">
        <v>7</v>
      </c>
    </row>
    <row r="1154" spans="1:4" x14ac:dyDescent="0.25">
      <c r="A1154" t="s">
        <v>12</v>
      </c>
      <c r="B1154" t="s">
        <v>20</v>
      </c>
      <c r="C1154" s="1">
        <v>45871.604166666664</v>
      </c>
      <c r="D1154">
        <v>11</v>
      </c>
    </row>
    <row r="1155" spans="1:4" x14ac:dyDescent="0.25">
      <c r="A1155" t="s">
        <v>7</v>
      </c>
      <c r="B1155" t="s">
        <v>19</v>
      </c>
      <c r="C1155" s="1">
        <v>45871.729166666664</v>
      </c>
      <c r="D1155">
        <v>891</v>
      </c>
    </row>
    <row r="1156" spans="1:4" x14ac:dyDescent="0.25">
      <c r="A1156" t="s">
        <v>9</v>
      </c>
      <c r="B1156" t="s">
        <v>20</v>
      </c>
      <c r="C1156" s="1">
        <v>45867.020833333336</v>
      </c>
      <c r="D1156">
        <v>1</v>
      </c>
    </row>
    <row r="1157" spans="1:4" x14ac:dyDescent="0.25">
      <c r="A1157" t="s">
        <v>23</v>
      </c>
      <c r="B1157" t="s">
        <v>19</v>
      </c>
      <c r="C1157" s="1">
        <v>45871.958333333336</v>
      </c>
      <c r="D1157">
        <v>3</v>
      </c>
    </row>
    <row r="1158" spans="1:4" x14ac:dyDescent="0.25">
      <c r="A1158" t="s">
        <v>23</v>
      </c>
      <c r="B1158" t="s">
        <v>0</v>
      </c>
      <c r="C1158" s="1">
        <v>45875.75</v>
      </c>
      <c r="D1158">
        <v>7</v>
      </c>
    </row>
    <row r="1159" spans="1:4" x14ac:dyDescent="0.25">
      <c r="A1159" t="s">
        <v>81</v>
      </c>
      <c r="B1159" t="s">
        <v>2</v>
      </c>
      <c r="C1159" s="1">
        <v>45872.625</v>
      </c>
      <c r="D1159">
        <v>2</v>
      </c>
    </row>
    <row r="1160" spans="1:4" x14ac:dyDescent="0.25">
      <c r="A1160" t="s">
        <v>12</v>
      </c>
      <c r="B1160" t="s">
        <v>19</v>
      </c>
      <c r="C1160" s="1">
        <v>45871.458333333336</v>
      </c>
      <c r="D1160">
        <v>22</v>
      </c>
    </row>
    <row r="1161" spans="1:4" x14ac:dyDescent="0.25">
      <c r="A1161" t="s">
        <v>10</v>
      </c>
      <c r="B1161" t="s">
        <v>41</v>
      </c>
      <c r="C1161" s="1">
        <v>45868.458333333336</v>
      </c>
      <c r="D1161">
        <v>2</v>
      </c>
    </row>
    <row r="1162" spans="1:4" x14ac:dyDescent="0.25">
      <c r="A1162" t="s">
        <v>81</v>
      </c>
      <c r="B1162" t="s">
        <v>2</v>
      </c>
      <c r="C1162" s="1">
        <v>45873.947916666664</v>
      </c>
      <c r="D1162">
        <v>1</v>
      </c>
    </row>
    <row r="1163" spans="1:4" x14ac:dyDescent="0.25">
      <c r="A1163" t="s">
        <v>7</v>
      </c>
      <c r="B1163" t="s">
        <v>19</v>
      </c>
      <c r="C1163" s="1">
        <v>45876.583333333336</v>
      </c>
      <c r="D1163">
        <v>92</v>
      </c>
    </row>
    <row r="1164" spans="1:4" x14ac:dyDescent="0.25">
      <c r="A1164" t="s">
        <v>11</v>
      </c>
      <c r="B1164" t="s">
        <v>1</v>
      </c>
      <c r="C1164" s="1">
        <v>45871.125</v>
      </c>
      <c r="D1164">
        <v>1</v>
      </c>
    </row>
    <row r="1165" spans="1:4" x14ac:dyDescent="0.25">
      <c r="A1165" t="s">
        <v>81</v>
      </c>
      <c r="B1165" t="s">
        <v>8</v>
      </c>
      <c r="C1165" s="1">
        <v>45872.1875</v>
      </c>
      <c r="D1165">
        <v>113</v>
      </c>
    </row>
    <row r="1166" spans="1:4" x14ac:dyDescent="0.25">
      <c r="A1166" t="s">
        <v>77</v>
      </c>
      <c r="B1166" t="s">
        <v>20</v>
      </c>
      <c r="C1166" s="1">
        <v>45871.125</v>
      </c>
      <c r="D1166">
        <v>146</v>
      </c>
    </row>
    <row r="1167" spans="1:4" x14ac:dyDescent="0.25">
      <c r="A1167" t="s">
        <v>11</v>
      </c>
      <c r="B1167" t="s">
        <v>8</v>
      </c>
      <c r="C1167" s="1">
        <v>45845.625</v>
      </c>
      <c r="D1167">
        <v>3</v>
      </c>
    </row>
    <row r="1168" spans="1:4" x14ac:dyDescent="0.25">
      <c r="A1168" t="s">
        <v>81</v>
      </c>
      <c r="B1168" t="s">
        <v>19</v>
      </c>
      <c r="C1168" s="1">
        <v>45875.885416666664</v>
      </c>
      <c r="D1168">
        <v>2</v>
      </c>
    </row>
    <row r="1169" spans="1:4" x14ac:dyDescent="0.25">
      <c r="A1169" t="s">
        <v>81</v>
      </c>
      <c r="B1169" t="s">
        <v>2</v>
      </c>
      <c r="C1169" s="1">
        <v>45871.208333333336</v>
      </c>
      <c r="D1169">
        <v>1503</v>
      </c>
    </row>
    <row r="1170" spans="1:4" x14ac:dyDescent="0.25">
      <c r="A1170" t="s">
        <v>88</v>
      </c>
      <c r="B1170" t="s">
        <v>1</v>
      </c>
      <c r="C1170" s="1">
        <v>45871.958333333336</v>
      </c>
      <c r="D1170">
        <v>1</v>
      </c>
    </row>
    <row r="1171" spans="1:4" x14ac:dyDescent="0.25">
      <c r="A1171" t="s">
        <v>77</v>
      </c>
      <c r="B1171" t="s">
        <v>2</v>
      </c>
      <c r="C1171" s="1">
        <v>45871.166666666664</v>
      </c>
      <c r="D1171">
        <v>554</v>
      </c>
    </row>
    <row r="1172" spans="1:4" x14ac:dyDescent="0.25">
      <c r="A1172" t="s">
        <v>83</v>
      </c>
      <c r="B1172" t="s">
        <v>8</v>
      </c>
      <c r="C1172" s="1">
        <v>45870.208333333336</v>
      </c>
      <c r="D1172">
        <v>1</v>
      </c>
    </row>
    <row r="1173" spans="1:4" x14ac:dyDescent="0.25">
      <c r="A1173" t="s">
        <v>23</v>
      </c>
      <c r="B1173" t="s">
        <v>0</v>
      </c>
      <c r="C1173" s="1">
        <v>45875.729166666664</v>
      </c>
      <c r="D1173">
        <v>2</v>
      </c>
    </row>
    <row r="1174" spans="1:4" x14ac:dyDescent="0.25">
      <c r="A1174" t="s">
        <v>81</v>
      </c>
      <c r="B1174" t="s">
        <v>1</v>
      </c>
      <c r="C1174" s="1">
        <v>45872.541666666664</v>
      </c>
      <c r="D1174">
        <v>14</v>
      </c>
    </row>
    <row r="1175" spans="1:4" x14ac:dyDescent="0.25">
      <c r="A1175" t="s">
        <v>10</v>
      </c>
      <c r="B1175" t="s">
        <v>53</v>
      </c>
      <c r="C1175" s="1">
        <v>45867.458333333336</v>
      </c>
      <c r="D1175">
        <v>3</v>
      </c>
    </row>
    <row r="1176" spans="1:4" x14ac:dyDescent="0.25">
      <c r="A1176" t="s">
        <v>83</v>
      </c>
      <c r="B1176" t="s">
        <v>19</v>
      </c>
      <c r="C1176" s="1">
        <v>45869.885416666664</v>
      </c>
      <c r="D1176">
        <v>1</v>
      </c>
    </row>
    <row r="1177" spans="1:4" x14ac:dyDescent="0.25">
      <c r="A1177" t="s">
        <v>10</v>
      </c>
      <c r="B1177" t="s">
        <v>41</v>
      </c>
      <c r="C1177" s="1">
        <v>45852.458333333336</v>
      </c>
      <c r="D1177">
        <v>6</v>
      </c>
    </row>
    <row r="1178" spans="1:4" x14ac:dyDescent="0.25">
      <c r="A1178" t="s">
        <v>7</v>
      </c>
      <c r="B1178" t="s">
        <v>19</v>
      </c>
      <c r="C1178" s="1">
        <v>45876.885416666664</v>
      </c>
      <c r="D1178">
        <v>51</v>
      </c>
    </row>
    <row r="1179" spans="1:4" x14ac:dyDescent="0.25">
      <c r="A1179" t="s">
        <v>88</v>
      </c>
      <c r="B1179" t="s">
        <v>20</v>
      </c>
      <c r="C1179" s="1">
        <v>45873.583333333336</v>
      </c>
      <c r="D1179">
        <v>1</v>
      </c>
    </row>
    <row r="1180" spans="1:4" x14ac:dyDescent="0.25">
      <c r="A1180" t="s">
        <v>7</v>
      </c>
      <c r="B1180" t="s">
        <v>19</v>
      </c>
      <c r="C1180" s="1">
        <v>45873.145833333336</v>
      </c>
      <c r="D1180">
        <v>26</v>
      </c>
    </row>
    <row r="1181" spans="1:4" x14ac:dyDescent="0.25">
      <c r="A1181" t="s">
        <v>81</v>
      </c>
      <c r="B1181" t="s">
        <v>20</v>
      </c>
      <c r="C1181" s="1">
        <v>45871.729166666664</v>
      </c>
      <c r="D1181">
        <v>68</v>
      </c>
    </row>
    <row r="1182" spans="1:4" x14ac:dyDescent="0.25">
      <c r="A1182" t="s">
        <v>10</v>
      </c>
      <c r="B1182" t="s">
        <v>2</v>
      </c>
      <c r="C1182" s="1">
        <v>45871.125</v>
      </c>
      <c r="D1182">
        <v>580</v>
      </c>
    </row>
    <row r="1183" spans="1:4" x14ac:dyDescent="0.25">
      <c r="A1183" t="s">
        <v>79</v>
      </c>
      <c r="B1183" t="s">
        <v>4</v>
      </c>
      <c r="C1183" s="1">
        <v>45871.458333333336</v>
      </c>
      <c r="D1183">
        <v>1042</v>
      </c>
    </row>
    <row r="1184" spans="1:4" x14ac:dyDescent="0.25">
      <c r="A1184" t="s">
        <v>7</v>
      </c>
      <c r="B1184" t="s">
        <v>60</v>
      </c>
      <c r="C1184" s="1">
        <v>45842.458333333336</v>
      </c>
      <c r="D1184">
        <v>3</v>
      </c>
    </row>
    <row r="1185" spans="1:4" x14ac:dyDescent="0.25">
      <c r="A1185" t="s">
        <v>83</v>
      </c>
      <c r="B1185" t="s">
        <v>19</v>
      </c>
      <c r="C1185" s="1">
        <v>45871.625</v>
      </c>
      <c r="D1185">
        <v>2</v>
      </c>
    </row>
    <row r="1186" spans="1:4" x14ac:dyDescent="0.25">
      <c r="A1186" t="s">
        <v>7</v>
      </c>
      <c r="B1186" t="s">
        <v>1</v>
      </c>
      <c r="C1186" s="1">
        <v>45872.083333333336</v>
      </c>
      <c r="D1186">
        <v>151</v>
      </c>
    </row>
    <row r="1187" spans="1:4" x14ac:dyDescent="0.25">
      <c r="A1187" t="s">
        <v>7</v>
      </c>
      <c r="B1187" t="s">
        <v>0</v>
      </c>
      <c r="C1187" s="1">
        <v>45871.625</v>
      </c>
      <c r="D1187">
        <v>214</v>
      </c>
    </row>
    <row r="1188" spans="1:4" x14ac:dyDescent="0.25">
      <c r="A1188" t="s">
        <v>14</v>
      </c>
      <c r="B1188" t="s">
        <v>41</v>
      </c>
      <c r="C1188" s="1">
        <v>45870.458333333336</v>
      </c>
      <c r="D1188">
        <v>1</v>
      </c>
    </row>
    <row r="1189" spans="1:4" x14ac:dyDescent="0.25">
      <c r="A1189" t="s">
        <v>9</v>
      </c>
      <c r="B1189" t="s">
        <v>40</v>
      </c>
      <c r="C1189" s="1">
        <v>45872.458333333336</v>
      </c>
      <c r="D1189">
        <v>1</v>
      </c>
    </row>
    <row r="1190" spans="1:4" x14ac:dyDescent="0.25">
      <c r="A1190" t="s">
        <v>23</v>
      </c>
      <c r="B1190" t="s">
        <v>1</v>
      </c>
      <c r="C1190" s="1">
        <v>45875.583333333336</v>
      </c>
      <c r="D1190">
        <v>6</v>
      </c>
    </row>
    <row r="1191" spans="1:4" x14ac:dyDescent="0.25">
      <c r="A1191" t="s">
        <v>83</v>
      </c>
      <c r="B1191" t="s">
        <v>19</v>
      </c>
      <c r="C1191" s="1">
        <v>45870.208333333336</v>
      </c>
      <c r="D1191">
        <v>2</v>
      </c>
    </row>
    <row r="1192" spans="1:4" x14ac:dyDescent="0.25">
      <c r="A1192" t="s">
        <v>77</v>
      </c>
      <c r="B1192" t="s">
        <v>60</v>
      </c>
      <c r="C1192" s="1">
        <v>45841.458333333336</v>
      </c>
      <c r="D1192">
        <v>360</v>
      </c>
    </row>
    <row r="1193" spans="1:4" x14ac:dyDescent="0.25">
      <c r="A1193" t="s">
        <v>7</v>
      </c>
      <c r="B1193" t="s">
        <v>8</v>
      </c>
      <c r="C1193" s="1">
        <v>45873.145833333336</v>
      </c>
      <c r="D1193">
        <v>46</v>
      </c>
    </row>
    <row r="1194" spans="1:4" x14ac:dyDescent="0.25">
      <c r="A1194" t="s">
        <v>13</v>
      </c>
      <c r="B1194" t="s">
        <v>93</v>
      </c>
      <c r="C1194" s="1">
        <v>45872.458333333336</v>
      </c>
      <c r="D1194">
        <v>54</v>
      </c>
    </row>
    <row r="1195" spans="1:4" x14ac:dyDescent="0.25">
      <c r="A1195" t="s">
        <v>9</v>
      </c>
      <c r="B1195" t="s">
        <v>8</v>
      </c>
      <c r="C1195" s="1">
        <v>45870.0625</v>
      </c>
      <c r="D1195">
        <v>1</v>
      </c>
    </row>
    <row r="1196" spans="1:4" x14ac:dyDescent="0.25">
      <c r="A1196" t="s">
        <v>81</v>
      </c>
      <c r="B1196" t="s">
        <v>2</v>
      </c>
      <c r="C1196" s="1">
        <v>45871.604166666664</v>
      </c>
      <c r="D1196">
        <v>563</v>
      </c>
    </row>
    <row r="1197" spans="1:4" x14ac:dyDescent="0.25">
      <c r="A1197" t="s">
        <v>9</v>
      </c>
      <c r="B1197" t="s">
        <v>41</v>
      </c>
      <c r="C1197" s="1">
        <v>45866.458333333336</v>
      </c>
      <c r="D1197">
        <v>36</v>
      </c>
    </row>
    <row r="1198" spans="1:4" x14ac:dyDescent="0.25">
      <c r="A1198" t="s">
        <v>9</v>
      </c>
      <c r="B1198" t="s">
        <v>294</v>
      </c>
      <c r="C1198" s="1">
        <v>45871.458333333336</v>
      </c>
      <c r="D1198">
        <v>6</v>
      </c>
    </row>
    <row r="1199" spans="1:4" x14ac:dyDescent="0.25">
      <c r="A1199" t="s">
        <v>88</v>
      </c>
      <c r="B1199" t="s">
        <v>8</v>
      </c>
      <c r="C1199" s="1">
        <v>45871.604166666664</v>
      </c>
      <c r="D1199">
        <v>19</v>
      </c>
    </row>
    <row r="1200" spans="1:4" x14ac:dyDescent="0.25">
      <c r="A1200" t="s">
        <v>7</v>
      </c>
      <c r="B1200" t="s">
        <v>19</v>
      </c>
      <c r="C1200" s="1">
        <v>45871.125</v>
      </c>
      <c r="D1200">
        <v>869</v>
      </c>
    </row>
    <row r="1201" spans="1:4" x14ac:dyDescent="0.25">
      <c r="A1201" t="s">
        <v>9</v>
      </c>
      <c r="B1201" t="s">
        <v>39</v>
      </c>
      <c r="C1201" s="1">
        <v>45865.458333333336</v>
      </c>
      <c r="D1201">
        <v>2</v>
      </c>
    </row>
    <row r="1202" spans="1:4" x14ac:dyDescent="0.25">
      <c r="A1202" t="s">
        <v>23</v>
      </c>
      <c r="B1202" t="s">
        <v>8</v>
      </c>
      <c r="C1202" s="1">
        <v>45874.885416666664</v>
      </c>
      <c r="D1202">
        <v>22</v>
      </c>
    </row>
    <row r="1203" spans="1:4" x14ac:dyDescent="0.25">
      <c r="A1203" t="s">
        <v>81</v>
      </c>
      <c r="B1203" t="s">
        <v>19</v>
      </c>
      <c r="C1203" s="1">
        <v>45874.166666666664</v>
      </c>
      <c r="D1203">
        <v>2</v>
      </c>
    </row>
    <row r="1204" spans="1:4" x14ac:dyDescent="0.25">
      <c r="A1204" t="s">
        <v>11</v>
      </c>
      <c r="B1204" t="s">
        <v>42</v>
      </c>
      <c r="C1204" s="1">
        <v>45865.458333333336</v>
      </c>
      <c r="D1204">
        <v>45</v>
      </c>
    </row>
    <row r="1205" spans="1:4" x14ac:dyDescent="0.25">
      <c r="A1205" t="s">
        <v>88</v>
      </c>
      <c r="B1205" t="s">
        <v>1</v>
      </c>
      <c r="C1205" s="1">
        <v>45871.145833333336</v>
      </c>
      <c r="D1205">
        <v>13</v>
      </c>
    </row>
    <row r="1206" spans="1:4" x14ac:dyDescent="0.25">
      <c r="A1206" t="s">
        <v>7</v>
      </c>
      <c r="B1206" t="s">
        <v>57</v>
      </c>
      <c r="C1206" s="1">
        <v>45872.885416666664</v>
      </c>
      <c r="D1206">
        <v>3</v>
      </c>
    </row>
    <row r="1207" spans="1:4" x14ac:dyDescent="0.25">
      <c r="A1207" t="s">
        <v>77</v>
      </c>
      <c r="B1207" t="s">
        <v>2</v>
      </c>
      <c r="C1207" s="1">
        <v>45871.208333333336</v>
      </c>
      <c r="D1207">
        <v>19</v>
      </c>
    </row>
    <row r="1208" spans="1:4" x14ac:dyDescent="0.25">
      <c r="A1208" t="s">
        <v>12</v>
      </c>
      <c r="B1208" t="s">
        <v>2</v>
      </c>
      <c r="C1208" s="1">
        <v>45871.125</v>
      </c>
      <c r="D1208">
        <v>49</v>
      </c>
    </row>
    <row r="1209" spans="1:4" x14ac:dyDescent="0.25">
      <c r="A1209" t="s">
        <v>83</v>
      </c>
      <c r="B1209" t="s">
        <v>8</v>
      </c>
      <c r="C1209" s="1">
        <v>45868.166666666664</v>
      </c>
      <c r="D1209">
        <v>10</v>
      </c>
    </row>
    <row r="1210" spans="1:4" x14ac:dyDescent="0.25">
      <c r="A1210" t="s">
        <v>10</v>
      </c>
      <c r="B1210" t="s">
        <v>1</v>
      </c>
      <c r="C1210" s="1">
        <v>45871.041666666664</v>
      </c>
      <c r="D1210">
        <v>1</v>
      </c>
    </row>
    <row r="1211" spans="1:4" x14ac:dyDescent="0.25">
      <c r="A1211" t="s">
        <v>81</v>
      </c>
      <c r="B1211" t="s">
        <v>57</v>
      </c>
      <c r="C1211" s="1">
        <v>45871.625</v>
      </c>
      <c r="D1211">
        <v>114</v>
      </c>
    </row>
    <row r="1212" spans="1:4" x14ac:dyDescent="0.25">
      <c r="A1212" t="s">
        <v>78</v>
      </c>
      <c r="B1212" t="s">
        <v>84</v>
      </c>
      <c r="C1212" s="1">
        <v>45870.583333333336</v>
      </c>
      <c r="D1212">
        <v>33</v>
      </c>
    </row>
    <row r="1213" spans="1:4" x14ac:dyDescent="0.25">
      <c r="A1213" t="s">
        <v>81</v>
      </c>
      <c r="B1213" t="s">
        <v>20</v>
      </c>
      <c r="C1213" s="1">
        <v>45871.125</v>
      </c>
      <c r="D1213">
        <v>80</v>
      </c>
    </row>
    <row r="1214" spans="1:4" x14ac:dyDescent="0.25">
      <c r="A1214" t="s">
        <v>7</v>
      </c>
      <c r="B1214" t="s">
        <v>19</v>
      </c>
      <c r="C1214" s="1">
        <v>45872.541666666664</v>
      </c>
      <c r="D1214">
        <v>75</v>
      </c>
    </row>
    <row r="1215" spans="1:4" x14ac:dyDescent="0.25">
      <c r="A1215" t="s">
        <v>77</v>
      </c>
      <c r="B1215" t="s">
        <v>19</v>
      </c>
      <c r="C1215" s="1">
        <v>45874.166666666664</v>
      </c>
      <c r="D1215">
        <v>1</v>
      </c>
    </row>
    <row r="1216" spans="1:4" x14ac:dyDescent="0.25">
      <c r="A1216" t="s">
        <v>7</v>
      </c>
      <c r="B1216" t="s">
        <v>8</v>
      </c>
      <c r="C1216" s="1">
        <v>45871.729166666664</v>
      </c>
      <c r="D1216">
        <v>575</v>
      </c>
    </row>
    <row r="1217" spans="1:4" x14ac:dyDescent="0.25">
      <c r="A1217" t="s">
        <v>7</v>
      </c>
      <c r="B1217" t="s">
        <v>2</v>
      </c>
      <c r="C1217" s="1">
        <v>45873.583333333336</v>
      </c>
      <c r="D1217">
        <v>66</v>
      </c>
    </row>
    <row r="1218" spans="1:4" x14ac:dyDescent="0.25">
      <c r="A1218" t="s">
        <v>11</v>
      </c>
      <c r="B1218" t="s">
        <v>2</v>
      </c>
      <c r="C1218" s="1">
        <v>45869.604166666664</v>
      </c>
      <c r="D1218">
        <v>1</v>
      </c>
    </row>
    <row r="1219" spans="1:4" x14ac:dyDescent="0.25">
      <c r="A1219" t="s">
        <v>13</v>
      </c>
      <c r="B1219" t="s">
        <v>4</v>
      </c>
      <c r="C1219" s="1">
        <v>45873.885416666664</v>
      </c>
      <c r="D1219">
        <v>1</v>
      </c>
    </row>
    <row r="1220" spans="1:4" x14ac:dyDescent="0.25">
      <c r="A1220" t="s">
        <v>23</v>
      </c>
      <c r="B1220" t="s">
        <v>0</v>
      </c>
      <c r="C1220" s="1">
        <v>45875.125</v>
      </c>
      <c r="D1220">
        <v>5</v>
      </c>
    </row>
    <row r="1221" spans="1:4" x14ac:dyDescent="0.25">
      <c r="A1221" t="s">
        <v>23</v>
      </c>
      <c r="B1221" t="s">
        <v>1</v>
      </c>
      <c r="C1221" s="1">
        <v>45874.125</v>
      </c>
      <c r="D1221">
        <v>7</v>
      </c>
    </row>
    <row r="1222" spans="1:4" x14ac:dyDescent="0.25">
      <c r="A1222" t="s">
        <v>88</v>
      </c>
      <c r="B1222" t="s">
        <v>19</v>
      </c>
      <c r="C1222" s="1">
        <v>45871.604166666664</v>
      </c>
      <c r="D1222">
        <v>2</v>
      </c>
    </row>
    <row r="1223" spans="1:4" x14ac:dyDescent="0.25">
      <c r="A1223" t="s">
        <v>79</v>
      </c>
      <c r="B1223" t="s">
        <v>80</v>
      </c>
      <c r="C1223" s="1">
        <v>45875.458333333336</v>
      </c>
      <c r="D1223">
        <v>26</v>
      </c>
    </row>
    <row r="1224" spans="1:4" x14ac:dyDescent="0.25">
      <c r="A1224" t="s">
        <v>7</v>
      </c>
      <c r="B1224" t="s">
        <v>57</v>
      </c>
      <c r="C1224" s="1">
        <v>45871.583333333336</v>
      </c>
      <c r="D1224">
        <v>1</v>
      </c>
    </row>
    <row r="1225" spans="1:4" x14ac:dyDescent="0.25">
      <c r="A1225" t="s">
        <v>88</v>
      </c>
      <c r="B1225" t="s">
        <v>1</v>
      </c>
      <c r="C1225" s="1">
        <v>45871.729166666664</v>
      </c>
      <c r="D1225">
        <v>2</v>
      </c>
    </row>
    <row r="1226" spans="1:4" x14ac:dyDescent="0.25">
      <c r="A1226" t="s">
        <v>7</v>
      </c>
      <c r="B1226" t="s">
        <v>85</v>
      </c>
      <c r="C1226" s="1">
        <v>45692.458333333336</v>
      </c>
      <c r="D1226">
        <v>1</v>
      </c>
    </row>
    <row r="1227" spans="1:4" x14ac:dyDescent="0.25">
      <c r="A1227" t="s">
        <v>77</v>
      </c>
      <c r="B1227" t="s">
        <v>1</v>
      </c>
      <c r="C1227" s="1">
        <v>45873.541666666664</v>
      </c>
      <c r="D1227">
        <v>2</v>
      </c>
    </row>
    <row r="1228" spans="1:4" x14ac:dyDescent="0.25">
      <c r="A1228" t="s">
        <v>10</v>
      </c>
      <c r="B1228" t="s">
        <v>1</v>
      </c>
      <c r="C1228" s="1">
        <v>45871.625</v>
      </c>
      <c r="D1228">
        <v>1</v>
      </c>
    </row>
    <row r="1229" spans="1:4" x14ac:dyDescent="0.25">
      <c r="A1229" t="s">
        <v>12</v>
      </c>
      <c r="B1229" t="s">
        <v>57</v>
      </c>
      <c r="C1229" s="1">
        <v>45871.145833333336</v>
      </c>
      <c r="D1229">
        <v>87</v>
      </c>
    </row>
    <row r="1230" spans="1:4" x14ac:dyDescent="0.25">
      <c r="A1230" t="s">
        <v>23</v>
      </c>
      <c r="B1230" t="s">
        <v>8</v>
      </c>
      <c r="C1230" s="1">
        <v>45872.1875</v>
      </c>
      <c r="D1230">
        <v>3</v>
      </c>
    </row>
    <row r="1231" spans="1:4" x14ac:dyDescent="0.25">
      <c r="A1231" t="s">
        <v>10</v>
      </c>
      <c r="B1231" t="s">
        <v>0</v>
      </c>
      <c r="C1231" s="1">
        <v>45872.020833333336</v>
      </c>
      <c r="D1231">
        <v>1</v>
      </c>
    </row>
    <row r="1232" spans="1:4" x14ac:dyDescent="0.25">
      <c r="A1232" t="s">
        <v>81</v>
      </c>
      <c r="B1232" t="s">
        <v>8</v>
      </c>
      <c r="C1232" s="1">
        <v>45871.958333333336</v>
      </c>
      <c r="D1232">
        <v>22</v>
      </c>
    </row>
    <row r="1233" spans="1:4" x14ac:dyDescent="0.25">
      <c r="A1233" t="s">
        <v>7</v>
      </c>
      <c r="B1233" t="s">
        <v>20</v>
      </c>
      <c r="C1233" s="1">
        <v>45875.541666666664</v>
      </c>
      <c r="D1233">
        <v>4</v>
      </c>
    </row>
    <row r="1234" spans="1:4" x14ac:dyDescent="0.25">
      <c r="A1234" t="s">
        <v>23</v>
      </c>
      <c r="B1234" t="s">
        <v>0</v>
      </c>
      <c r="C1234" s="1">
        <v>45872.666666666664</v>
      </c>
      <c r="D1234">
        <v>1</v>
      </c>
    </row>
    <row r="1235" spans="1:4" x14ac:dyDescent="0.25">
      <c r="A1235" t="s">
        <v>7</v>
      </c>
      <c r="B1235" t="s">
        <v>2</v>
      </c>
      <c r="C1235" s="1">
        <v>45873.166666666664</v>
      </c>
      <c r="D1235">
        <v>12</v>
      </c>
    </row>
    <row r="1236" spans="1:4" x14ac:dyDescent="0.25">
      <c r="A1236" t="s">
        <v>9</v>
      </c>
      <c r="B1236" t="s">
        <v>39</v>
      </c>
      <c r="C1236" s="1">
        <v>45837.458333333336</v>
      </c>
      <c r="D1236">
        <v>7</v>
      </c>
    </row>
    <row r="1237" spans="1:4" x14ac:dyDescent="0.25">
      <c r="A1237" t="s">
        <v>23</v>
      </c>
      <c r="B1237" t="s">
        <v>8</v>
      </c>
      <c r="C1237" s="1">
        <v>45876.625</v>
      </c>
      <c r="D1237">
        <v>2</v>
      </c>
    </row>
    <row r="1238" spans="1:4" x14ac:dyDescent="0.25">
      <c r="A1238" t="s">
        <v>23</v>
      </c>
      <c r="B1238" t="s">
        <v>19</v>
      </c>
      <c r="C1238" s="1">
        <v>45872.166666666664</v>
      </c>
      <c r="D1238">
        <v>5</v>
      </c>
    </row>
    <row r="1239" spans="1:4" x14ac:dyDescent="0.25">
      <c r="A1239" t="s">
        <v>7</v>
      </c>
      <c r="B1239" t="s">
        <v>2</v>
      </c>
      <c r="C1239" s="1">
        <v>45874.885416666664</v>
      </c>
      <c r="D1239">
        <v>13</v>
      </c>
    </row>
    <row r="1240" spans="1:4" x14ac:dyDescent="0.25">
      <c r="A1240" t="s">
        <v>12</v>
      </c>
      <c r="B1240" t="s">
        <v>1</v>
      </c>
      <c r="C1240" s="1">
        <v>45871.604166666664</v>
      </c>
      <c r="D1240">
        <v>9</v>
      </c>
    </row>
    <row r="1241" spans="1:4" x14ac:dyDescent="0.25">
      <c r="A1241" t="s">
        <v>7</v>
      </c>
      <c r="B1241" t="s">
        <v>8</v>
      </c>
      <c r="C1241" s="1">
        <v>45871.541666666664</v>
      </c>
      <c r="D1241">
        <v>727</v>
      </c>
    </row>
    <row r="1242" spans="1:4" x14ac:dyDescent="0.25">
      <c r="A1242" t="s">
        <v>15</v>
      </c>
      <c r="B1242" t="s">
        <v>8</v>
      </c>
      <c r="C1242" s="1">
        <v>45871.145833333336</v>
      </c>
      <c r="D1242">
        <v>16</v>
      </c>
    </row>
    <row r="1243" spans="1:4" x14ac:dyDescent="0.25">
      <c r="A1243" t="s">
        <v>15</v>
      </c>
      <c r="B1243" t="s">
        <v>19</v>
      </c>
      <c r="C1243" s="1">
        <v>45871.125</v>
      </c>
      <c r="D1243">
        <v>11</v>
      </c>
    </row>
    <row r="1244" spans="1:4" x14ac:dyDescent="0.25">
      <c r="A1244" t="s">
        <v>23</v>
      </c>
      <c r="B1244" t="s">
        <v>19</v>
      </c>
      <c r="C1244" s="1">
        <v>45873.885416666664</v>
      </c>
      <c r="D1244">
        <v>55</v>
      </c>
    </row>
    <row r="1245" spans="1:4" x14ac:dyDescent="0.25">
      <c r="A1245" t="s">
        <v>10</v>
      </c>
      <c r="B1245" t="s">
        <v>92</v>
      </c>
      <c r="C1245" s="1">
        <v>45868.458333333336</v>
      </c>
      <c r="D1245">
        <v>7</v>
      </c>
    </row>
    <row r="1246" spans="1:4" x14ac:dyDescent="0.25">
      <c r="A1246" t="s">
        <v>7</v>
      </c>
      <c r="B1246" t="s">
        <v>1</v>
      </c>
      <c r="C1246" s="1">
        <v>45871.458333333336</v>
      </c>
      <c r="D1246">
        <v>70</v>
      </c>
    </row>
    <row r="1247" spans="1:4" x14ac:dyDescent="0.25">
      <c r="A1247" t="s">
        <v>9</v>
      </c>
      <c r="B1247" t="s">
        <v>41</v>
      </c>
      <c r="C1247" s="1">
        <v>45807.458333333336</v>
      </c>
      <c r="D1247">
        <v>1</v>
      </c>
    </row>
    <row r="1248" spans="1:4" x14ac:dyDescent="0.25">
      <c r="A1248" t="s">
        <v>7</v>
      </c>
      <c r="B1248" t="s">
        <v>20</v>
      </c>
      <c r="C1248" s="1">
        <v>45871.666666666664</v>
      </c>
      <c r="D1248">
        <v>160</v>
      </c>
    </row>
    <row r="1249" spans="1:4" x14ac:dyDescent="0.25">
      <c r="A1249" t="s">
        <v>7</v>
      </c>
      <c r="B1249" t="s">
        <v>0</v>
      </c>
      <c r="C1249" s="1">
        <v>45871.604166666664</v>
      </c>
      <c r="D1249">
        <v>232</v>
      </c>
    </row>
    <row r="1250" spans="1:4" x14ac:dyDescent="0.25">
      <c r="A1250" t="s">
        <v>77</v>
      </c>
      <c r="B1250" t="s">
        <v>19</v>
      </c>
      <c r="C1250" s="1">
        <v>45874.885416666664</v>
      </c>
      <c r="D1250">
        <v>2</v>
      </c>
    </row>
    <row r="1251" spans="1:4" x14ac:dyDescent="0.25">
      <c r="A1251" t="s">
        <v>23</v>
      </c>
      <c r="B1251" t="s">
        <v>8</v>
      </c>
      <c r="C1251" s="1">
        <v>45872.166666666664</v>
      </c>
      <c r="D1251">
        <v>5</v>
      </c>
    </row>
    <row r="1252" spans="1:4" x14ac:dyDescent="0.25">
      <c r="A1252" t="s">
        <v>23</v>
      </c>
      <c r="B1252" t="s">
        <v>0</v>
      </c>
      <c r="C1252" s="1">
        <v>45872.083333333336</v>
      </c>
      <c r="D1252">
        <v>13</v>
      </c>
    </row>
    <row r="1253" spans="1:4" x14ac:dyDescent="0.25">
      <c r="A1253" t="s">
        <v>12</v>
      </c>
      <c r="B1253" t="s">
        <v>57</v>
      </c>
      <c r="C1253" s="1">
        <v>45871.125</v>
      </c>
      <c r="D1253">
        <v>63</v>
      </c>
    </row>
    <row r="1254" spans="1:4" x14ac:dyDescent="0.25">
      <c r="A1254" t="s">
        <v>15</v>
      </c>
      <c r="B1254" t="s">
        <v>57</v>
      </c>
      <c r="C1254" s="1">
        <v>45871.1875</v>
      </c>
      <c r="D1254">
        <v>2</v>
      </c>
    </row>
    <row r="1255" spans="1:4" x14ac:dyDescent="0.25">
      <c r="A1255" t="s">
        <v>7</v>
      </c>
      <c r="B1255" t="s">
        <v>57</v>
      </c>
      <c r="C1255" s="1">
        <v>45872.166666666664</v>
      </c>
      <c r="D1255">
        <v>4</v>
      </c>
    </row>
    <row r="1256" spans="1:4" x14ac:dyDescent="0.25">
      <c r="A1256" t="s">
        <v>7</v>
      </c>
      <c r="B1256" t="s">
        <v>8</v>
      </c>
      <c r="C1256" s="1">
        <v>45872.125</v>
      </c>
      <c r="D1256">
        <v>1413</v>
      </c>
    </row>
    <row r="1257" spans="1:4" x14ac:dyDescent="0.25">
      <c r="A1257" t="s">
        <v>81</v>
      </c>
      <c r="B1257" t="s">
        <v>57</v>
      </c>
      <c r="C1257" s="1">
        <v>45872.020833333336</v>
      </c>
      <c r="D1257">
        <v>2</v>
      </c>
    </row>
    <row r="1258" spans="1:4" x14ac:dyDescent="0.25">
      <c r="A1258" t="s">
        <v>7</v>
      </c>
      <c r="B1258" t="s">
        <v>2</v>
      </c>
      <c r="C1258" s="1">
        <v>45873.1875</v>
      </c>
      <c r="D1258">
        <v>14</v>
      </c>
    </row>
    <row r="1259" spans="1:4" x14ac:dyDescent="0.25">
      <c r="A1259" t="s">
        <v>23</v>
      </c>
      <c r="B1259" t="s">
        <v>19</v>
      </c>
      <c r="C1259" s="1">
        <v>45872.1875</v>
      </c>
      <c r="D1259">
        <v>3</v>
      </c>
    </row>
    <row r="1260" spans="1:4" x14ac:dyDescent="0.25">
      <c r="A1260" t="s">
        <v>77</v>
      </c>
      <c r="B1260" t="s">
        <v>8</v>
      </c>
      <c r="C1260" s="1">
        <v>45873.1875</v>
      </c>
      <c r="D1260">
        <v>1</v>
      </c>
    </row>
    <row r="1261" spans="1:4" x14ac:dyDescent="0.25">
      <c r="A1261" t="s">
        <v>7</v>
      </c>
      <c r="B1261" t="s">
        <v>20</v>
      </c>
      <c r="C1261" s="1">
        <v>45871.083333333336</v>
      </c>
      <c r="D1261">
        <v>73</v>
      </c>
    </row>
    <row r="1262" spans="1:4" x14ac:dyDescent="0.25">
      <c r="A1262" t="s">
        <v>12</v>
      </c>
      <c r="B1262" t="s">
        <v>8</v>
      </c>
      <c r="C1262" s="1">
        <v>45871.666666666664</v>
      </c>
      <c r="D1262">
        <v>5</v>
      </c>
    </row>
    <row r="1263" spans="1:4" x14ac:dyDescent="0.25">
      <c r="A1263" t="s">
        <v>77</v>
      </c>
      <c r="B1263" t="s">
        <v>40</v>
      </c>
      <c r="C1263" s="1">
        <v>45883.458333333336</v>
      </c>
      <c r="D1263">
        <v>39</v>
      </c>
    </row>
    <row r="1264" spans="1:4" x14ac:dyDescent="0.25">
      <c r="A1264" t="s">
        <v>9</v>
      </c>
      <c r="B1264" t="s">
        <v>8</v>
      </c>
      <c r="C1264" s="1">
        <v>45871.916666666664</v>
      </c>
      <c r="D1264">
        <v>1</v>
      </c>
    </row>
    <row r="1265" spans="1:4" x14ac:dyDescent="0.25">
      <c r="A1265" t="s">
        <v>23</v>
      </c>
      <c r="B1265" t="s">
        <v>20</v>
      </c>
      <c r="C1265" s="1">
        <v>45875.583333333336</v>
      </c>
      <c r="D1265">
        <v>2</v>
      </c>
    </row>
    <row r="1266" spans="1:4" x14ac:dyDescent="0.25">
      <c r="A1266" t="s">
        <v>11</v>
      </c>
      <c r="B1266" t="s">
        <v>92</v>
      </c>
      <c r="C1266" s="1">
        <v>45876.458333333336</v>
      </c>
      <c r="D1266">
        <v>1</v>
      </c>
    </row>
    <row r="1267" spans="1:4" x14ac:dyDescent="0.25">
      <c r="A1267" t="s">
        <v>11</v>
      </c>
      <c r="B1267" t="s">
        <v>8</v>
      </c>
      <c r="C1267" s="1">
        <v>45869.885416666664</v>
      </c>
      <c r="D1267">
        <v>2</v>
      </c>
    </row>
    <row r="1268" spans="1:4" x14ac:dyDescent="0.25">
      <c r="A1268" t="s">
        <v>11</v>
      </c>
      <c r="B1268" t="s">
        <v>51</v>
      </c>
      <c r="C1268" s="1">
        <v>45837.458333333336</v>
      </c>
      <c r="D1268">
        <v>36</v>
      </c>
    </row>
    <row r="1269" spans="1:4" x14ac:dyDescent="0.25">
      <c r="A1269" t="s">
        <v>81</v>
      </c>
      <c r="B1269" t="s">
        <v>2</v>
      </c>
      <c r="C1269" s="1">
        <v>45871.395833333336</v>
      </c>
      <c r="D1269">
        <v>8</v>
      </c>
    </row>
    <row r="1270" spans="1:4" x14ac:dyDescent="0.25">
      <c r="A1270" t="s">
        <v>23</v>
      </c>
      <c r="B1270" t="s">
        <v>1</v>
      </c>
      <c r="C1270" s="1">
        <v>45873.729166666664</v>
      </c>
      <c r="D1270">
        <v>1</v>
      </c>
    </row>
    <row r="1271" spans="1:4" x14ac:dyDescent="0.25">
      <c r="A1271" t="s">
        <v>77</v>
      </c>
      <c r="B1271" t="s">
        <v>8</v>
      </c>
      <c r="C1271" s="1">
        <v>45868.145833333336</v>
      </c>
      <c r="D1271">
        <v>1</v>
      </c>
    </row>
    <row r="1272" spans="1:4" x14ac:dyDescent="0.25">
      <c r="A1272" t="s">
        <v>81</v>
      </c>
      <c r="B1272" t="s">
        <v>19</v>
      </c>
      <c r="C1272" s="1">
        <v>45873.1875</v>
      </c>
      <c r="D1272">
        <v>23</v>
      </c>
    </row>
    <row r="1273" spans="1:4" x14ac:dyDescent="0.25">
      <c r="A1273" t="s">
        <v>88</v>
      </c>
      <c r="B1273" t="s">
        <v>1</v>
      </c>
      <c r="C1273" s="1">
        <v>45871.125</v>
      </c>
      <c r="D1273">
        <v>17</v>
      </c>
    </row>
    <row r="1274" spans="1:4" x14ac:dyDescent="0.25">
      <c r="A1274" t="s">
        <v>7</v>
      </c>
      <c r="B1274" t="s">
        <v>8</v>
      </c>
      <c r="C1274" s="1">
        <v>45876.583333333336</v>
      </c>
      <c r="D1274">
        <v>124</v>
      </c>
    </row>
    <row r="1275" spans="1:4" x14ac:dyDescent="0.25">
      <c r="A1275" t="s">
        <v>339</v>
      </c>
      <c r="B1275" t="s">
        <v>8</v>
      </c>
      <c r="C1275" s="1">
        <v>45871.166666666664</v>
      </c>
      <c r="D1275">
        <v>1</v>
      </c>
    </row>
    <row r="1276" spans="1:4" x14ac:dyDescent="0.25">
      <c r="A1276" t="s">
        <v>81</v>
      </c>
      <c r="B1276" t="s">
        <v>20</v>
      </c>
      <c r="C1276" s="1">
        <v>45871.145833333336</v>
      </c>
      <c r="D1276">
        <v>8</v>
      </c>
    </row>
    <row r="1277" spans="1:4" x14ac:dyDescent="0.25">
      <c r="A1277" t="s">
        <v>81</v>
      </c>
      <c r="B1277" t="s">
        <v>57</v>
      </c>
      <c r="C1277" s="1">
        <v>45872.604166666664</v>
      </c>
      <c r="D1277">
        <v>15</v>
      </c>
    </row>
    <row r="1278" spans="1:4" x14ac:dyDescent="0.25">
      <c r="A1278" t="s">
        <v>81</v>
      </c>
      <c r="B1278" t="s">
        <v>2</v>
      </c>
      <c r="C1278" s="1">
        <v>45871.885416666664</v>
      </c>
      <c r="D1278">
        <v>346</v>
      </c>
    </row>
    <row r="1279" spans="1:4" x14ac:dyDescent="0.25">
      <c r="A1279" t="s">
        <v>11</v>
      </c>
      <c r="B1279" t="s">
        <v>8</v>
      </c>
      <c r="C1279" s="1">
        <v>45871.020833333336</v>
      </c>
      <c r="D1279">
        <v>21</v>
      </c>
    </row>
    <row r="1280" spans="1:4" x14ac:dyDescent="0.25">
      <c r="A1280" t="s">
        <v>23</v>
      </c>
      <c r="B1280" t="s">
        <v>19</v>
      </c>
      <c r="C1280" s="1">
        <v>45873.208333333336</v>
      </c>
      <c r="D1280">
        <v>22</v>
      </c>
    </row>
    <row r="1281" spans="1:4" x14ac:dyDescent="0.25">
      <c r="A1281" t="s">
        <v>81</v>
      </c>
      <c r="B1281" t="s">
        <v>1</v>
      </c>
      <c r="C1281" s="1">
        <v>45872.916666666664</v>
      </c>
      <c r="D1281">
        <v>11</v>
      </c>
    </row>
    <row r="1282" spans="1:4" x14ac:dyDescent="0.25">
      <c r="A1282" t="s">
        <v>14</v>
      </c>
      <c r="B1282" t="s">
        <v>51</v>
      </c>
      <c r="C1282" s="1">
        <v>45862.458333333336</v>
      </c>
      <c r="D1282">
        <v>12</v>
      </c>
    </row>
    <row r="1283" spans="1:4" x14ac:dyDescent="0.25">
      <c r="A1283" t="s">
        <v>81</v>
      </c>
      <c r="B1283" t="s">
        <v>0</v>
      </c>
      <c r="C1283" s="1">
        <v>45873.666666666664</v>
      </c>
      <c r="D1283">
        <v>4</v>
      </c>
    </row>
    <row r="1284" spans="1:4" x14ac:dyDescent="0.25">
      <c r="A1284" t="s">
        <v>9</v>
      </c>
      <c r="B1284" t="s">
        <v>53</v>
      </c>
      <c r="C1284" s="1">
        <v>45866.458333333336</v>
      </c>
      <c r="D1284">
        <v>44</v>
      </c>
    </row>
    <row r="1285" spans="1:4" x14ac:dyDescent="0.25">
      <c r="A1285" t="s">
        <v>77</v>
      </c>
      <c r="B1285" t="s">
        <v>1</v>
      </c>
      <c r="C1285" s="1">
        <v>45871.916666666664</v>
      </c>
      <c r="D1285">
        <v>16</v>
      </c>
    </row>
    <row r="1286" spans="1:4" x14ac:dyDescent="0.25">
      <c r="A1286" t="s">
        <v>23</v>
      </c>
      <c r="B1286" t="s">
        <v>1</v>
      </c>
      <c r="C1286" s="1">
        <v>45873.145833333336</v>
      </c>
      <c r="D1286">
        <v>4</v>
      </c>
    </row>
    <row r="1287" spans="1:4" x14ac:dyDescent="0.25">
      <c r="A1287" t="s">
        <v>83</v>
      </c>
      <c r="B1287" t="s">
        <v>8</v>
      </c>
      <c r="C1287" s="1">
        <v>45871.020833333336</v>
      </c>
      <c r="D1287">
        <v>10</v>
      </c>
    </row>
    <row r="1288" spans="1:4" x14ac:dyDescent="0.25">
      <c r="A1288" t="s">
        <v>7</v>
      </c>
      <c r="B1288" t="s">
        <v>20</v>
      </c>
      <c r="C1288" s="1">
        <v>45876.125</v>
      </c>
      <c r="D1288">
        <v>1</v>
      </c>
    </row>
    <row r="1289" spans="1:4" x14ac:dyDescent="0.25">
      <c r="A1289" t="s">
        <v>23</v>
      </c>
      <c r="B1289" t="s">
        <v>8</v>
      </c>
      <c r="C1289" s="1">
        <v>45873.208333333336</v>
      </c>
      <c r="D1289">
        <v>26</v>
      </c>
    </row>
    <row r="1290" spans="1:4" x14ac:dyDescent="0.25">
      <c r="A1290" t="s">
        <v>83</v>
      </c>
      <c r="B1290" t="s">
        <v>19</v>
      </c>
      <c r="C1290" s="1">
        <v>45869.1875</v>
      </c>
      <c r="D1290">
        <v>2</v>
      </c>
    </row>
    <row r="1291" spans="1:4" x14ac:dyDescent="0.25">
      <c r="A1291" t="s">
        <v>7</v>
      </c>
      <c r="B1291" t="s">
        <v>8</v>
      </c>
      <c r="C1291" s="1">
        <v>45877.166666666664</v>
      </c>
      <c r="D1291">
        <v>37</v>
      </c>
    </row>
    <row r="1292" spans="1:4" x14ac:dyDescent="0.25">
      <c r="A1292" t="s">
        <v>81</v>
      </c>
      <c r="B1292" t="s">
        <v>19</v>
      </c>
      <c r="C1292" s="1">
        <v>45871.958333333336</v>
      </c>
      <c r="D1292">
        <v>30</v>
      </c>
    </row>
    <row r="1293" spans="1:4" x14ac:dyDescent="0.25">
      <c r="A1293" t="s">
        <v>9</v>
      </c>
      <c r="B1293" t="s">
        <v>0</v>
      </c>
      <c r="C1293" s="1">
        <v>45871.208333333336</v>
      </c>
      <c r="D1293">
        <v>81</v>
      </c>
    </row>
    <row r="1294" spans="1:4" x14ac:dyDescent="0.25">
      <c r="A1294" t="s">
        <v>9</v>
      </c>
      <c r="B1294" t="s">
        <v>20</v>
      </c>
      <c r="C1294" s="1">
        <v>45871.458333333336</v>
      </c>
      <c r="D1294">
        <v>31</v>
      </c>
    </row>
    <row r="1295" spans="1:4" x14ac:dyDescent="0.25">
      <c r="A1295" t="s">
        <v>81</v>
      </c>
      <c r="B1295" t="s">
        <v>0</v>
      </c>
      <c r="C1295" s="1">
        <v>45873.083333333336</v>
      </c>
      <c r="D1295">
        <v>8</v>
      </c>
    </row>
    <row r="1296" spans="1:4" x14ac:dyDescent="0.25">
      <c r="A1296" t="s">
        <v>11</v>
      </c>
      <c r="B1296" t="s">
        <v>53</v>
      </c>
      <c r="C1296" s="1">
        <v>45874.458333333336</v>
      </c>
      <c r="D1296">
        <v>1</v>
      </c>
    </row>
    <row r="1297" spans="1:4" x14ac:dyDescent="0.25">
      <c r="A1297" t="s">
        <v>15</v>
      </c>
      <c r="B1297" t="s">
        <v>19</v>
      </c>
      <c r="C1297" s="1">
        <v>45871.145833333336</v>
      </c>
      <c r="D1297">
        <v>43</v>
      </c>
    </row>
    <row r="1298" spans="1:4" x14ac:dyDescent="0.25">
      <c r="A1298" t="s">
        <v>10</v>
      </c>
      <c r="B1298" t="s">
        <v>20</v>
      </c>
      <c r="C1298" s="1">
        <v>45867.020833333336</v>
      </c>
      <c r="D1298">
        <v>1</v>
      </c>
    </row>
    <row r="1299" spans="1:4" x14ac:dyDescent="0.25">
      <c r="A1299" t="s">
        <v>9</v>
      </c>
      <c r="B1299" t="s">
        <v>1</v>
      </c>
      <c r="C1299" s="1">
        <v>45871.854166666664</v>
      </c>
      <c r="D1299">
        <v>1</v>
      </c>
    </row>
    <row r="1300" spans="1:4" x14ac:dyDescent="0.25">
      <c r="A1300" t="s">
        <v>7</v>
      </c>
      <c r="B1300" t="s">
        <v>8</v>
      </c>
      <c r="C1300" s="1">
        <v>45876.1875</v>
      </c>
      <c r="D1300">
        <v>2</v>
      </c>
    </row>
    <row r="1301" spans="1:4" x14ac:dyDescent="0.25">
      <c r="A1301" t="s">
        <v>11</v>
      </c>
      <c r="B1301" t="s">
        <v>41</v>
      </c>
      <c r="C1301" s="1">
        <v>45874.458333333336</v>
      </c>
      <c r="D1301">
        <v>90</v>
      </c>
    </row>
    <row r="1302" spans="1:4" x14ac:dyDescent="0.25">
      <c r="A1302" t="s">
        <v>83</v>
      </c>
      <c r="B1302" t="s">
        <v>19</v>
      </c>
      <c r="C1302" s="1">
        <v>45871.020833333336</v>
      </c>
      <c r="D1302">
        <v>11</v>
      </c>
    </row>
    <row r="1303" spans="1:4" x14ac:dyDescent="0.25">
      <c r="A1303" t="s">
        <v>7</v>
      </c>
      <c r="B1303" t="s">
        <v>41</v>
      </c>
      <c r="C1303" s="1">
        <v>45910.458333333336</v>
      </c>
      <c r="D1303">
        <v>1</v>
      </c>
    </row>
    <row r="1304" spans="1:4" x14ac:dyDescent="0.25">
      <c r="A1304" t="s">
        <v>81</v>
      </c>
      <c r="B1304" t="s">
        <v>8</v>
      </c>
      <c r="C1304" s="1">
        <v>45873.166666666664</v>
      </c>
      <c r="D1304">
        <v>8</v>
      </c>
    </row>
    <row r="1305" spans="1:4" x14ac:dyDescent="0.25">
      <c r="A1305" t="s">
        <v>81</v>
      </c>
      <c r="B1305" t="s">
        <v>8</v>
      </c>
      <c r="C1305" s="1">
        <v>45874.885416666664</v>
      </c>
      <c r="D1305">
        <v>22</v>
      </c>
    </row>
    <row r="1306" spans="1:4" x14ac:dyDescent="0.25">
      <c r="A1306" t="s">
        <v>12</v>
      </c>
      <c r="B1306" t="s">
        <v>19</v>
      </c>
      <c r="C1306" s="1">
        <v>45866.020833333336</v>
      </c>
      <c r="D1306">
        <v>1</v>
      </c>
    </row>
    <row r="1307" spans="1:4" x14ac:dyDescent="0.25">
      <c r="A1307" t="s">
        <v>77</v>
      </c>
      <c r="B1307" t="s">
        <v>8</v>
      </c>
      <c r="C1307" s="1">
        <v>45871.958333333336</v>
      </c>
      <c r="D1307">
        <v>8</v>
      </c>
    </row>
    <row r="1308" spans="1:4" x14ac:dyDescent="0.25">
      <c r="A1308" t="s">
        <v>23</v>
      </c>
      <c r="B1308" t="s">
        <v>20</v>
      </c>
      <c r="C1308" s="1">
        <v>45871.125</v>
      </c>
      <c r="D1308">
        <v>35</v>
      </c>
    </row>
    <row r="1309" spans="1:4" x14ac:dyDescent="0.25">
      <c r="A1309" t="s">
        <v>7</v>
      </c>
      <c r="B1309" t="s">
        <v>8</v>
      </c>
      <c r="C1309" s="1">
        <v>45873.75</v>
      </c>
      <c r="D1309">
        <v>4</v>
      </c>
    </row>
    <row r="1310" spans="1:4" x14ac:dyDescent="0.25">
      <c r="A1310" t="s">
        <v>83</v>
      </c>
      <c r="B1310" t="s">
        <v>19</v>
      </c>
      <c r="C1310" s="1">
        <v>45868.583333333336</v>
      </c>
      <c r="D1310">
        <v>1</v>
      </c>
    </row>
    <row r="1311" spans="1:4" x14ac:dyDescent="0.25">
      <c r="A1311" t="s">
        <v>7</v>
      </c>
      <c r="B1311" t="s">
        <v>0</v>
      </c>
      <c r="C1311" s="1">
        <v>45876.666666666664</v>
      </c>
      <c r="D1311">
        <v>5</v>
      </c>
    </row>
    <row r="1312" spans="1:4" x14ac:dyDescent="0.25">
      <c r="A1312" t="s">
        <v>7</v>
      </c>
      <c r="B1312" t="s">
        <v>40</v>
      </c>
      <c r="C1312" s="1">
        <v>45870.458333333336</v>
      </c>
      <c r="D1312">
        <v>594</v>
      </c>
    </row>
    <row r="1313" spans="1:4" x14ac:dyDescent="0.25">
      <c r="A1313" t="s">
        <v>7</v>
      </c>
      <c r="B1313" t="s">
        <v>20</v>
      </c>
      <c r="C1313" s="1">
        <v>45876.75</v>
      </c>
      <c r="D1313">
        <v>10</v>
      </c>
    </row>
    <row r="1314" spans="1:4" x14ac:dyDescent="0.25">
      <c r="A1314" t="s">
        <v>15</v>
      </c>
      <c r="B1314" t="s">
        <v>19</v>
      </c>
      <c r="C1314" s="1">
        <v>45868.916666666664</v>
      </c>
      <c r="D1314">
        <v>1</v>
      </c>
    </row>
    <row r="1315" spans="1:4" x14ac:dyDescent="0.25">
      <c r="A1315" t="s">
        <v>7</v>
      </c>
      <c r="B1315" t="s">
        <v>8</v>
      </c>
      <c r="C1315" s="1">
        <v>45877.885416666664</v>
      </c>
      <c r="D1315">
        <v>12</v>
      </c>
    </row>
    <row r="1316" spans="1:4" x14ac:dyDescent="0.25">
      <c r="A1316" t="s">
        <v>7</v>
      </c>
      <c r="B1316" t="s">
        <v>1</v>
      </c>
      <c r="C1316" s="1">
        <v>45877.125</v>
      </c>
      <c r="D1316">
        <v>9</v>
      </c>
    </row>
    <row r="1317" spans="1:4" x14ac:dyDescent="0.25">
      <c r="A1317" t="s">
        <v>10</v>
      </c>
      <c r="B1317" t="s">
        <v>20</v>
      </c>
      <c r="C1317" s="1">
        <v>45871.458333333336</v>
      </c>
      <c r="D1317">
        <v>14</v>
      </c>
    </row>
    <row r="1318" spans="1:4" x14ac:dyDescent="0.25">
      <c r="A1318" t="s">
        <v>7</v>
      </c>
      <c r="B1318" t="s">
        <v>2</v>
      </c>
      <c r="C1318" s="1">
        <v>45871.958333333336</v>
      </c>
      <c r="D1318">
        <v>13</v>
      </c>
    </row>
    <row r="1319" spans="1:4" x14ac:dyDescent="0.25">
      <c r="A1319" t="s">
        <v>7</v>
      </c>
      <c r="B1319" t="s">
        <v>19</v>
      </c>
      <c r="C1319" s="1">
        <v>45872.729166666664</v>
      </c>
      <c r="D1319">
        <v>148</v>
      </c>
    </row>
    <row r="1320" spans="1:4" x14ac:dyDescent="0.25">
      <c r="A1320" t="s">
        <v>23</v>
      </c>
      <c r="B1320" t="s">
        <v>0</v>
      </c>
      <c r="C1320" s="1">
        <v>45876.75</v>
      </c>
      <c r="D1320">
        <v>12</v>
      </c>
    </row>
    <row r="1321" spans="1:4" x14ac:dyDescent="0.25">
      <c r="A1321" t="s">
        <v>77</v>
      </c>
      <c r="B1321" t="s">
        <v>57</v>
      </c>
      <c r="C1321" s="1">
        <v>45871.020833333336</v>
      </c>
      <c r="D1321">
        <v>2</v>
      </c>
    </row>
    <row r="1322" spans="1:4" x14ac:dyDescent="0.25">
      <c r="A1322" t="s">
        <v>7</v>
      </c>
      <c r="B1322" t="s">
        <v>19</v>
      </c>
      <c r="C1322" s="1">
        <v>45875.583333333336</v>
      </c>
      <c r="D1322">
        <v>230</v>
      </c>
    </row>
    <row r="1323" spans="1:4" x14ac:dyDescent="0.25">
      <c r="A1323" t="s">
        <v>10</v>
      </c>
      <c r="B1323" t="s">
        <v>41</v>
      </c>
      <c r="C1323" s="1">
        <v>45867.458333333336</v>
      </c>
      <c r="D1323">
        <v>34</v>
      </c>
    </row>
    <row r="1324" spans="1:4" x14ac:dyDescent="0.25">
      <c r="A1324" t="s">
        <v>10</v>
      </c>
      <c r="B1324" t="s">
        <v>1</v>
      </c>
      <c r="C1324" s="1">
        <v>45871.854166666664</v>
      </c>
      <c r="D1324">
        <v>1</v>
      </c>
    </row>
    <row r="1325" spans="1:4" x14ac:dyDescent="0.25">
      <c r="A1325" t="s">
        <v>81</v>
      </c>
      <c r="B1325" t="s">
        <v>2</v>
      </c>
      <c r="C1325" s="1">
        <v>45874.947916666664</v>
      </c>
      <c r="D1325">
        <v>2</v>
      </c>
    </row>
    <row r="1326" spans="1:4" x14ac:dyDescent="0.25">
      <c r="A1326" t="s">
        <v>81</v>
      </c>
      <c r="B1326" t="s">
        <v>8</v>
      </c>
      <c r="C1326" s="1">
        <v>45873.1875</v>
      </c>
      <c r="D1326">
        <v>25</v>
      </c>
    </row>
    <row r="1327" spans="1:4" x14ac:dyDescent="0.25">
      <c r="A1327" t="s">
        <v>88</v>
      </c>
      <c r="B1327" t="s">
        <v>57</v>
      </c>
      <c r="C1327" s="1">
        <v>45871.458333333336</v>
      </c>
      <c r="D1327">
        <v>1</v>
      </c>
    </row>
    <row r="1328" spans="1:4" x14ac:dyDescent="0.25">
      <c r="A1328" t="s">
        <v>81</v>
      </c>
      <c r="B1328" t="s">
        <v>19</v>
      </c>
      <c r="C1328" s="1">
        <v>45874.885416666664</v>
      </c>
      <c r="D1328">
        <v>15</v>
      </c>
    </row>
    <row r="1329" spans="1:4" x14ac:dyDescent="0.25">
      <c r="A1329" t="s">
        <v>23</v>
      </c>
      <c r="B1329" t="s">
        <v>2</v>
      </c>
      <c r="C1329" s="1">
        <v>45871.604166666664</v>
      </c>
      <c r="D1329">
        <v>6</v>
      </c>
    </row>
    <row r="1330" spans="1:4" x14ac:dyDescent="0.25">
      <c r="A1330" t="s">
        <v>81</v>
      </c>
      <c r="B1330" t="s">
        <v>2</v>
      </c>
      <c r="C1330" s="1">
        <v>45879.916666666664</v>
      </c>
      <c r="D1330">
        <v>1</v>
      </c>
    </row>
    <row r="1331" spans="1:4" x14ac:dyDescent="0.25">
      <c r="A1331" t="s">
        <v>10</v>
      </c>
      <c r="B1331" t="s">
        <v>40</v>
      </c>
      <c r="C1331" s="1">
        <v>45871.458333333336</v>
      </c>
      <c r="D1331">
        <v>16</v>
      </c>
    </row>
    <row r="1332" spans="1:4" x14ac:dyDescent="0.25">
      <c r="A1332" t="s">
        <v>81</v>
      </c>
      <c r="B1332" t="s">
        <v>1</v>
      </c>
      <c r="C1332" s="1">
        <v>45874.125</v>
      </c>
      <c r="D1332">
        <v>1</v>
      </c>
    </row>
    <row r="1333" spans="1:4" x14ac:dyDescent="0.25">
      <c r="A1333" t="s">
        <v>12</v>
      </c>
      <c r="B1333" t="s">
        <v>19</v>
      </c>
      <c r="C1333" s="1">
        <v>45867.041666666664</v>
      </c>
      <c r="D1333">
        <v>2</v>
      </c>
    </row>
    <row r="1334" spans="1:4" x14ac:dyDescent="0.25">
      <c r="A1334" t="s">
        <v>23</v>
      </c>
      <c r="B1334" t="s">
        <v>20</v>
      </c>
      <c r="C1334" s="1">
        <v>45871.145833333336</v>
      </c>
      <c r="D1334">
        <v>12</v>
      </c>
    </row>
    <row r="1335" spans="1:4" x14ac:dyDescent="0.25">
      <c r="A1335" t="s">
        <v>7</v>
      </c>
      <c r="B1335" t="s">
        <v>1</v>
      </c>
      <c r="C1335" s="1">
        <v>45876.541666666664</v>
      </c>
      <c r="D1335">
        <v>4</v>
      </c>
    </row>
    <row r="1336" spans="1:4" x14ac:dyDescent="0.25">
      <c r="A1336" t="s">
        <v>81</v>
      </c>
      <c r="B1336" t="s">
        <v>1</v>
      </c>
      <c r="C1336" s="1">
        <v>45873.541666666664</v>
      </c>
      <c r="D1336">
        <v>6</v>
      </c>
    </row>
    <row r="1337" spans="1:4" x14ac:dyDescent="0.25">
      <c r="A1337" t="s">
        <v>10</v>
      </c>
      <c r="B1337" t="s">
        <v>53</v>
      </c>
      <c r="C1337" s="1">
        <v>45866.458333333336</v>
      </c>
      <c r="D1337">
        <v>44</v>
      </c>
    </row>
    <row r="1338" spans="1:4" x14ac:dyDescent="0.25">
      <c r="A1338" t="s">
        <v>10</v>
      </c>
      <c r="B1338" t="s">
        <v>40</v>
      </c>
      <c r="C1338" s="1">
        <v>45855.458333333336</v>
      </c>
      <c r="D1338">
        <v>1</v>
      </c>
    </row>
    <row r="1339" spans="1:4" x14ac:dyDescent="0.25">
      <c r="A1339" t="s">
        <v>87</v>
      </c>
      <c r="B1339" t="s">
        <v>41</v>
      </c>
      <c r="C1339" s="1">
        <v>45863.458333333336</v>
      </c>
      <c r="D1339">
        <v>1</v>
      </c>
    </row>
    <row r="1340" spans="1:4" x14ac:dyDescent="0.25">
      <c r="A1340" t="s">
        <v>7</v>
      </c>
      <c r="B1340" t="s">
        <v>84</v>
      </c>
      <c r="C1340" s="1">
        <v>45814.583333333336</v>
      </c>
      <c r="D1340">
        <v>1</v>
      </c>
    </row>
    <row r="1341" spans="1:4" x14ac:dyDescent="0.25">
      <c r="A1341" t="s">
        <v>7</v>
      </c>
      <c r="B1341" t="s">
        <v>19</v>
      </c>
      <c r="C1341" s="1">
        <v>45872.145833333336</v>
      </c>
      <c r="D1341">
        <v>223</v>
      </c>
    </row>
    <row r="1342" spans="1:4" x14ac:dyDescent="0.25">
      <c r="A1342" t="s">
        <v>81</v>
      </c>
      <c r="B1342" t="s">
        <v>20</v>
      </c>
      <c r="C1342" s="1">
        <v>45872.729166666664</v>
      </c>
      <c r="D1342">
        <v>15</v>
      </c>
    </row>
    <row r="1343" spans="1:4" x14ac:dyDescent="0.25">
      <c r="A1343" t="s">
        <v>7</v>
      </c>
      <c r="B1343" t="s">
        <v>0</v>
      </c>
      <c r="C1343" s="1">
        <v>45872.625</v>
      </c>
      <c r="D1343">
        <v>22</v>
      </c>
    </row>
    <row r="1344" spans="1:4" x14ac:dyDescent="0.25">
      <c r="A1344" t="s">
        <v>7</v>
      </c>
      <c r="B1344" t="s">
        <v>1</v>
      </c>
      <c r="C1344" s="1">
        <v>45873.083333333336</v>
      </c>
      <c r="D1344">
        <v>17</v>
      </c>
    </row>
    <row r="1345" spans="1:4" x14ac:dyDescent="0.25">
      <c r="A1345" t="s">
        <v>23</v>
      </c>
      <c r="B1345" t="s">
        <v>1</v>
      </c>
      <c r="C1345" s="1">
        <v>45876.583333333336</v>
      </c>
      <c r="D1345">
        <v>3</v>
      </c>
    </row>
    <row r="1346" spans="1:4" x14ac:dyDescent="0.25">
      <c r="A1346" t="s">
        <v>23</v>
      </c>
      <c r="B1346" t="s">
        <v>2</v>
      </c>
      <c r="C1346" s="1">
        <v>45872.625</v>
      </c>
      <c r="D1346">
        <v>23</v>
      </c>
    </row>
    <row r="1347" spans="1:4" x14ac:dyDescent="0.25">
      <c r="A1347" t="s">
        <v>81</v>
      </c>
      <c r="B1347" t="s">
        <v>0</v>
      </c>
      <c r="C1347" s="1">
        <v>45877.75</v>
      </c>
      <c r="D1347">
        <v>1</v>
      </c>
    </row>
    <row r="1348" spans="1:4" x14ac:dyDescent="0.25">
      <c r="A1348" t="s">
        <v>12</v>
      </c>
      <c r="B1348" t="s">
        <v>19</v>
      </c>
      <c r="C1348" s="1">
        <v>45867.625</v>
      </c>
      <c r="D1348">
        <v>1</v>
      </c>
    </row>
    <row r="1349" spans="1:4" x14ac:dyDescent="0.25">
      <c r="A1349" t="s">
        <v>7</v>
      </c>
      <c r="B1349" t="s">
        <v>57</v>
      </c>
      <c r="C1349" s="1">
        <v>45872.1875</v>
      </c>
      <c r="D1349">
        <v>4</v>
      </c>
    </row>
    <row r="1350" spans="1:4" x14ac:dyDescent="0.25">
      <c r="A1350" t="s">
        <v>9</v>
      </c>
      <c r="B1350" t="s">
        <v>40</v>
      </c>
      <c r="C1350" s="1">
        <v>45871.458333333336</v>
      </c>
      <c r="D1350">
        <v>16</v>
      </c>
    </row>
    <row r="1351" spans="1:4" x14ac:dyDescent="0.25">
      <c r="A1351" t="s">
        <v>7</v>
      </c>
      <c r="B1351" t="s">
        <v>8</v>
      </c>
      <c r="C1351" s="1">
        <v>45872.145833333336</v>
      </c>
      <c r="D1351">
        <v>232</v>
      </c>
    </row>
    <row r="1352" spans="1:4" x14ac:dyDescent="0.25">
      <c r="A1352" t="s">
        <v>9</v>
      </c>
      <c r="B1352" t="s">
        <v>40</v>
      </c>
      <c r="C1352" s="1">
        <v>45855.458333333336</v>
      </c>
      <c r="D1352">
        <v>1</v>
      </c>
    </row>
    <row r="1353" spans="1:4" x14ac:dyDescent="0.25">
      <c r="A1353" t="s">
        <v>14</v>
      </c>
      <c r="B1353" t="s">
        <v>1</v>
      </c>
      <c r="C1353" s="1">
        <v>45871.208333333336</v>
      </c>
      <c r="D1353">
        <v>1</v>
      </c>
    </row>
    <row r="1354" spans="1:4" x14ac:dyDescent="0.25">
      <c r="A1354" t="s">
        <v>81</v>
      </c>
      <c r="B1354" t="s">
        <v>0</v>
      </c>
      <c r="C1354" s="1">
        <v>45871.458333333336</v>
      </c>
      <c r="D1354">
        <v>118</v>
      </c>
    </row>
    <row r="1355" spans="1:4" x14ac:dyDescent="0.25">
      <c r="A1355" t="s">
        <v>7</v>
      </c>
      <c r="B1355" t="s">
        <v>57</v>
      </c>
      <c r="C1355" s="1">
        <v>45873.885416666664</v>
      </c>
      <c r="D1355">
        <v>1</v>
      </c>
    </row>
    <row r="1356" spans="1:4" x14ac:dyDescent="0.25">
      <c r="A1356" t="s">
        <v>7</v>
      </c>
      <c r="B1356" t="s">
        <v>1</v>
      </c>
      <c r="C1356" s="1">
        <v>45873.666666666664</v>
      </c>
      <c r="D1356">
        <v>6</v>
      </c>
    </row>
    <row r="1357" spans="1:4" x14ac:dyDescent="0.25">
      <c r="A1357" t="s">
        <v>7</v>
      </c>
      <c r="B1357" t="s">
        <v>8</v>
      </c>
      <c r="C1357" s="1">
        <v>45871.5</v>
      </c>
      <c r="D1357">
        <v>6</v>
      </c>
    </row>
    <row r="1358" spans="1:4" x14ac:dyDescent="0.25">
      <c r="A1358" t="s">
        <v>12</v>
      </c>
      <c r="B1358" t="s">
        <v>8</v>
      </c>
      <c r="C1358" s="1">
        <v>45871.083333333336</v>
      </c>
      <c r="D1358">
        <v>48</v>
      </c>
    </row>
    <row r="1359" spans="1:4" x14ac:dyDescent="0.25">
      <c r="A1359" t="s">
        <v>81</v>
      </c>
      <c r="B1359" t="s">
        <v>2</v>
      </c>
      <c r="C1359" s="1">
        <v>45872.604166666664</v>
      </c>
      <c r="D1359">
        <v>188</v>
      </c>
    </row>
    <row r="1360" spans="1:4" x14ac:dyDescent="0.25">
      <c r="A1360" t="s">
        <v>9</v>
      </c>
      <c r="B1360" t="s">
        <v>41</v>
      </c>
      <c r="C1360" s="1">
        <v>45867.458333333336</v>
      </c>
      <c r="D1360">
        <v>34</v>
      </c>
    </row>
    <row r="1361" spans="1:4" x14ac:dyDescent="0.25">
      <c r="A1361" t="s">
        <v>7</v>
      </c>
      <c r="B1361" t="s">
        <v>19</v>
      </c>
      <c r="C1361" s="1">
        <v>45872.125</v>
      </c>
      <c r="D1361">
        <v>1272</v>
      </c>
    </row>
    <row r="1362" spans="1:4" x14ac:dyDescent="0.25">
      <c r="A1362" t="s">
        <v>23</v>
      </c>
      <c r="B1362" t="s">
        <v>8</v>
      </c>
      <c r="C1362" s="1">
        <v>45873.885416666664</v>
      </c>
      <c r="D1362">
        <v>66</v>
      </c>
    </row>
    <row r="1363" spans="1:4" x14ac:dyDescent="0.25">
      <c r="A1363" t="s">
        <v>81</v>
      </c>
      <c r="B1363" t="s">
        <v>2</v>
      </c>
      <c r="C1363" s="1">
        <v>45872.020833333336</v>
      </c>
      <c r="D1363">
        <v>7</v>
      </c>
    </row>
    <row r="1364" spans="1:4" x14ac:dyDescent="0.25">
      <c r="A1364" t="s">
        <v>11</v>
      </c>
      <c r="B1364" t="s">
        <v>42</v>
      </c>
      <c r="C1364" s="1">
        <v>45864.458333333336</v>
      </c>
      <c r="D1364">
        <v>584</v>
      </c>
    </row>
    <row r="1365" spans="1:4" x14ac:dyDescent="0.25">
      <c r="A1365" t="s">
        <v>81</v>
      </c>
      <c r="B1365" t="s">
        <v>19</v>
      </c>
      <c r="C1365" s="1">
        <v>45873.166666666664</v>
      </c>
      <c r="D1365">
        <v>14</v>
      </c>
    </row>
    <row r="1366" spans="1:4" x14ac:dyDescent="0.25">
      <c r="A1366" t="s">
        <v>77</v>
      </c>
      <c r="B1366" t="s">
        <v>60</v>
      </c>
      <c r="C1366" s="1">
        <v>45852.458333333336</v>
      </c>
      <c r="D1366">
        <v>40</v>
      </c>
    </row>
    <row r="1367" spans="1:4" x14ac:dyDescent="0.25">
      <c r="A1367" t="s">
        <v>7</v>
      </c>
      <c r="B1367" t="s">
        <v>19</v>
      </c>
      <c r="C1367" s="1">
        <v>45871.541666666664</v>
      </c>
      <c r="D1367">
        <v>421</v>
      </c>
    </row>
    <row r="1368" spans="1:4" x14ac:dyDescent="0.25">
      <c r="A1368" t="s">
        <v>79</v>
      </c>
      <c r="B1368" t="s">
        <v>4</v>
      </c>
      <c r="C1368" s="1">
        <v>45876.75</v>
      </c>
      <c r="D1368">
        <v>3</v>
      </c>
    </row>
    <row r="1369" spans="1:4" x14ac:dyDescent="0.25">
      <c r="A1369" t="s">
        <v>7</v>
      </c>
      <c r="B1369" t="s">
        <v>8</v>
      </c>
      <c r="C1369" s="1">
        <v>45872.729166666664</v>
      </c>
      <c r="D1369">
        <v>171</v>
      </c>
    </row>
    <row r="1370" spans="1:4" x14ac:dyDescent="0.25">
      <c r="A1370" t="s">
        <v>81</v>
      </c>
      <c r="B1370" t="s">
        <v>20</v>
      </c>
      <c r="C1370" s="1">
        <v>45872.125</v>
      </c>
      <c r="D1370">
        <v>75</v>
      </c>
    </row>
    <row r="1371" spans="1:4" x14ac:dyDescent="0.25">
      <c r="A1371" t="s">
        <v>11</v>
      </c>
      <c r="B1371" t="s">
        <v>2</v>
      </c>
      <c r="C1371" s="1">
        <v>45868.604166666664</v>
      </c>
      <c r="D1371">
        <v>1</v>
      </c>
    </row>
    <row r="1372" spans="1:4" x14ac:dyDescent="0.25">
      <c r="A1372" t="s">
        <v>9</v>
      </c>
      <c r="B1372" t="s">
        <v>0</v>
      </c>
      <c r="C1372" s="1">
        <v>45871.885416666664</v>
      </c>
      <c r="D1372">
        <v>8</v>
      </c>
    </row>
    <row r="1373" spans="1:4" x14ac:dyDescent="0.25">
      <c r="A1373" t="s">
        <v>23</v>
      </c>
      <c r="B1373" t="s">
        <v>0</v>
      </c>
      <c r="C1373" s="1">
        <v>45876.125</v>
      </c>
      <c r="D1373">
        <v>3</v>
      </c>
    </row>
    <row r="1374" spans="1:4" x14ac:dyDescent="0.25">
      <c r="A1374" t="s">
        <v>12</v>
      </c>
      <c r="B1374" t="s">
        <v>19</v>
      </c>
      <c r="C1374" s="1">
        <v>45871.083333333336</v>
      </c>
      <c r="D1374">
        <v>26</v>
      </c>
    </row>
    <row r="1375" spans="1:4" x14ac:dyDescent="0.25">
      <c r="A1375" t="s">
        <v>23</v>
      </c>
      <c r="B1375" t="s">
        <v>1</v>
      </c>
      <c r="C1375" s="1">
        <v>45873.125</v>
      </c>
      <c r="D1375">
        <v>24</v>
      </c>
    </row>
    <row r="1376" spans="1:4" x14ac:dyDescent="0.25">
      <c r="A1376" t="s">
        <v>77</v>
      </c>
      <c r="B1376" t="s">
        <v>51</v>
      </c>
      <c r="C1376" s="1">
        <v>45870.458333333336</v>
      </c>
      <c r="D1376">
        <v>24</v>
      </c>
    </row>
    <row r="1377" spans="1:4" x14ac:dyDescent="0.25">
      <c r="A1377" t="s">
        <v>15</v>
      </c>
      <c r="B1377" t="s">
        <v>8</v>
      </c>
      <c r="C1377" s="1">
        <v>45871.125</v>
      </c>
      <c r="D1377">
        <v>14</v>
      </c>
    </row>
    <row r="1378" spans="1:4" x14ac:dyDescent="0.25">
      <c r="A1378" t="s">
        <v>9</v>
      </c>
      <c r="B1378" t="s">
        <v>20</v>
      </c>
      <c r="C1378" s="1">
        <v>45871.947916666664</v>
      </c>
      <c r="D1378">
        <v>1</v>
      </c>
    </row>
    <row r="1379" spans="1:4" x14ac:dyDescent="0.25">
      <c r="A1379" t="s">
        <v>77</v>
      </c>
      <c r="B1379" t="s">
        <v>20</v>
      </c>
      <c r="C1379" s="1">
        <v>45871.604166666664</v>
      </c>
      <c r="D1379">
        <v>1</v>
      </c>
    </row>
    <row r="1380" spans="1:4" x14ac:dyDescent="0.25">
      <c r="A1380" t="s">
        <v>79</v>
      </c>
      <c r="B1380" t="s">
        <v>80</v>
      </c>
      <c r="C1380" s="1">
        <v>45872.458333333336</v>
      </c>
      <c r="D1380">
        <v>26</v>
      </c>
    </row>
    <row r="1381" spans="1:4" x14ac:dyDescent="0.25">
      <c r="A1381" t="s">
        <v>81</v>
      </c>
      <c r="B1381" t="s">
        <v>20</v>
      </c>
      <c r="C1381" s="1">
        <v>45871.666666666664</v>
      </c>
      <c r="D1381">
        <v>146</v>
      </c>
    </row>
    <row r="1382" spans="1:4" x14ac:dyDescent="0.25">
      <c r="A1382" t="s">
        <v>77</v>
      </c>
      <c r="B1382" t="s">
        <v>8</v>
      </c>
      <c r="C1382" s="1">
        <v>45874.75</v>
      </c>
      <c r="D1382">
        <v>2</v>
      </c>
    </row>
    <row r="1383" spans="1:4" x14ac:dyDescent="0.25">
      <c r="A1383" t="s">
        <v>10</v>
      </c>
      <c r="B1383" t="s">
        <v>39</v>
      </c>
      <c r="C1383" s="1">
        <v>45795.458333333336</v>
      </c>
      <c r="D1383">
        <v>1</v>
      </c>
    </row>
    <row r="1384" spans="1:4" x14ac:dyDescent="0.25">
      <c r="A1384" t="s">
        <v>81</v>
      </c>
      <c r="B1384" t="s">
        <v>57</v>
      </c>
      <c r="C1384" s="1">
        <v>45871.854166666664</v>
      </c>
      <c r="D1384">
        <v>2</v>
      </c>
    </row>
    <row r="1385" spans="1:4" x14ac:dyDescent="0.25">
      <c r="A1385" t="s">
        <v>87</v>
      </c>
      <c r="B1385" t="s">
        <v>294</v>
      </c>
      <c r="C1385" s="1">
        <v>45854.458333333336</v>
      </c>
      <c r="D1385">
        <v>1</v>
      </c>
    </row>
    <row r="1386" spans="1:4" x14ac:dyDescent="0.25">
      <c r="A1386" t="s">
        <v>13</v>
      </c>
      <c r="B1386" t="s">
        <v>4</v>
      </c>
      <c r="C1386" s="1">
        <v>45878.125</v>
      </c>
      <c r="D1386">
        <v>9</v>
      </c>
    </row>
    <row r="1387" spans="1:4" x14ac:dyDescent="0.25">
      <c r="A1387" t="s">
        <v>78</v>
      </c>
      <c r="B1387" t="s">
        <v>4</v>
      </c>
      <c r="C1387" s="1">
        <v>45873.125</v>
      </c>
      <c r="D1387">
        <v>2</v>
      </c>
    </row>
    <row r="1388" spans="1:4" x14ac:dyDescent="0.25">
      <c r="A1388" t="s">
        <v>88</v>
      </c>
      <c r="B1388" t="s">
        <v>1</v>
      </c>
      <c r="C1388" s="1">
        <v>45871.166666666664</v>
      </c>
      <c r="D1388">
        <v>2</v>
      </c>
    </row>
    <row r="1389" spans="1:4" x14ac:dyDescent="0.25">
      <c r="A1389" t="s">
        <v>77</v>
      </c>
      <c r="B1389" t="s">
        <v>8</v>
      </c>
      <c r="C1389" s="1">
        <v>45868.166666666664</v>
      </c>
      <c r="D1389">
        <v>1</v>
      </c>
    </row>
    <row r="1390" spans="1:4" x14ac:dyDescent="0.25">
      <c r="A1390" t="s">
        <v>86</v>
      </c>
      <c r="B1390" t="s">
        <v>19</v>
      </c>
      <c r="C1390" s="1">
        <v>45871.083333333336</v>
      </c>
      <c r="D1390">
        <v>32</v>
      </c>
    </row>
    <row r="1391" spans="1:4" x14ac:dyDescent="0.25">
      <c r="A1391" t="s">
        <v>10</v>
      </c>
      <c r="B1391" t="s">
        <v>1</v>
      </c>
      <c r="C1391" s="1">
        <v>45871.208333333336</v>
      </c>
      <c r="D1391">
        <v>47</v>
      </c>
    </row>
    <row r="1392" spans="1:4" x14ac:dyDescent="0.25">
      <c r="A1392" t="s">
        <v>23</v>
      </c>
      <c r="B1392" t="s">
        <v>0</v>
      </c>
      <c r="C1392" s="1">
        <v>45873.541666666664</v>
      </c>
      <c r="D1392">
        <v>4</v>
      </c>
    </row>
    <row r="1393" spans="1:4" x14ac:dyDescent="0.25">
      <c r="A1393" t="s">
        <v>23</v>
      </c>
      <c r="B1393" t="s">
        <v>57</v>
      </c>
      <c r="C1393" s="1">
        <v>45873.083333333336</v>
      </c>
      <c r="D1393">
        <v>5</v>
      </c>
    </row>
    <row r="1394" spans="1:4" x14ac:dyDescent="0.25">
      <c r="A1394" t="s">
        <v>7</v>
      </c>
      <c r="B1394" t="s">
        <v>2</v>
      </c>
      <c r="C1394" s="1">
        <v>45873.458333333336</v>
      </c>
      <c r="D1394">
        <v>1</v>
      </c>
    </row>
    <row r="1395" spans="1:4" x14ac:dyDescent="0.25">
      <c r="A1395" t="s">
        <v>81</v>
      </c>
      <c r="B1395" t="s">
        <v>2</v>
      </c>
      <c r="C1395" s="1">
        <v>45872.145833333336</v>
      </c>
      <c r="D1395">
        <v>65</v>
      </c>
    </row>
    <row r="1396" spans="1:4" x14ac:dyDescent="0.25">
      <c r="A1396" t="s">
        <v>7</v>
      </c>
      <c r="B1396" t="s">
        <v>2</v>
      </c>
      <c r="C1396" s="1">
        <v>45875.885416666664</v>
      </c>
      <c r="D1396">
        <v>8</v>
      </c>
    </row>
    <row r="1397" spans="1:4" x14ac:dyDescent="0.25">
      <c r="A1397" t="s">
        <v>9</v>
      </c>
      <c r="B1397" t="s">
        <v>19</v>
      </c>
      <c r="C1397" s="1">
        <v>45866.083333333336</v>
      </c>
      <c r="D1397">
        <v>1</v>
      </c>
    </row>
    <row r="1398" spans="1:4" x14ac:dyDescent="0.25">
      <c r="A1398" t="s">
        <v>81</v>
      </c>
      <c r="B1398" t="s">
        <v>19</v>
      </c>
      <c r="C1398" s="1">
        <v>45874.947916666664</v>
      </c>
      <c r="D1398">
        <v>3</v>
      </c>
    </row>
    <row r="1399" spans="1:4" x14ac:dyDescent="0.25">
      <c r="A1399" t="s">
        <v>7</v>
      </c>
      <c r="B1399" t="s">
        <v>2</v>
      </c>
      <c r="C1399" s="1">
        <v>45873.604166666664</v>
      </c>
      <c r="D1399">
        <v>5</v>
      </c>
    </row>
    <row r="1400" spans="1:4" x14ac:dyDescent="0.25">
      <c r="A1400" t="s">
        <v>9</v>
      </c>
      <c r="B1400" t="s">
        <v>1</v>
      </c>
      <c r="C1400" s="1">
        <v>45871.1875</v>
      </c>
      <c r="D1400">
        <v>10</v>
      </c>
    </row>
    <row r="1401" spans="1:4" x14ac:dyDescent="0.25">
      <c r="A1401" t="s">
        <v>7</v>
      </c>
      <c r="B1401" t="s">
        <v>0</v>
      </c>
      <c r="C1401" s="1">
        <v>45871.041666666664</v>
      </c>
      <c r="D1401">
        <v>1</v>
      </c>
    </row>
    <row r="1402" spans="1:4" x14ac:dyDescent="0.25">
      <c r="A1402" t="s">
        <v>7</v>
      </c>
      <c r="B1402" t="s">
        <v>20</v>
      </c>
      <c r="C1402" s="1">
        <v>45872.666666666664</v>
      </c>
      <c r="D1402">
        <v>10</v>
      </c>
    </row>
    <row r="1403" spans="1:4" x14ac:dyDescent="0.25">
      <c r="A1403" t="s">
        <v>77</v>
      </c>
      <c r="B1403" t="s">
        <v>40</v>
      </c>
      <c r="C1403" s="1">
        <v>45874.458333333336</v>
      </c>
      <c r="D1403">
        <v>7</v>
      </c>
    </row>
    <row r="1404" spans="1:4" x14ac:dyDescent="0.25">
      <c r="A1404" t="s">
        <v>23</v>
      </c>
      <c r="B1404" t="s">
        <v>20</v>
      </c>
      <c r="C1404" s="1">
        <v>45872.885416666664</v>
      </c>
      <c r="D1404">
        <v>2</v>
      </c>
    </row>
    <row r="1405" spans="1:4" x14ac:dyDescent="0.25">
      <c r="A1405" t="s">
        <v>9</v>
      </c>
      <c r="B1405" t="s">
        <v>0</v>
      </c>
      <c r="C1405" s="1">
        <v>45870.729166666664</v>
      </c>
      <c r="D1405">
        <v>1</v>
      </c>
    </row>
    <row r="1406" spans="1:4" x14ac:dyDescent="0.25">
      <c r="A1406" t="s">
        <v>7</v>
      </c>
      <c r="B1406" t="s">
        <v>0</v>
      </c>
      <c r="C1406" s="1">
        <v>45875.75</v>
      </c>
      <c r="D1406">
        <v>9</v>
      </c>
    </row>
    <row r="1407" spans="1:4" x14ac:dyDescent="0.25">
      <c r="A1407" t="s">
        <v>78</v>
      </c>
      <c r="B1407" t="s">
        <v>4</v>
      </c>
      <c r="C1407" s="1">
        <v>45877.583333333336</v>
      </c>
      <c r="D1407">
        <v>13</v>
      </c>
    </row>
    <row r="1408" spans="1:4" x14ac:dyDescent="0.25">
      <c r="A1408" t="s">
        <v>7</v>
      </c>
      <c r="B1408" t="s">
        <v>1</v>
      </c>
      <c r="C1408" s="1">
        <v>45871.75</v>
      </c>
      <c r="D1408">
        <v>17</v>
      </c>
    </row>
    <row r="1409" spans="1:4" x14ac:dyDescent="0.25">
      <c r="A1409" t="s">
        <v>9</v>
      </c>
      <c r="B1409" t="s">
        <v>1</v>
      </c>
      <c r="C1409" s="1">
        <v>45871.041666666664</v>
      </c>
      <c r="D1409">
        <v>1</v>
      </c>
    </row>
    <row r="1410" spans="1:4" x14ac:dyDescent="0.25">
      <c r="A1410" t="s">
        <v>7</v>
      </c>
      <c r="B1410" t="s">
        <v>1</v>
      </c>
      <c r="C1410" s="1">
        <v>45876.458333333336</v>
      </c>
      <c r="D1410">
        <v>2</v>
      </c>
    </row>
    <row r="1411" spans="1:4" x14ac:dyDescent="0.25">
      <c r="A1411" t="s">
        <v>14</v>
      </c>
      <c r="B1411" t="s">
        <v>51</v>
      </c>
      <c r="C1411" s="1">
        <v>45875.458333333336</v>
      </c>
      <c r="D1411">
        <v>7</v>
      </c>
    </row>
    <row r="1412" spans="1:4" x14ac:dyDescent="0.25">
      <c r="A1412" t="s">
        <v>7</v>
      </c>
      <c r="B1412" t="s">
        <v>57</v>
      </c>
      <c r="C1412" s="1">
        <v>45873.166666666664</v>
      </c>
      <c r="D1412">
        <v>2</v>
      </c>
    </row>
    <row r="1413" spans="1:4" x14ac:dyDescent="0.25">
      <c r="A1413" t="s">
        <v>77</v>
      </c>
      <c r="B1413" t="s">
        <v>20</v>
      </c>
      <c r="C1413" s="1">
        <v>45871.208333333336</v>
      </c>
      <c r="D1413">
        <v>3</v>
      </c>
    </row>
    <row r="1414" spans="1:4" x14ac:dyDescent="0.25">
      <c r="A1414" t="s">
        <v>12</v>
      </c>
      <c r="B1414" t="s">
        <v>20</v>
      </c>
      <c r="C1414" s="1">
        <v>45871.125</v>
      </c>
      <c r="D1414">
        <v>130</v>
      </c>
    </row>
    <row r="1415" spans="1:4" x14ac:dyDescent="0.25">
      <c r="A1415" t="s">
        <v>7</v>
      </c>
      <c r="B1415" t="s">
        <v>19</v>
      </c>
      <c r="C1415" s="1">
        <v>45871.5</v>
      </c>
      <c r="D1415">
        <v>4</v>
      </c>
    </row>
    <row r="1416" spans="1:4" x14ac:dyDescent="0.25">
      <c r="A1416" t="s">
        <v>13</v>
      </c>
      <c r="B1416" t="s">
        <v>84</v>
      </c>
      <c r="C1416" s="1">
        <v>45870.583333333336</v>
      </c>
      <c r="D1416">
        <v>33</v>
      </c>
    </row>
    <row r="1417" spans="1:4" x14ac:dyDescent="0.25">
      <c r="A1417" t="s">
        <v>7</v>
      </c>
      <c r="B1417" t="s">
        <v>8</v>
      </c>
      <c r="C1417" s="1">
        <v>45875.947916666664</v>
      </c>
      <c r="D1417">
        <v>2</v>
      </c>
    </row>
    <row r="1418" spans="1:4" x14ac:dyDescent="0.25">
      <c r="A1418" t="s">
        <v>7</v>
      </c>
      <c r="B1418" t="s">
        <v>0</v>
      </c>
      <c r="C1418" s="1">
        <v>45871.1875</v>
      </c>
      <c r="D1418">
        <v>281</v>
      </c>
    </row>
    <row r="1419" spans="1:4" x14ac:dyDescent="0.25">
      <c r="A1419" t="s">
        <v>9</v>
      </c>
      <c r="B1419" t="s">
        <v>19</v>
      </c>
      <c r="C1419" s="1">
        <v>45868.208333333336</v>
      </c>
      <c r="D1419">
        <v>3</v>
      </c>
    </row>
    <row r="1420" spans="1:4" x14ac:dyDescent="0.25">
      <c r="A1420" t="s">
        <v>81</v>
      </c>
      <c r="B1420" t="s">
        <v>8</v>
      </c>
      <c r="C1420" s="1">
        <v>45874.947916666664</v>
      </c>
      <c r="D1420">
        <v>2</v>
      </c>
    </row>
    <row r="1421" spans="1:4" x14ac:dyDescent="0.25">
      <c r="A1421" t="s">
        <v>23</v>
      </c>
      <c r="B1421" t="s">
        <v>0</v>
      </c>
      <c r="C1421" s="1">
        <v>45871.208333333336</v>
      </c>
      <c r="D1421">
        <v>11</v>
      </c>
    </row>
    <row r="1422" spans="1:4" x14ac:dyDescent="0.25">
      <c r="A1422" t="s">
        <v>81</v>
      </c>
      <c r="B1422" t="s">
        <v>20</v>
      </c>
      <c r="C1422" s="1">
        <v>45871.208333333336</v>
      </c>
      <c r="D1422">
        <v>535</v>
      </c>
    </row>
    <row r="1423" spans="1:4" x14ac:dyDescent="0.25">
      <c r="A1423" t="s">
        <v>7</v>
      </c>
      <c r="B1423" t="s">
        <v>0</v>
      </c>
      <c r="C1423" s="1">
        <v>45878.125</v>
      </c>
      <c r="D1423">
        <v>1</v>
      </c>
    </row>
    <row r="1424" spans="1:4" x14ac:dyDescent="0.25">
      <c r="A1424" t="s">
        <v>10</v>
      </c>
      <c r="B1424" t="s">
        <v>39</v>
      </c>
      <c r="C1424" s="1">
        <v>45883.458333333336</v>
      </c>
      <c r="D1424">
        <v>621</v>
      </c>
    </row>
    <row r="1425" spans="1:4" x14ac:dyDescent="0.25">
      <c r="A1425" t="s">
        <v>11</v>
      </c>
      <c r="B1425" t="s">
        <v>92</v>
      </c>
      <c r="C1425" s="1">
        <v>45875.458333333336</v>
      </c>
      <c r="D1425">
        <v>18</v>
      </c>
    </row>
    <row r="1426" spans="1:4" x14ac:dyDescent="0.25">
      <c r="A1426" t="s">
        <v>9</v>
      </c>
      <c r="B1426" t="s">
        <v>53</v>
      </c>
      <c r="C1426" s="1">
        <v>45875.458333333336</v>
      </c>
      <c r="D1426">
        <v>247</v>
      </c>
    </row>
    <row r="1427" spans="1:4" x14ac:dyDescent="0.25">
      <c r="A1427" t="s">
        <v>81</v>
      </c>
      <c r="B1427" t="s">
        <v>57</v>
      </c>
      <c r="C1427" s="1">
        <v>45871.958333333336</v>
      </c>
      <c r="D1427">
        <v>2</v>
      </c>
    </row>
    <row r="1428" spans="1:4" x14ac:dyDescent="0.25">
      <c r="A1428" t="s">
        <v>7</v>
      </c>
      <c r="B1428" t="s">
        <v>8</v>
      </c>
      <c r="C1428" s="1">
        <v>45873.583333333336</v>
      </c>
      <c r="D1428">
        <v>119</v>
      </c>
    </row>
    <row r="1429" spans="1:4" x14ac:dyDescent="0.25">
      <c r="A1429" t="s">
        <v>7</v>
      </c>
      <c r="B1429" t="s">
        <v>19</v>
      </c>
      <c r="C1429" s="1">
        <v>45873.625</v>
      </c>
      <c r="D1429">
        <v>45</v>
      </c>
    </row>
    <row r="1430" spans="1:4" x14ac:dyDescent="0.25">
      <c r="A1430" t="s">
        <v>14</v>
      </c>
      <c r="B1430" t="s">
        <v>53</v>
      </c>
      <c r="C1430" s="1">
        <v>45874.458333333336</v>
      </c>
      <c r="D1430">
        <v>5</v>
      </c>
    </row>
    <row r="1431" spans="1:4" x14ac:dyDescent="0.25">
      <c r="A1431" t="s">
        <v>7</v>
      </c>
      <c r="B1431" t="s">
        <v>85</v>
      </c>
      <c r="C1431" s="1">
        <v>45871.885416666664</v>
      </c>
      <c r="D1431">
        <v>1</v>
      </c>
    </row>
    <row r="1432" spans="1:4" x14ac:dyDescent="0.25">
      <c r="A1432" t="s">
        <v>7</v>
      </c>
      <c r="B1432" t="s">
        <v>2</v>
      </c>
      <c r="C1432" s="1">
        <v>45873.208333333336</v>
      </c>
      <c r="D1432">
        <v>6</v>
      </c>
    </row>
    <row r="1433" spans="1:4" x14ac:dyDescent="0.25">
      <c r="A1433" t="s">
        <v>7</v>
      </c>
      <c r="B1433" t="s">
        <v>19</v>
      </c>
      <c r="C1433" s="1">
        <v>45868.916666666664</v>
      </c>
      <c r="D1433">
        <v>1</v>
      </c>
    </row>
    <row r="1434" spans="1:4" x14ac:dyDescent="0.25">
      <c r="A1434" t="s">
        <v>23</v>
      </c>
      <c r="B1434" t="s">
        <v>8</v>
      </c>
      <c r="C1434" s="1">
        <v>45876.020833333336</v>
      </c>
      <c r="D1434">
        <v>2</v>
      </c>
    </row>
    <row r="1435" spans="1:4" x14ac:dyDescent="0.25">
      <c r="A1435" t="s">
        <v>81</v>
      </c>
      <c r="B1435" t="s">
        <v>2</v>
      </c>
      <c r="C1435" s="1">
        <v>45872.458333333336</v>
      </c>
      <c r="D1435">
        <v>3</v>
      </c>
    </row>
    <row r="1436" spans="1:4" x14ac:dyDescent="0.25">
      <c r="A1436" t="s">
        <v>14</v>
      </c>
      <c r="B1436" t="s">
        <v>51</v>
      </c>
      <c r="C1436" s="1">
        <v>45859.458333333336</v>
      </c>
      <c r="D1436">
        <v>1</v>
      </c>
    </row>
    <row r="1437" spans="1:4" x14ac:dyDescent="0.25">
      <c r="A1437" t="s">
        <v>10</v>
      </c>
      <c r="B1437" t="s">
        <v>39</v>
      </c>
      <c r="C1437" s="1">
        <v>45851.458333333336</v>
      </c>
      <c r="D1437">
        <v>2</v>
      </c>
    </row>
    <row r="1438" spans="1:4" x14ac:dyDescent="0.25">
      <c r="A1438" t="s">
        <v>7</v>
      </c>
      <c r="B1438" t="s">
        <v>1</v>
      </c>
      <c r="C1438" s="1">
        <v>45871.947916666664</v>
      </c>
      <c r="D1438">
        <v>9</v>
      </c>
    </row>
    <row r="1439" spans="1:4" x14ac:dyDescent="0.25">
      <c r="A1439" t="s">
        <v>81</v>
      </c>
      <c r="B1439" t="s">
        <v>2</v>
      </c>
      <c r="C1439" s="1">
        <v>45874.885416666664</v>
      </c>
      <c r="D1439">
        <v>4</v>
      </c>
    </row>
    <row r="1440" spans="1:4" x14ac:dyDescent="0.25">
      <c r="A1440" t="s">
        <v>81</v>
      </c>
      <c r="B1440" t="s">
        <v>0</v>
      </c>
      <c r="C1440" s="1">
        <v>45872.666666666664</v>
      </c>
      <c r="D1440">
        <v>11</v>
      </c>
    </row>
    <row r="1441" spans="1:4" x14ac:dyDescent="0.25">
      <c r="A1441" t="s">
        <v>10</v>
      </c>
      <c r="B1441" t="s">
        <v>1</v>
      </c>
      <c r="C1441" s="1">
        <v>45871.666666666664</v>
      </c>
      <c r="D1441">
        <v>1</v>
      </c>
    </row>
    <row r="1442" spans="1:4" x14ac:dyDescent="0.25">
      <c r="A1442" t="s">
        <v>77</v>
      </c>
      <c r="B1442" t="s">
        <v>19</v>
      </c>
      <c r="C1442" s="1">
        <v>45874.541666666664</v>
      </c>
      <c r="D1442">
        <v>3</v>
      </c>
    </row>
    <row r="1443" spans="1:4" x14ac:dyDescent="0.25">
      <c r="A1443" t="s">
        <v>10</v>
      </c>
      <c r="B1443" t="s">
        <v>41</v>
      </c>
      <c r="C1443" s="1">
        <v>45807.458333333336</v>
      </c>
      <c r="D1443">
        <v>1</v>
      </c>
    </row>
    <row r="1444" spans="1:4" x14ac:dyDescent="0.25">
      <c r="A1444" t="s">
        <v>23</v>
      </c>
      <c r="B1444" t="s">
        <v>1</v>
      </c>
      <c r="C1444" s="1">
        <v>45874.145833333336</v>
      </c>
      <c r="D1444">
        <v>2</v>
      </c>
    </row>
    <row r="1445" spans="1:4" x14ac:dyDescent="0.25">
      <c r="A1445" t="s">
        <v>7</v>
      </c>
      <c r="B1445" t="s">
        <v>2</v>
      </c>
      <c r="C1445" s="1">
        <v>45873.145833333336</v>
      </c>
      <c r="D1445">
        <v>26</v>
      </c>
    </row>
    <row r="1446" spans="1:4" x14ac:dyDescent="0.25">
      <c r="A1446" t="s">
        <v>7</v>
      </c>
      <c r="B1446" t="s">
        <v>57</v>
      </c>
      <c r="C1446" s="1">
        <v>45872.916666666664</v>
      </c>
      <c r="D1446">
        <v>1</v>
      </c>
    </row>
    <row r="1447" spans="1:4" x14ac:dyDescent="0.25">
      <c r="A1447" t="s">
        <v>7</v>
      </c>
      <c r="B1447" t="s">
        <v>20</v>
      </c>
      <c r="C1447" s="1">
        <v>45877.125</v>
      </c>
      <c r="D1447">
        <v>2</v>
      </c>
    </row>
    <row r="1448" spans="1:4" x14ac:dyDescent="0.25">
      <c r="A1448" t="s">
        <v>86</v>
      </c>
      <c r="B1448" t="s">
        <v>19</v>
      </c>
      <c r="C1448" s="1">
        <v>45871.020833333336</v>
      </c>
      <c r="D1448">
        <v>3</v>
      </c>
    </row>
    <row r="1449" spans="1:4" x14ac:dyDescent="0.25">
      <c r="A1449" t="s">
        <v>23</v>
      </c>
      <c r="B1449" t="s">
        <v>2</v>
      </c>
      <c r="C1449" s="1">
        <v>45882.885416666664</v>
      </c>
      <c r="D1449">
        <v>1</v>
      </c>
    </row>
    <row r="1450" spans="1:4" x14ac:dyDescent="0.25">
      <c r="A1450" t="s">
        <v>81</v>
      </c>
      <c r="B1450" t="s">
        <v>8</v>
      </c>
      <c r="C1450" s="1">
        <v>45872.729166666664</v>
      </c>
      <c r="D1450">
        <v>110</v>
      </c>
    </row>
    <row r="1451" spans="1:4" x14ac:dyDescent="0.25">
      <c r="A1451" t="s">
        <v>9</v>
      </c>
      <c r="B1451" t="s">
        <v>1</v>
      </c>
      <c r="C1451" s="1">
        <v>45871.5</v>
      </c>
      <c r="D1451">
        <v>2</v>
      </c>
    </row>
    <row r="1452" spans="1:4" x14ac:dyDescent="0.25">
      <c r="A1452" t="s">
        <v>10</v>
      </c>
      <c r="B1452" t="s">
        <v>1</v>
      </c>
      <c r="C1452" s="1">
        <v>45871.604166666664</v>
      </c>
      <c r="D1452">
        <v>13</v>
      </c>
    </row>
    <row r="1453" spans="1:4" x14ac:dyDescent="0.25">
      <c r="A1453" t="s">
        <v>7</v>
      </c>
      <c r="B1453" t="s">
        <v>8</v>
      </c>
      <c r="C1453" s="1">
        <v>45871.458333333336</v>
      </c>
      <c r="D1453">
        <v>154</v>
      </c>
    </row>
    <row r="1454" spans="1:4" x14ac:dyDescent="0.25">
      <c r="A1454" t="s">
        <v>81</v>
      </c>
      <c r="B1454" t="s">
        <v>1</v>
      </c>
      <c r="C1454" s="1">
        <v>45873.020833333336</v>
      </c>
      <c r="D1454">
        <v>1</v>
      </c>
    </row>
    <row r="1455" spans="1:4" x14ac:dyDescent="0.25">
      <c r="A1455" t="s">
        <v>9</v>
      </c>
      <c r="B1455" t="s">
        <v>19</v>
      </c>
      <c r="C1455" s="1">
        <v>45866.020833333336</v>
      </c>
      <c r="D1455">
        <v>1</v>
      </c>
    </row>
    <row r="1456" spans="1:4" x14ac:dyDescent="0.25">
      <c r="A1456" t="s">
        <v>7</v>
      </c>
      <c r="B1456" t="s">
        <v>8</v>
      </c>
      <c r="C1456" s="1">
        <v>45876.166666666664</v>
      </c>
      <c r="D1456">
        <v>5</v>
      </c>
    </row>
    <row r="1457" spans="1:4" x14ac:dyDescent="0.25">
      <c r="A1457" t="s">
        <v>81</v>
      </c>
      <c r="B1457" t="s">
        <v>57</v>
      </c>
      <c r="C1457" s="1">
        <v>45871.947916666664</v>
      </c>
      <c r="D1457">
        <v>2</v>
      </c>
    </row>
    <row r="1458" spans="1:4" x14ac:dyDescent="0.25">
      <c r="A1458" t="s">
        <v>81</v>
      </c>
      <c r="B1458" t="s">
        <v>2</v>
      </c>
      <c r="C1458" s="1">
        <v>45874.583333333336</v>
      </c>
      <c r="D1458">
        <v>2</v>
      </c>
    </row>
    <row r="1459" spans="1:4" x14ac:dyDescent="0.25">
      <c r="A1459" t="s">
        <v>7</v>
      </c>
      <c r="B1459" t="s">
        <v>19</v>
      </c>
      <c r="C1459" s="1">
        <v>45871.395833333336</v>
      </c>
      <c r="D1459">
        <v>5</v>
      </c>
    </row>
    <row r="1460" spans="1:4" x14ac:dyDescent="0.25">
      <c r="A1460" t="s">
        <v>79</v>
      </c>
      <c r="B1460" t="s">
        <v>4</v>
      </c>
      <c r="C1460" s="1">
        <v>45873.604166666664</v>
      </c>
      <c r="D1460">
        <v>9</v>
      </c>
    </row>
    <row r="1461" spans="1:4" x14ac:dyDescent="0.25">
      <c r="A1461" t="s">
        <v>77</v>
      </c>
      <c r="B1461" t="s">
        <v>19</v>
      </c>
      <c r="C1461" s="1">
        <v>45872.666666666664</v>
      </c>
      <c r="D1461">
        <v>5</v>
      </c>
    </row>
    <row r="1462" spans="1:4" x14ac:dyDescent="0.25">
      <c r="A1462" t="s">
        <v>81</v>
      </c>
      <c r="B1462" t="s">
        <v>53</v>
      </c>
      <c r="C1462" s="1">
        <v>45870.458333333336</v>
      </c>
      <c r="D1462">
        <v>1</v>
      </c>
    </row>
    <row r="1463" spans="1:4" x14ac:dyDescent="0.25">
      <c r="A1463" t="s">
        <v>7</v>
      </c>
      <c r="B1463" t="s">
        <v>2</v>
      </c>
      <c r="C1463" s="1">
        <v>45871.083333333336</v>
      </c>
      <c r="D1463">
        <v>36</v>
      </c>
    </row>
    <row r="1464" spans="1:4" x14ac:dyDescent="0.25">
      <c r="A1464" t="s">
        <v>86</v>
      </c>
      <c r="B1464" t="s">
        <v>8</v>
      </c>
      <c r="C1464" s="1">
        <v>45871.083333333336</v>
      </c>
      <c r="D1464">
        <v>36</v>
      </c>
    </row>
    <row r="1465" spans="1:4" x14ac:dyDescent="0.25">
      <c r="A1465" t="s">
        <v>9</v>
      </c>
      <c r="B1465" t="s">
        <v>20</v>
      </c>
      <c r="C1465" s="1">
        <v>45871.75</v>
      </c>
      <c r="D1465">
        <v>5</v>
      </c>
    </row>
    <row r="1466" spans="1:4" x14ac:dyDescent="0.25">
      <c r="A1466" t="s">
        <v>23</v>
      </c>
      <c r="B1466" t="s">
        <v>19</v>
      </c>
      <c r="C1466" s="1">
        <v>45876.083333333336</v>
      </c>
      <c r="D1466">
        <v>23</v>
      </c>
    </row>
    <row r="1467" spans="1:4" x14ac:dyDescent="0.25">
      <c r="A1467" t="s">
        <v>81</v>
      </c>
      <c r="B1467" t="s">
        <v>1</v>
      </c>
      <c r="C1467" s="1">
        <v>45873.083333333336</v>
      </c>
      <c r="D1467">
        <v>6</v>
      </c>
    </row>
    <row r="1468" spans="1:4" x14ac:dyDescent="0.25">
      <c r="A1468" t="s">
        <v>7</v>
      </c>
      <c r="B1468" t="s">
        <v>19</v>
      </c>
      <c r="C1468" s="1">
        <v>45875.75</v>
      </c>
      <c r="D1468">
        <v>36</v>
      </c>
    </row>
    <row r="1469" spans="1:4" x14ac:dyDescent="0.25">
      <c r="A1469" t="s">
        <v>7</v>
      </c>
      <c r="B1469" t="s">
        <v>19</v>
      </c>
      <c r="C1469" s="1">
        <v>45866.885416666664</v>
      </c>
      <c r="D1469">
        <v>2</v>
      </c>
    </row>
    <row r="1470" spans="1:4" x14ac:dyDescent="0.25">
      <c r="A1470" t="s">
        <v>7</v>
      </c>
      <c r="B1470" t="s">
        <v>57</v>
      </c>
      <c r="C1470" s="1">
        <v>45875.083333333336</v>
      </c>
      <c r="D1470">
        <v>1</v>
      </c>
    </row>
    <row r="1471" spans="1:4" x14ac:dyDescent="0.25">
      <c r="A1471" t="s">
        <v>7</v>
      </c>
      <c r="B1471" t="s">
        <v>19</v>
      </c>
      <c r="C1471" s="1">
        <v>45871.458333333336</v>
      </c>
      <c r="D1471">
        <v>493</v>
      </c>
    </row>
    <row r="1472" spans="1:4" x14ac:dyDescent="0.25">
      <c r="A1472" t="s">
        <v>7</v>
      </c>
      <c r="B1472" t="s">
        <v>8</v>
      </c>
      <c r="C1472" s="1">
        <v>45871.1875</v>
      </c>
      <c r="D1472">
        <v>1029</v>
      </c>
    </row>
    <row r="1473" spans="1:4" x14ac:dyDescent="0.25">
      <c r="A1473" t="s">
        <v>10</v>
      </c>
      <c r="B1473" t="s">
        <v>19</v>
      </c>
      <c r="C1473" s="1">
        <v>45871.166666666664</v>
      </c>
      <c r="D1473">
        <v>182</v>
      </c>
    </row>
    <row r="1474" spans="1:4" x14ac:dyDescent="0.25">
      <c r="A1474" t="s">
        <v>23</v>
      </c>
      <c r="B1474" t="s">
        <v>4</v>
      </c>
      <c r="C1474" s="1">
        <v>45870.458333333336</v>
      </c>
      <c r="D1474">
        <v>152</v>
      </c>
    </row>
    <row r="1475" spans="1:4" x14ac:dyDescent="0.25">
      <c r="A1475" t="s">
        <v>11</v>
      </c>
      <c r="B1475" t="s">
        <v>8</v>
      </c>
      <c r="C1475" s="1">
        <v>45870.208333333336</v>
      </c>
      <c r="D1475">
        <v>3</v>
      </c>
    </row>
    <row r="1476" spans="1:4" x14ac:dyDescent="0.25">
      <c r="A1476" t="s">
        <v>7</v>
      </c>
      <c r="B1476" t="s">
        <v>1</v>
      </c>
      <c r="C1476" s="1">
        <v>45874.125</v>
      </c>
      <c r="D1476">
        <v>8</v>
      </c>
    </row>
    <row r="1477" spans="1:4" x14ac:dyDescent="0.25">
      <c r="A1477" t="s">
        <v>23</v>
      </c>
      <c r="B1477" t="s">
        <v>2</v>
      </c>
      <c r="C1477" s="1">
        <v>45873.729166666664</v>
      </c>
      <c r="D1477">
        <v>3</v>
      </c>
    </row>
    <row r="1478" spans="1:4" x14ac:dyDescent="0.25">
      <c r="A1478" t="s">
        <v>11</v>
      </c>
      <c r="B1478" t="s">
        <v>1</v>
      </c>
      <c r="C1478" s="1">
        <v>45868.583333333336</v>
      </c>
      <c r="D1478">
        <v>2</v>
      </c>
    </row>
    <row r="1479" spans="1:4" x14ac:dyDescent="0.25">
      <c r="A1479" t="s">
        <v>77</v>
      </c>
      <c r="B1479" t="s">
        <v>8</v>
      </c>
      <c r="C1479" s="1">
        <v>45872.666666666664</v>
      </c>
      <c r="D1479">
        <v>16</v>
      </c>
    </row>
    <row r="1480" spans="1:4" x14ac:dyDescent="0.25">
      <c r="A1480" t="s">
        <v>23</v>
      </c>
      <c r="B1480" t="s">
        <v>19</v>
      </c>
      <c r="C1480" s="1">
        <v>45871.666666666664</v>
      </c>
      <c r="D1480">
        <v>31</v>
      </c>
    </row>
    <row r="1481" spans="1:4" x14ac:dyDescent="0.25">
      <c r="A1481" t="s">
        <v>7</v>
      </c>
      <c r="B1481" t="s">
        <v>0</v>
      </c>
      <c r="C1481" s="1">
        <v>45873.666666666664</v>
      </c>
      <c r="D1481">
        <v>8</v>
      </c>
    </row>
    <row r="1482" spans="1:4" x14ac:dyDescent="0.25">
      <c r="A1482" t="s">
        <v>15</v>
      </c>
      <c r="B1482" t="s">
        <v>1</v>
      </c>
      <c r="C1482" s="1">
        <v>45871.125</v>
      </c>
      <c r="D1482">
        <v>3</v>
      </c>
    </row>
    <row r="1483" spans="1:4" x14ac:dyDescent="0.25">
      <c r="A1483" t="s">
        <v>81</v>
      </c>
      <c r="B1483" t="s">
        <v>20</v>
      </c>
      <c r="C1483" s="1">
        <v>45871.458333333336</v>
      </c>
      <c r="D1483">
        <v>79</v>
      </c>
    </row>
    <row r="1484" spans="1:4" x14ac:dyDescent="0.25">
      <c r="A1484" t="s">
        <v>81</v>
      </c>
      <c r="B1484" t="s">
        <v>0</v>
      </c>
      <c r="C1484" s="1">
        <v>45872.208333333336</v>
      </c>
      <c r="D1484">
        <v>14</v>
      </c>
    </row>
    <row r="1485" spans="1:4" x14ac:dyDescent="0.25">
      <c r="A1485" t="s">
        <v>7</v>
      </c>
      <c r="B1485" t="s">
        <v>19</v>
      </c>
      <c r="C1485" s="1">
        <v>45873.729166666664</v>
      </c>
      <c r="D1485">
        <v>17</v>
      </c>
    </row>
    <row r="1486" spans="1:4" x14ac:dyDescent="0.25">
      <c r="A1486" t="s">
        <v>83</v>
      </c>
      <c r="B1486" t="s">
        <v>19</v>
      </c>
      <c r="C1486" s="1">
        <v>45867.729166666664</v>
      </c>
      <c r="D1486">
        <v>4</v>
      </c>
    </row>
    <row r="1487" spans="1:4" x14ac:dyDescent="0.25">
      <c r="A1487" t="s">
        <v>7</v>
      </c>
      <c r="B1487" t="s">
        <v>8</v>
      </c>
      <c r="C1487" s="1">
        <v>45871.041666666664</v>
      </c>
      <c r="D1487">
        <v>3</v>
      </c>
    </row>
    <row r="1488" spans="1:4" x14ac:dyDescent="0.25">
      <c r="A1488" t="s">
        <v>23</v>
      </c>
      <c r="B1488" t="s">
        <v>2</v>
      </c>
      <c r="C1488" s="1">
        <v>45873.583333333336</v>
      </c>
      <c r="D1488">
        <v>1</v>
      </c>
    </row>
    <row r="1489" spans="1:4" x14ac:dyDescent="0.25">
      <c r="A1489" t="s">
        <v>7</v>
      </c>
      <c r="B1489" t="s">
        <v>0</v>
      </c>
      <c r="C1489" s="1">
        <v>45871.395833333336</v>
      </c>
      <c r="D1489">
        <v>2</v>
      </c>
    </row>
    <row r="1490" spans="1:4" x14ac:dyDescent="0.25">
      <c r="A1490" t="s">
        <v>10</v>
      </c>
      <c r="B1490" t="s">
        <v>8</v>
      </c>
      <c r="C1490" s="1">
        <v>45871.166666666664</v>
      </c>
      <c r="D1490">
        <v>13</v>
      </c>
    </row>
    <row r="1491" spans="1:4" x14ac:dyDescent="0.25">
      <c r="A1491" t="s">
        <v>10</v>
      </c>
      <c r="B1491" t="s">
        <v>41</v>
      </c>
      <c r="C1491" s="1">
        <v>45866.458333333336</v>
      </c>
      <c r="D1491">
        <v>36</v>
      </c>
    </row>
    <row r="1492" spans="1:4" x14ac:dyDescent="0.25">
      <c r="A1492" t="s">
        <v>23</v>
      </c>
      <c r="B1492" t="s">
        <v>2</v>
      </c>
      <c r="C1492" s="1">
        <v>45871.1875</v>
      </c>
      <c r="D1492">
        <v>1</v>
      </c>
    </row>
    <row r="1493" spans="1:4" x14ac:dyDescent="0.25">
      <c r="A1493" t="s">
        <v>10</v>
      </c>
      <c r="B1493" t="s">
        <v>20</v>
      </c>
      <c r="C1493" s="1">
        <v>45871.916666666664</v>
      </c>
      <c r="D1493">
        <v>9</v>
      </c>
    </row>
    <row r="1494" spans="1:4" x14ac:dyDescent="0.25">
      <c r="A1494" t="s">
        <v>10</v>
      </c>
      <c r="B1494" t="s">
        <v>53</v>
      </c>
      <c r="C1494" s="1">
        <v>45873.458333333336</v>
      </c>
      <c r="D1494">
        <v>17</v>
      </c>
    </row>
    <row r="1495" spans="1:4" x14ac:dyDescent="0.25">
      <c r="A1495" t="s">
        <v>10</v>
      </c>
      <c r="B1495" t="s">
        <v>1</v>
      </c>
      <c r="C1495" s="1">
        <v>45871.145833333336</v>
      </c>
      <c r="D1495">
        <v>127</v>
      </c>
    </row>
    <row r="1496" spans="1:4" x14ac:dyDescent="0.25">
      <c r="A1496" t="s">
        <v>83</v>
      </c>
      <c r="B1496" t="s">
        <v>8</v>
      </c>
      <c r="C1496" s="1">
        <v>45869.916666666664</v>
      </c>
      <c r="D1496">
        <v>2</v>
      </c>
    </row>
    <row r="1497" spans="1:4" x14ac:dyDescent="0.25">
      <c r="A1497" t="s">
        <v>7</v>
      </c>
      <c r="B1497" t="s">
        <v>2</v>
      </c>
      <c r="C1497" s="1">
        <v>45875.541666666664</v>
      </c>
      <c r="D1497">
        <v>6</v>
      </c>
    </row>
    <row r="1498" spans="1:4" x14ac:dyDescent="0.25">
      <c r="A1498" t="s">
        <v>23</v>
      </c>
      <c r="B1498" t="s">
        <v>8</v>
      </c>
      <c r="C1498" s="1">
        <v>45871.666666666664</v>
      </c>
      <c r="D1498">
        <v>25</v>
      </c>
    </row>
    <row r="1499" spans="1:4" x14ac:dyDescent="0.25">
      <c r="A1499" t="s">
        <v>86</v>
      </c>
      <c r="B1499" t="s">
        <v>8</v>
      </c>
      <c r="C1499" s="1">
        <v>45871.1875</v>
      </c>
      <c r="D1499">
        <v>54</v>
      </c>
    </row>
    <row r="1500" spans="1:4" x14ac:dyDescent="0.25">
      <c r="A1500" t="s">
        <v>7</v>
      </c>
      <c r="B1500" t="s">
        <v>0</v>
      </c>
      <c r="C1500" s="1">
        <v>45875.958333333336</v>
      </c>
      <c r="D1500">
        <v>1</v>
      </c>
    </row>
    <row r="1501" spans="1:4" x14ac:dyDescent="0.25">
      <c r="A1501" t="s">
        <v>81</v>
      </c>
      <c r="B1501" t="s">
        <v>1</v>
      </c>
      <c r="C1501" s="1">
        <v>45873.125</v>
      </c>
      <c r="D1501">
        <v>18</v>
      </c>
    </row>
    <row r="1502" spans="1:4" x14ac:dyDescent="0.25">
      <c r="A1502" t="s">
        <v>13</v>
      </c>
      <c r="B1502" t="s">
        <v>4</v>
      </c>
      <c r="C1502" s="1">
        <v>45873.604166666664</v>
      </c>
      <c r="D1502">
        <v>9</v>
      </c>
    </row>
    <row r="1503" spans="1:4" x14ac:dyDescent="0.25">
      <c r="A1503" t="s">
        <v>9</v>
      </c>
      <c r="B1503" t="s">
        <v>20</v>
      </c>
      <c r="C1503" s="1">
        <v>45871.854166666664</v>
      </c>
      <c r="D1503">
        <v>1</v>
      </c>
    </row>
    <row r="1504" spans="1:4" x14ac:dyDescent="0.25">
      <c r="A1504" t="s">
        <v>88</v>
      </c>
      <c r="B1504" t="s">
        <v>20</v>
      </c>
      <c r="C1504" s="1">
        <v>45871.729166666664</v>
      </c>
      <c r="D1504">
        <v>8</v>
      </c>
    </row>
    <row r="1505" spans="1:4" x14ac:dyDescent="0.25">
      <c r="A1505" t="s">
        <v>77</v>
      </c>
      <c r="B1505" t="s">
        <v>19</v>
      </c>
      <c r="C1505" s="1">
        <v>45872.208333333336</v>
      </c>
      <c r="D1505">
        <v>2</v>
      </c>
    </row>
    <row r="1506" spans="1:4" x14ac:dyDescent="0.25">
      <c r="A1506" t="s">
        <v>7</v>
      </c>
      <c r="B1506" t="s">
        <v>1</v>
      </c>
      <c r="C1506" s="1">
        <v>45871.541666666664</v>
      </c>
      <c r="D1506">
        <v>107</v>
      </c>
    </row>
    <row r="1507" spans="1:4" x14ac:dyDescent="0.25">
      <c r="A1507" t="s">
        <v>83</v>
      </c>
      <c r="B1507" t="s">
        <v>19</v>
      </c>
      <c r="C1507" s="1">
        <v>45867.885416666664</v>
      </c>
      <c r="D1507">
        <v>4</v>
      </c>
    </row>
    <row r="1508" spans="1:4" x14ac:dyDescent="0.25">
      <c r="A1508" t="s">
        <v>7</v>
      </c>
      <c r="B1508" t="s">
        <v>20</v>
      </c>
      <c r="C1508" s="1">
        <v>45874.583333333336</v>
      </c>
      <c r="D1508">
        <v>1</v>
      </c>
    </row>
    <row r="1509" spans="1:4" x14ac:dyDescent="0.25">
      <c r="A1509" t="s">
        <v>23</v>
      </c>
      <c r="B1509" t="s">
        <v>2</v>
      </c>
      <c r="C1509" s="1">
        <v>45876.166666666664</v>
      </c>
      <c r="D1509">
        <v>1</v>
      </c>
    </row>
    <row r="1510" spans="1:4" x14ac:dyDescent="0.25">
      <c r="A1510" t="s">
        <v>12</v>
      </c>
      <c r="B1510" t="s">
        <v>57</v>
      </c>
      <c r="C1510" s="1">
        <v>45871.208333333336</v>
      </c>
      <c r="D1510">
        <v>25</v>
      </c>
    </row>
    <row r="1511" spans="1:4" x14ac:dyDescent="0.25">
      <c r="A1511" t="s">
        <v>7</v>
      </c>
      <c r="B1511" t="s">
        <v>19</v>
      </c>
      <c r="C1511" s="1">
        <v>45871.145833333336</v>
      </c>
      <c r="D1511">
        <v>792</v>
      </c>
    </row>
    <row r="1512" spans="1:4" x14ac:dyDescent="0.25">
      <c r="A1512" t="s">
        <v>7</v>
      </c>
      <c r="B1512" t="s">
        <v>8</v>
      </c>
      <c r="C1512" s="1">
        <v>45873.625</v>
      </c>
      <c r="D1512">
        <v>44</v>
      </c>
    </row>
    <row r="1513" spans="1:4" x14ac:dyDescent="0.25">
      <c r="A1513" t="s">
        <v>77</v>
      </c>
      <c r="B1513" t="s">
        <v>20</v>
      </c>
      <c r="C1513" s="1">
        <v>45871.145833333336</v>
      </c>
      <c r="D1513">
        <v>197</v>
      </c>
    </row>
    <row r="1514" spans="1:4" x14ac:dyDescent="0.25">
      <c r="A1514" t="s">
        <v>9</v>
      </c>
      <c r="B1514" t="s">
        <v>41</v>
      </c>
      <c r="C1514" s="1">
        <v>45852.458333333336</v>
      </c>
      <c r="D1514">
        <v>6</v>
      </c>
    </row>
    <row r="1515" spans="1:4" x14ac:dyDescent="0.25">
      <c r="A1515" t="s">
        <v>23</v>
      </c>
      <c r="B1515" t="s">
        <v>8</v>
      </c>
      <c r="C1515" s="1">
        <v>45880.583333333336</v>
      </c>
      <c r="D1515">
        <v>21</v>
      </c>
    </row>
    <row r="1516" spans="1:4" x14ac:dyDescent="0.25">
      <c r="A1516" t="s">
        <v>14</v>
      </c>
      <c r="B1516" t="s">
        <v>41</v>
      </c>
      <c r="C1516" s="1">
        <v>45876.458333333336</v>
      </c>
      <c r="D1516">
        <v>1</v>
      </c>
    </row>
    <row r="1517" spans="1:4" x14ac:dyDescent="0.25">
      <c r="A1517" t="s">
        <v>79</v>
      </c>
      <c r="B1517" t="s">
        <v>4</v>
      </c>
      <c r="C1517" s="1">
        <v>45873.458333333336</v>
      </c>
      <c r="D1517">
        <v>9</v>
      </c>
    </row>
    <row r="1518" spans="1:4" x14ac:dyDescent="0.25">
      <c r="A1518" t="s">
        <v>7</v>
      </c>
      <c r="B1518" t="s">
        <v>0</v>
      </c>
      <c r="C1518" s="1">
        <v>45873.625</v>
      </c>
      <c r="D1518">
        <v>11</v>
      </c>
    </row>
    <row r="1519" spans="1:4" x14ac:dyDescent="0.25">
      <c r="A1519" t="s">
        <v>7</v>
      </c>
      <c r="B1519" t="s">
        <v>2</v>
      </c>
      <c r="C1519" s="1">
        <v>45878.125</v>
      </c>
      <c r="D1519">
        <v>5</v>
      </c>
    </row>
    <row r="1520" spans="1:4" x14ac:dyDescent="0.25">
      <c r="A1520" t="s">
        <v>81</v>
      </c>
      <c r="B1520" t="s">
        <v>57</v>
      </c>
      <c r="C1520" s="1">
        <v>45872.166666666664</v>
      </c>
      <c r="D1520">
        <v>2</v>
      </c>
    </row>
    <row r="1521" spans="1:4" x14ac:dyDescent="0.25">
      <c r="A1521" t="s">
        <v>23</v>
      </c>
      <c r="B1521" t="s">
        <v>2</v>
      </c>
      <c r="C1521" s="1">
        <v>45875.916666666664</v>
      </c>
      <c r="D1521">
        <v>1</v>
      </c>
    </row>
    <row r="1522" spans="1:4" x14ac:dyDescent="0.25">
      <c r="A1522" t="s">
        <v>23</v>
      </c>
      <c r="B1522" t="s">
        <v>2</v>
      </c>
      <c r="C1522" s="1">
        <v>45873.625</v>
      </c>
      <c r="D1522">
        <v>5</v>
      </c>
    </row>
    <row r="1523" spans="1:4" x14ac:dyDescent="0.25">
      <c r="A1523" t="s">
        <v>23</v>
      </c>
      <c r="B1523" t="s">
        <v>20</v>
      </c>
      <c r="C1523" s="1">
        <v>45872.729166666664</v>
      </c>
      <c r="D1523">
        <v>11</v>
      </c>
    </row>
    <row r="1524" spans="1:4" x14ac:dyDescent="0.25">
      <c r="A1524" t="s">
        <v>83</v>
      </c>
      <c r="B1524" t="s">
        <v>19</v>
      </c>
      <c r="C1524" s="1">
        <v>45869.916666666664</v>
      </c>
      <c r="D1524">
        <v>1</v>
      </c>
    </row>
    <row r="1525" spans="1:4" x14ac:dyDescent="0.25">
      <c r="A1525" t="s">
        <v>81</v>
      </c>
      <c r="B1525" t="s">
        <v>2</v>
      </c>
      <c r="C1525" s="1">
        <v>45872.1875</v>
      </c>
      <c r="D1525">
        <v>36</v>
      </c>
    </row>
    <row r="1526" spans="1:4" x14ac:dyDescent="0.25">
      <c r="A1526" t="s">
        <v>78</v>
      </c>
      <c r="B1526" t="s">
        <v>84</v>
      </c>
      <c r="C1526" s="1">
        <v>45856.583333333336</v>
      </c>
      <c r="D1526">
        <v>12</v>
      </c>
    </row>
    <row r="1527" spans="1:4" x14ac:dyDescent="0.25">
      <c r="A1527" t="s">
        <v>7</v>
      </c>
      <c r="B1527" t="s">
        <v>2</v>
      </c>
      <c r="C1527" s="1">
        <v>45871.0625</v>
      </c>
      <c r="D1527">
        <v>1</v>
      </c>
    </row>
    <row r="1528" spans="1:4" x14ac:dyDescent="0.25">
      <c r="A1528" t="s">
        <v>81</v>
      </c>
      <c r="B1528" t="s">
        <v>0</v>
      </c>
      <c r="C1528" s="1">
        <v>45872.458333333336</v>
      </c>
      <c r="D1528">
        <v>1</v>
      </c>
    </row>
    <row r="1529" spans="1:4" x14ac:dyDescent="0.25">
      <c r="A1529" t="s">
        <v>7</v>
      </c>
      <c r="B1529" t="s">
        <v>8</v>
      </c>
      <c r="C1529" s="1">
        <v>45871.145833333336</v>
      </c>
      <c r="D1529">
        <v>857</v>
      </c>
    </row>
    <row r="1530" spans="1:4" x14ac:dyDescent="0.25">
      <c r="A1530" t="s">
        <v>7</v>
      </c>
      <c r="B1530" t="s">
        <v>20</v>
      </c>
      <c r="C1530" s="1">
        <v>45872.145833333336</v>
      </c>
      <c r="D1530">
        <v>30</v>
      </c>
    </row>
    <row r="1531" spans="1:4" x14ac:dyDescent="0.25">
      <c r="A1531" t="s">
        <v>9</v>
      </c>
      <c r="B1531" t="s">
        <v>294</v>
      </c>
      <c r="C1531" s="1">
        <v>45861.458333333336</v>
      </c>
      <c r="D1531">
        <v>17</v>
      </c>
    </row>
    <row r="1532" spans="1:4" x14ac:dyDescent="0.25">
      <c r="A1532" t="s">
        <v>9</v>
      </c>
      <c r="B1532" t="s">
        <v>41</v>
      </c>
      <c r="C1532" s="1">
        <v>45868.458333333336</v>
      </c>
      <c r="D1532">
        <v>2</v>
      </c>
    </row>
    <row r="1533" spans="1:4" x14ac:dyDescent="0.25">
      <c r="A1533" t="s">
        <v>9</v>
      </c>
      <c r="B1533" t="s">
        <v>20</v>
      </c>
      <c r="C1533" s="1">
        <v>45871.541666666664</v>
      </c>
      <c r="D1533">
        <v>61</v>
      </c>
    </row>
    <row r="1534" spans="1:4" x14ac:dyDescent="0.25">
      <c r="A1534" t="s">
        <v>7</v>
      </c>
      <c r="B1534" t="s">
        <v>8</v>
      </c>
      <c r="C1534" s="1">
        <v>45871.666666666664</v>
      </c>
      <c r="D1534">
        <v>1116</v>
      </c>
    </row>
    <row r="1535" spans="1:4" x14ac:dyDescent="0.25">
      <c r="A1535" t="s">
        <v>7</v>
      </c>
      <c r="B1535" t="s">
        <v>1</v>
      </c>
      <c r="C1535" s="1">
        <v>45871.854166666664</v>
      </c>
      <c r="D1535">
        <v>4</v>
      </c>
    </row>
    <row r="1536" spans="1:4" x14ac:dyDescent="0.25">
      <c r="A1536" t="s">
        <v>77</v>
      </c>
      <c r="B1536" t="s">
        <v>19</v>
      </c>
      <c r="C1536" s="1">
        <v>45874.75</v>
      </c>
      <c r="D1536">
        <v>2</v>
      </c>
    </row>
    <row r="1537" spans="1:4" x14ac:dyDescent="0.25">
      <c r="A1537" t="s">
        <v>7</v>
      </c>
      <c r="B1537" t="s">
        <v>0</v>
      </c>
      <c r="C1537" s="1">
        <v>45871.145833333336</v>
      </c>
      <c r="D1537">
        <v>1027</v>
      </c>
    </row>
    <row r="1538" spans="1:4" x14ac:dyDescent="0.25">
      <c r="A1538" t="s">
        <v>7</v>
      </c>
      <c r="B1538" t="s">
        <v>20</v>
      </c>
      <c r="C1538" s="1">
        <v>45872.625</v>
      </c>
      <c r="D1538">
        <v>13</v>
      </c>
    </row>
    <row r="1539" spans="1:4" x14ac:dyDescent="0.25">
      <c r="A1539" t="s">
        <v>9</v>
      </c>
      <c r="B1539" t="s">
        <v>39</v>
      </c>
      <c r="C1539" s="1">
        <v>45851.458333333336</v>
      </c>
      <c r="D1539">
        <v>2</v>
      </c>
    </row>
    <row r="1540" spans="1:4" x14ac:dyDescent="0.25">
      <c r="A1540" t="s">
        <v>7</v>
      </c>
      <c r="B1540" t="s">
        <v>19</v>
      </c>
      <c r="C1540" s="1">
        <v>45871.1875</v>
      </c>
      <c r="D1540">
        <v>897</v>
      </c>
    </row>
    <row r="1541" spans="1:4" x14ac:dyDescent="0.25">
      <c r="A1541" t="s">
        <v>11</v>
      </c>
      <c r="B1541" t="s">
        <v>294</v>
      </c>
      <c r="C1541" s="1">
        <v>45870.458333333336</v>
      </c>
      <c r="D1541">
        <v>3</v>
      </c>
    </row>
    <row r="1542" spans="1:4" x14ac:dyDescent="0.25">
      <c r="A1542" t="s">
        <v>9</v>
      </c>
      <c r="B1542" t="s">
        <v>51</v>
      </c>
      <c r="C1542" s="1">
        <v>45860.458333333336</v>
      </c>
      <c r="D1542">
        <v>5</v>
      </c>
    </row>
    <row r="1543" spans="1:4" x14ac:dyDescent="0.25">
      <c r="A1543" t="s">
        <v>81</v>
      </c>
      <c r="B1543" t="s">
        <v>2</v>
      </c>
      <c r="C1543" s="1">
        <v>45872.666666666664</v>
      </c>
      <c r="D1543">
        <v>22</v>
      </c>
    </row>
    <row r="1544" spans="1:4" x14ac:dyDescent="0.25">
      <c r="A1544" t="s">
        <v>7</v>
      </c>
      <c r="B1544" t="s">
        <v>57</v>
      </c>
      <c r="C1544" s="1">
        <v>45873.125</v>
      </c>
      <c r="D1544">
        <v>8</v>
      </c>
    </row>
    <row r="1545" spans="1:4" x14ac:dyDescent="0.25">
      <c r="A1545" t="s">
        <v>88</v>
      </c>
      <c r="B1545" t="s">
        <v>20</v>
      </c>
      <c r="C1545" s="1">
        <v>45871.625</v>
      </c>
      <c r="D1545">
        <v>9</v>
      </c>
    </row>
    <row r="1546" spans="1:4" x14ac:dyDescent="0.25">
      <c r="A1546" t="s">
        <v>7</v>
      </c>
      <c r="B1546" t="s">
        <v>8</v>
      </c>
      <c r="C1546" s="1">
        <v>45873.729166666664</v>
      </c>
      <c r="D1546">
        <v>14</v>
      </c>
    </row>
    <row r="1547" spans="1:4" x14ac:dyDescent="0.25">
      <c r="A1547" t="s">
        <v>9</v>
      </c>
      <c r="B1547" t="s">
        <v>39</v>
      </c>
      <c r="C1547" s="1">
        <v>45883.458333333336</v>
      </c>
      <c r="D1547">
        <v>631</v>
      </c>
    </row>
    <row r="1548" spans="1:4" x14ac:dyDescent="0.25">
      <c r="A1548" t="s">
        <v>81</v>
      </c>
      <c r="B1548" t="s">
        <v>19</v>
      </c>
      <c r="C1548" s="1">
        <v>45874.75</v>
      </c>
      <c r="D1548">
        <v>4</v>
      </c>
    </row>
    <row r="1549" spans="1:4" x14ac:dyDescent="0.25">
      <c r="A1549" t="s">
        <v>7</v>
      </c>
      <c r="B1549" t="s">
        <v>0</v>
      </c>
      <c r="C1549" s="1">
        <v>45871.083333333336</v>
      </c>
      <c r="D1549">
        <v>131</v>
      </c>
    </row>
    <row r="1550" spans="1:4" x14ac:dyDescent="0.25">
      <c r="A1550" t="s">
        <v>7</v>
      </c>
      <c r="B1550" t="s">
        <v>2</v>
      </c>
      <c r="C1550" s="1">
        <v>45875.583333333336</v>
      </c>
      <c r="D1550">
        <v>14</v>
      </c>
    </row>
    <row r="1551" spans="1:4" x14ac:dyDescent="0.25">
      <c r="A1551" t="s">
        <v>23</v>
      </c>
      <c r="B1551" t="s">
        <v>57</v>
      </c>
      <c r="C1551" s="1">
        <v>45871.166666666664</v>
      </c>
      <c r="D1551">
        <v>4</v>
      </c>
    </row>
    <row r="1552" spans="1:4" x14ac:dyDescent="0.25">
      <c r="A1552" t="s">
        <v>77</v>
      </c>
      <c r="B1552" t="s">
        <v>19</v>
      </c>
      <c r="C1552" s="1">
        <v>45868.166666666664</v>
      </c>
      <c r="D1552">
        <v>1</v>
      </c>
    </row>
    <row r="1553" spans="1:4" x14ac:dyDescent="0.25">
      <c r="A1553" t="s">
        <v>9</v>
      </c>
      <c r="B1553" t="s">
        <v>0</v>
      </c>
      <c r="C1553" s="1">
        <v>45870.885416666664</v>
      </c>
      <c r="D1553">
        <v>1</v>
      </c>
    </row>
    <row r="1554" spans="1:4" x14ac:dyDescent="0.25">
      <c r="A1554" t="s">
        <v>9</v>
      </c>
      <c r="B1554" t="s">
        <v>8</v>
      </c>
      <c r="C1554" s="1">
        <v>45870.583333333336</v>
      </c>
      <c r="D1554">
        <v>1</v>
      </c>
    </row>
    <row r="1555" spans="1:4" x14ac:dyDescent="0.25">
      <c r="A1555" t="s">
        <v>15</v>
      </c>
      <c r="B1555" t="s">
        <v>1</v>
      </c>
      <c r="C1555" s="1">
        <v>45871.1875</v>
      </c>
      <c r="D1555">
        <v>1</v>
      </c>
    </row>
    <row r="1556" spans="1:4" x14ac:dyDescent="0.25">
      <c r="A1556" t="s">
        <v>13</v>
      </c>
      <c r="B1556" t="s">
        <v>80</v>
      </c>
      <c r="C1556" s="1">
        <v>45879.458333333336</v>
      </c>
      <c r="D1556">
        <v>13</v>
      </c>
    </row>
    <row r="1557" spans="1:4" x14ac:dyDescent="0.25">
      <c r="A1557" t="s">
        <v>23</v>
      </c>
      <c r="B1557" t="s">
        <v>1</v>
      </c>
      <c r="C1557" s="1">
        <v>45872.125</v>
      </c>
      <c r="D1557">
        <v>60</v>
      </c>
    </row>
    <row r="1558" spans="1:4" x14ac:dyDescent="0.25">
      <c r="A1558" t="s">
        <v>81</v>
      </c>
      <c r="B1558" t="s">
        <v>57</v>
      </c>
      <c r="C1558" s="1">
        <v>45871.916666666664</v>
      </c>
      <c r="D1558">
        <v>6</v>
      </c>
    </row>
    <row r="1559" spans="1:4" x14ac:dyDescent="0.25">
      <c r="A1559" t="s">
        <v>23</v>
      </c>
      <c r="B1559" t="s">
        <v>19</v>
      </c>
      <c r="C1559" s="1">
        <v>45880.583333333336</v>
      </c>
      <c r="D1559">
        <v>23</v>
      </c>
    </row>
    <row r="1560" spans="1:4" x14ac:dyDescent="0.25">
      <c r="A1560" t="s">
        <v>13</v>
      </c>
      <c r="B1560" t="s">
        <v>80</v>
      </c>
      <c r="C1560" s="1">
        <v>45870.458333333336</v>
      </c>
      <c r="D1560">
        <v>37</v>
      </c>
    </row>
    <row r="1561" spans="1:4" x14ac:dyDescent="0.25">
      <c r="A1561" t="s">
        <v>10</v>
      </c>
      <c r="B1561" t="s">
        <v>294</v>
      </c>
      <c r="C1561" s="1">
        <v>45866.458333333336</v>
      </c>
      <c r="D1561">
        <v>2</v>
      </c>
    </row>
    <row r="1562" spans="1:4" x14ac:dyDescent="0.25">
      <c r="A1562" t="s">
        <v>79</v>
      </c>
      <c r="B1562" t="s">
        <v>80</v>
      </c>
      <c r="C1562" s="1">
        <v>45881.458333333336</v>
      </c>
      <c r="D1562">
        <v>1</v>
      </c>
    </row>
    <row r="1563" spans="1:4" x14ac:dyDescent="0.25">
      <c r="A1563" t="s">
        <v>7</v>
      </c>
      <c r="B1563" t="s">
        <v>0</v>
      </c>
      <c r="C1563" s="1">
        <v>45875.729166666664</v>
      </c>
      <c r="D1563">
        <v>2</v>
      </c>
    </row>
    <row r="1564" spans="1:4" x14ac:dyDescent="0.25">
      <c r="A1564" t="s">
        <v>77</v>
      </c>
      <c r="B1564" t="s">
        <v>8</v>
      </c>
      <c r="C1564" s="1">
        <v>45872.885416666664</v>
      </c>
      <c r="D1564">
        <v>24</v>
      </c>
    </row>
    <row r="1565" spans="1:4" x14ac:dyDescent="0.25">
      <c r="A1565" t="s">
        <v>12</v>
      </c>
      <c r="B1565" t="s">
        <v>8</v>
      </c>
      <c r="C1565" s="1">
        <v>45869.541666666664</v>
      </c>
      <c r="D1565">
        <v>1</v>
      </c>
    </row>
    <row r="1566" spans="1:4" x14ac:dyDescent="0.25">
      <c r="A1566" t="s">
        <v>7</v>
      </c>
      <c r="B1566" t="s">
        <v>19</v>
      </c>
      <c r="C1566" s="1">
        <v>45873.666666666664</v>
      </c>
      <c r="D1566">
        <v>59</v>
      </c>
    </row>
    <row r="1567" spans="1:4" x14ac:dyDescent="0.25">
      <c r="A1567" t="s">
        <v>7</v>
      </c>
      <c r="B1567" t="s">
        <v>2</v>
      </c>
      <c r="C1567" s="1">
        <v>45871.166666666664</v>
      </c>
      <c r="D1567">
        <v>558</v>
      </c>
    </row>
    <row r="1568" spans="1:4" x14ac:dyDescent="0.25">
      <c r="A1568" t="s">
        <v>23</v>
      </c>
      <c r="B1568" t="s">
        <v>0</v>
      </c>
      <c r="C1568" s="1">
        <v>45875.958333333336</v>
      </c>
      <c r="D1568">
        <v>1</v>
      </c>
    </row>
    <row r="1569" spans="1:4" x14ac:dyDescent="0.25">
      <c r="A1569" t="s">
        <v>83</v>
      </c>
      <c r="B1569" t="s">
        <v>8</v>
      </c>
      <c r="C1569" s="1">
        <v>45869.958333333336</v>
      </c>
      <c r="D1569">
        <v>2</v>
      </c>
    </row>
    <row r="1570" spans="1:4" x14ac:dyDescent="0.25">
      <c r="A1570" t="s">
        <v>23</v>
      </c>
      <c r="B1570" t="s">
        <v>19</v>
      </c>
      <c r="C1570" s="1">
        <v>45874.166666666664</v>
      </c>
      <c r="D1570">
        <v>13</v>
      </c>
    </row>
    <row r="1571" spans="1:4" x14ac:dyDescent="0.25">
      <c r="A1571" t="s">
        <v>81</v>
      </c>
      <c r="B1571" t="s">
        <v>1</v>
      </c>
      <c r="C1571" s="1">
        <v>45873.166666666664</v>
      </c>
      <c r="D1571">
        <v>8</v>
      </c>
    </row>
    <row r="1572" spans="1:4" x14ac:dyDescent="0.25">
      <c r="A1572" t="s">
        <v>10</v>
      </c>
      <c r="B1572" t="s">
        <v>0</v>
      </c>
      <c r="C1572" s="1">
        <v>45871.166666666664</v>
      </c>
      <c r="D1572">
        <v>57</v>
      </c>
    </row>
    <row r="1573" spans="1:4" x14ac:dyDescent="0.25">
      <c r="A1573" t="s">
        <v>23</v>
      </c>
      <c r="B1573" t="s">
        <v>2</v>
      </c>
      <c r="C1573" s="1">
        <v>45871.083333333336</v>
      </c>
      <c r="D1573">
        <v>1</v>
      </c>
    </row>
    <row r="1574" spans="1:4" x14ac:dyDescent="0.25">
      <c r="A1574" t="s">
        <v>7</v>
      </c>
      <c r="B1574" t="s">
        <v>8</v>
      </c>
      <c r="C1574" s="1">
        <v>45873.541666666664</v>
      </c>
      <c r="D1574">
        <v>173</v>
      </c>
    </row>
    <row r="1575" spans="1:4" x14ac:dyDescent="0.25">
      <c r="A1575" t="s">
        <v>23</v>
      </c>
      <c r="B1575" t="s">
        <v>19</v>
      </c>
      <c r="C1575" s="1">
        <v>45871.885416666664</v>
      </c>
      <c r="D1575">
        <v>16</v>
      </c>
    </row>
    <row r="1576" spans="1:4" x14ac:dyDescent="0.25">
      <c r="A1576" t="s">
        <v>7</v>
      </c>
      <c r="B1576" t="s">
        <v>2</v>
      </c>
      <c r="C1576" s="1">
        <v>45875.75</v>
      </c>
      <c r="D1576">
        <v>9</v>
      </c>
    </row>
    <row r="1577" spans="1:4" x14ac:dyDescent="0.25">
      <c r="A1577" t="s">
        <v>88</v>
      </c>
      <c r="B1577" t="s">
        <v>20</v>
      </c>
      <c r="C1577" s="1">
        <v>45871.666666666664</v>
      </c>
      <c r="D1577">
        <v>7</v>
      </c>
    </row>
    <row r="1578" spans="1:4" x14ac:dyDescent="0.25">
      <c r="A1578" t="s">
        <v>81</v>
      </c>
      <c r="B1578" t="s">
        <v>19</v>
      </c>
      <c r="C1578" s="1">
        <v>45872.208333333336</v>
      </c>
      <c r="D1578">
        <v>21</v>
      </c>
    </row>
    <row r="1579" spans="1:4" x14ac:dyDescent="0.25">
      <c r="A1579" t="s">
        <v>7</v>
      </c>
      <c r="B1579" t="s">
        <v>0</v>
      </c>
      <c r="C1579" s="1">
        <v>45873.604166666664</v>
      </c>
      <c r="D1579">
        <v>4</v>
      </c>
    </row>
    <row r="1580" spans="1:4" x14ac:dyDescent="0.25">
      <c r="A1580" t="s">
        <v>86</v>
      </c>
      <c r="B1580" t="s">
        <v>19</v>
      </c>
      <c r="C1580" s="1">
        <v>45871.0625</v>
      </c>
      <c r="D1580">
        <v>1</v>
      </c>
    </row>
    <row r="1581" spans="1:4" x14ac:dyDescent="0.25">
      <c r="A1581" t="s">
        <v>7</v>
      </c>
      <c r="B1581" t="s">
        <v>2</v>
      </c>
      <c r="C1581" s="1">
        <v>45871.041666666664</v>
      </c>
      <c r="D1581">
        <v>1</v>
      </c>
    </row>
    <row r="1582" spans="1:4" x14ac:dyDescent="0.25">
      <c r="A1582" t="s">
        <v>7</v>
      </c>
      <c r="B1582" t="s">
        <v>2</v>
      </c>
      <c r="C1582" s="1">
        <v>45871.1875</v>
      </c>
      <c r="D1582">
        <v>449</v>
      </c>
    </row>
    <row r="1583" spans="1:4" x14ac:dyDescent="0.25">
      <c r="A1583" t="s">
        <v>23</v>
      </c>
      <c r="B1583" t="s">
        <v>2</v>
      </c>
      <c r="C1583" s="1">
        <v>45873.541666666664</v>
      </c>
      <c r="D1583">
        <v>6</v>
      </c>
    </row>
    <row r="1584" spans="1:4" x14ac:dyDescent="0.25">
      <c r="A1584" t="s">
        <v>10</v>
      </c>
      <c r="B1584" t="s">
        <v>92</v>
      </c>
      <c r="C1584" s="1">
        <v>45862.458333333336</v>
      </c>
      <c r="D1584">
        <v>4</v>
      </c>
    </row>
    <row r="1585" spans="1:4" x14ac:dyDescent="0.25">
      <c r="A1585" t="s">
        <v>7</v>
      </c>
      <c r="B1585" t="s">
        <v>0</v>
      </c>
      <c r="C1585" s="1">
        <v>45873.458333333336</v>
      </c>
      <c r="D1585">
        <v>2</v>
      </c>
    </row>
    <row r="1586" spans="1:4" x14ac:dyDescent="0.25">
      <c r="A1586" t="s">
        <v>11</v>
      </c>
      <c r="B1586" t="s">
        <v>1</v>
      </c>
      <c r="C1586" s="1">
        <v>45868.208333333336</v>
      </c>
      <c r="D1586">
        <v>1</v>
      </c>
    </row>
    <row r="1587" spans="1:4" x14ac:dyDescent="0.25">
      <c r="A1587" t="s">
        <v>81</v>
      </c>
      <c r="B1587" t="s">
        <v>8</v>
      </c>
      <c r="C1587" s="1">
        <v>45875.125</v>
      </c>
      <c r="D1587">
        <v>2</v>
      </c>
    </row>
    <row r="1588" spans="1:4" x14ac:dyDescent="0.25">
      <c r="A1588" t="s">
        <v>23</v>
      </c>
      <c r="B1588" t="s">
        <v>20</v>
      </c>
      <c r="C1588" s="1">
        <v>45872.625</v>
      </c>
      <c r="D1588">
        <v>11</v>
      </c>
    </row>
    <row r="1589" spans="1:4" x14ac:dyDescent="0.25">
      <c r="A1589" t="s">
        <v>9</v>
      </c>
      <c r="B1589" t="s">
        <v>1</v>
      </c>
      <c r="C1589" s="1">
        <v>45871.604166666664</v>
      </c>
      <c r="D1589">
        <v>27</v>
      </c>
    </row>
    <row r="1590" spans="1:4" x14ac:dyDescent="0.25">
      <c r="A1590" t="s">
        <v>9</v>
      </c>
      <c r="B1590" t="s">
        <v>1</v>
      </c>
      <c r="C1590" s="1">
        <v>45871.458333333336</v>
      </c>
      <c r="D1590">
        <v>7</v>
      </c>
    </row>
    <row r="1591" spans="1:4" x14ac:dyDescent="0.25">
      <c r="A1591" t="s">
        <v>10</v>
      </c>
      <c r="B1591" t="s">
        <v>20</v>
      </c>
      <c r="C1591" s="1">
        <v>45871.947916666664</v>
      </c>
      <c r="D1591">
        <v>1</v>
      </c>
    </row>
    <row r="1592" spans="1:4" x14ac:dyDescent="0.25">
      <c r="A1592" t="s">
        <v>86</v>
      </c>
      <c r="B1592" t="s">
        <v>8</v>
      </c>
      <c r="C1592" s="1">
        <v>45871.125</v>
      </c>
      <c r="D1592">
        <v>165</v>
      </c>
    </row>
    <row r="1593" spans="1:4" x14ac:dyDescent="0.25">
      <c r="A1593" t="s">
        <v>7</v>
      </c>
      <c r="B1593" t="s">
        <v>1</v>
      </c>
      <c r="C1593" s="1">
        <v>45876.1875</v>
      </c>
      <c r="D1593">
        <v>1</v>
      </c>
    </row>
    <row r="1594" spans="1:4" x14ac:dyDescent="0.25">
      <c r="A1594" t="s">
        <v>7</v>
      </c>
      <c r="B1594" t="s">
        <v>8</v>
      </c>
      <c r="C1594" s="1">
        <v>45878.125</v>
      </c>
      <c r="D1594">
        <v>137</v>
      </c>
    </row>
    <row r="1595" spans="1:4" x14ac:dyDescent="0.25">
      <c r="A1595" t="s">
        <v>12</v>
      </c>
      <c r="B1595" t="s">
        <v>57</v>
      </c>
      <c r="C1595" s="1">
        <v>45871.458333333336</v>
      </c>
      <c r="D1595">
        <v>1</v>
      </c>
    </row>
    <row r="1596" spans="1:4" x14ac:dyDescent="0.25">
      <c r="A1596" t="s">
        <v>86</v>
      </c>
      <c r="B1596" t="s">
        <v>19</v>
      </c>
      <c r="C1596" s="1">
        <v>45871.1875</v>
      </c>
      <c r="D1596">
        <v>57</v>
      </c>
    </row>
    <row r="1597" spans="1:4" x14ac:dyDescent="0.25">
      <c r="A1597" t="s">
        <v>7</v>
      </c>
      <c r="B1597" t="s">
        <v>1</v>
      </c>
      <c r="C1597" s="1">
        <v>45871.583333333336</v>
      </c>
      <c r="D1597">
        <v>2</v>
      </c>
    </row>
    <row r="1598" spans="1:4" x14ac:dyDescent="0.25">
      <c r="A1598" t="s">
        <v>10</v>
      </c>
      <c r="B1598" t="s">
        <v>39</v>
      </c>
      <c r="C1598" s="1">
        <v>45876.458333333336</v>
      </c>
      <c r="D1598">
        <v>1</v>
      </c>
    </row>
    <row r="1599" spans="1:4" x14ac:dyDescent="0.25">
      <c r="A1599" t="s">
        <v>7</v>
      </c>
      <c r="B1599" t="s">
        <v>0</v>
      </c>
      <c r="C1599" s="1">
        <v>45871.125</v>
      </c>
      <c r="D1599">
        <v>796</v>
      </c>
    </row>
    <row r="1600" spans="1:4" x14ac:dyDescent="0.25">
      <c r="A1600" t="s">
        <v>7</v>
      </c>
      <c r="B1600" t="s">
        <v>2</v>
      </c>
      <c r="C1600" s="1">
        <v>45875.625</v>
      </c>
      <c r="D1600">
        <v>8</v>
      </c>
    </row>
    <row r="1601" spans="1:4" x14ac:dyDescent="0.25">
      <c r="A1601" t="s">
        <v>81</v>
      </c>
      <c r="B1601" t="s">
        <v>8</v>
      </c>
      <c r="C1601" s="1">
        <v>45872.208333333336</v>
      </c>
      <c r="D1601">
        <v>55</v>
      </c>
    </row>
    <row r="1602" spans="1:4" x14ac:dyDescent="0.25">
      <c r="A1602" t="s">
        <v>23</v>
      </c>
      <c r="B1602" t="s">
        <v>57</v>
      </c>
      <c r="C1602" s="1">
        <v>45873.125</v>
      </c>
      <c r="D1602">
        <v>4</v>
      </c>
    </row>
    <row r="1603" spans="1:4" x14ac:dyDescent="0.25">
      <c r="A1603" t="s">
        <v>23</v>
      </c>
      <c r="B1603" t="s">
        <v>2</v>
      </c>
      <c r="C1603" s="1">
        <v>45878.125</v>
      </c>
      <c r="D1603">
        <v>5</v>
      </c>
    </row>
    <row r="1604" spans="1:4" x14ac:dyDescent="0.25">
      <c r="A1604" t="s">
        <v>7</v>
      </c>
      <c r="B1604" t="s">
        <v>19</v>
      </c>
      <c r="C1604" s="1">
        <v>45871.208333333336</v>
      </c>
      <c r="D1604">
        <v>3803</v>
      </c>
    </row>
    <row r="1605" spans="1:4" x14ac:dyDescent="0.25">
      <c r="A1605" t="s">
        <v>81</v>
      </c>
      <c r="B1605" t="s">
        <v>19</v>
      </c>
      <c r="C1605" s="1">
        <v>45875.125</v>
      </c>
      <c r="D1605">
        <v>1</v>
      </c>
    </row>
    <row r="1606" spans="1:4" x14ac:dyDescent="0.25">
      <c r="A1606" t="s">
        <v>9</v>
      </c>
      <c r="B1606" t="s">
        <v>39</v>
      </c>
      <c r="C1606" s="1">
        <v>45795.458333333336</v>
      </c>
      <c r="D1606">
        <v>1</v>
      </c>
    </row>
    <row r="1607" spans="1:4" x14ac:dyDescent="0.25">
      <c r="A1607" t="s">
        <v>14</v>
      </c>
      <c r="B1607" t="s">
        <v>51</v>
      </c>
      <c r="C1607" s="1">
        <v>45868.458333333336</v>
      </c>
      <c r="D1607">
        <v>13</v>
      </c>
    </row>
    <row r="1608" spans="1:4" x14ac:dyDescent="0.25">
      <c r="A1608" t="s">
        <v>77</v>
      </c>
      <c r="B1608" t="s">
        <v>8</v>
      </c>
      <c r="C1608" s="1">
        <v>45872.208333333336</v>
      </c>
      <c r="D1608">
        <v>6</v>
      </c>
    </row>
    <row r="1609" spans="1:4" x14ac:dyDescent="0.25">
      <c r="A1609" t="s">
        <v>23</v>
      </c>
      <c r="B1609" t="s">
        <v>19</v>
      </c>
      <c r="C1609" s="1">
        <v>45871.208333333336</v>
      </c>
      <c r="D1609">
        <v>39</v>
      </c>
    </row>
    <row r="1610" spans="1:4" x14ac:dyDescent="0.25">
      <c r="A1610" t="s">
        <v>10</v>
      </c>
      <c r="B1610" t="s">
        <v>20</v>
      </c>
      <c r="C1610" s="1">
        <v>45871.854166666664</v>
      </c>
      <c r="D1610">
        <v>1</v>
      </c>
    </row>
    <row r="1611" spans="1:4" x14ac:dyDescent="0.25">
      <c r="A1611" t="s">
        <v>86</v>
      </c>
      <c r="B1611" t="s">
        <v>19</v>
      </c>
      <c r="C1611" s="1">
        <v>45871.125</v>
      </c>
      <c r="D1611">
        <v>183</v>
      </c>
    </row>
    <row r="1612" spans="1:4" x14ac:dyDescent="0.25">
      <c r="A1612" t="s">
        <v>10</v>
      </c>
      <c r="B1612" t="s">
        <v>19</v>
      </c>
      <c r="C1612" s="1">
        <v>45871.125</v>
      </c>
      <c r="D1612">
        <v>269</v>
      </c>
    </row>
    <row r="1613" spans="1:4" x14ac:dyDescent="0.25">
      <c r="A1613" t="s">
        <v>12</v>
      </c>
      <c r="B1613" t="s">
        <v>39</v>
      </c>
      <c r="C1613" s="1">
        <v>45873.458333333336</v>
      </c>
      <c r="D1613">
        <v>4</v>
      </c>
    </row>
    <row r="1614" spans="1:4" x14ac:dyDescent="0.25">
      <c r="A1614" t="s">
        <v>88</v>
      </c>
      <c r="B1614" t="s">
        <v>20</v>
      </c>
      <c r="C1614" s="1">
        <v>45871.885416666664</v>
      </c>
      <c r="D1614">
        <v>9</v>
      </c>
    </row>
    <row r="1615" spans="1:4" x14ac:dyDescent="0.25">
      <c r="A1615" t="s">
        <v>10</v>
      </c>
      <c r="B1615" t="s">
        <v>51</v>
      </c>
      <c r="C1615" s="1">
        <v>45865.458333333336</v>
      </c>
      <c r="D1615">
        <v>18</v>
      </c>
    </row>
    <row r="1616" spans="1:4" x14ac:dyDescent="0.25">
      <c r="A1616" t="s">
        <v>14</v>
      </c>
      <c r="B1616" t="s">
        <v>51</v>
      </c>
      <c r="C1616" s="1">
        <v>45852.458333333336</v>
      </c>
      <c r="D1616">
        <v>12</v>
      </c>
    </row>
    <row r="1617" spans="1:4" x14ac:dyDescent="0.25">
      <c r="A1617" t="s">
        <v>7</v>
      </c>
      <c r="B1617" t="s">
        <v>1</v>
      </c>
      <c r="C1617" s="1">
        <v>45872.166666666664</v>
      </c>
      <c r="D1617">
        <v>12</v>
      </c>
    </row>
    <row r="1618" spans="1:4" x14ac:dyDescent="0.25">
      <c r="A1618" t="s">
        <v>86</v>
      </c>
      <c r="B1618" t="s">
        <v>8</v>
      </c>
      <c r="C1618" s="1">
        <v>45871.145833333336</v>
      </c>
      <c r="D1618">
        <v>162</v>
      </c>
    </row>
    <row r="1619" spans="1:4" x14ac:dyDescent="0.25">
      <c r="A1619" t="s">
        <v>23</v>
      </c>
      <c r="B1619" t="s">
        <v>8</v>
      </c>
      <c r="C1619" s="1">
        <v>45873.729166666664</v>
      </c>
      <c r="D1619">
        <v>7</v>
      </c>
    </row>
    <row r="1620" spans="1:4" x14ac:dyDescent="0.25">
      <c r="A1620" t="s">
        <v>9</v>
      </c>
      <c r="B1620" t="s">
        <v>53</v>
      </c>
      <c r="C1620" s="1">
        <v>45868.458333333336</v>
      </c>
      <c r="D1620">
        <v>33</v>
      </c>
    </row>
    <row r="1621" spans="1:4" x14ac:dyDescent="0.25">
      <c r="A1621" t="s">
        <v>81</v>
      </c>
      <c r="B1621" t="s">
        <v>2</v>
      </c>
      <c r="C1621" s="1">
        <v>45876.75</v>
      </c>
      <c r="D1621">
        <v>8</v>
      </c>
    </row>
    <row r="1622" spans="1:4" x14ac:dyDescent="0.25">
      <c r="A1622" t="s">
        <v>23</v>
      </c>
      <c r="B1622" t="s">
        <v>19</v>
      </c>
      <c r="C1622" s="1">
        <v>45873.729166666664</v>
      </c>
      <c r="D1622">
        <v>13</v>
      </c>
    </row>
    <row r="1623" spans="1:4" x14ac:dyDescent="0.25">
      <c r="A1623" t="s">
        <v>81</v>
      </c>
      <c r="B1623" t="s">
        <v>20</v>
      </c>
      <c r="C1623" s="1">
        <v>45871.395833333336</v>
      </c>
      <c r="D1623">
        <v>1</v>
      </c>
    </row>
    <row r="1624" spans="1:4" x14ac:dyDescent="0.25">
      <c r="A1624" t="s">
        <v>23</v>
      </c>
      <c r="B1624" t="s">
        <v>8</v>
      </c>
      <c r="C1624" s="1">
        <v>45871.208333333336</v>
      </c>
      <c r="D1624">
        <v>39</v>
      </c>
    </row>
    <row r="1625" spans="1:4" x14ac:dyDescent="0.25">
      <c r="A1625" t="s">
        <v>7</v>
      </c>
      <c r="B1625" t="s">
        <v>0</v>
      </c>
      <c r="C1625" s="1">
        <v>45875.885416666664</v>
      </c>
      <c r="D1625">
        <v>2</v>
      </c>
    </row>
    <row r="1626" spans="1:4" x14ac:dyDescent="0.25">
      <c r="A1626" t="s">
        <v>10</v>
      </c>
      <c r="B1626" t="s">
        <v>8</v>
      </c>
      <c r="C1626" s="1">
        <v>45871.125</v>
      </c>
      <c r="D1626">
        <v>39</v>
      </c>
    </row>
    <row r="1627" spans="1:4" x14ac:dyDescent="0.25">
      <c r="A1627" t="s">
        <v>23</v>
      </c>
      <c r="B1627" t="s">
        <v>2</v>
      </c>
      <c r="C1627" s="1">
        <v>45875.885416666664</v>
      </c>
      <c r="D1627">
        <v>8</v>
      </c>
    </row>
    <row r="1628" spans="1:4" x14ac:dyDescent="0.25">
      <c r="A1628" t="s">
        <v>11</v>
      </c>
      <c r="B1628" t="s">
        <v>53</v>
      </c>
      <c r="C1628" s="1">
        <v>45868.458333333336</v>
      </c>
      <c r="D1628">
        <v>4</v>
      </c>
    </row>
    <row r="1629" spans="1:4" x14ac:dyDescent="0.25">
      <c r="A1629" t="s">
        <v>7</v>
      </c>
      <c r="B1629" t="s">
        <v>0</v>
      </c>
      <c r="C1629" s="1">
        <v>45873.583333333336</v>
      </c>
      <c r="D1629">
        <v>23</v>
      </c>
    </row>
    <row r="1630" spans="1:4" x14ac:dyDescent="0.25">
      <c r="A1630" t="s">
        <v>23</v>
      </c>
      <c r="B1630" t="s">
        <v>0</v>
      </c>
      <c r="C1630" s="1">
        <v>45873.625</v>
      </c>
      <c r="D1630">
        <v>10</v>
      </c>
    </row>
    <row r="1631" spans="1:4" x14ac:dyDescent="0.25">
      <c r="A1631" t="s">
        <v>81</v>
      </c>
      <c r="B1631" t="s">
        <v>19</v>
      </c>
      <c r="C1631" s="1">
        <v>45874.583333333336</v>
      </c>
      <c r="D1631">
        <v>2</v>
      </c>
    </row>
    <row r="1632" spans="1:4" x14ac:dyDescent="0.25">
      <c r="A1632" t="s">
        <v>11</v>
      </c>
      <c r="B1632" t="s">
        <v>41</v>
      </c>
      <c r="C1632" s="1">
        <v>45872.458333333336</v>
      </c>
      <c r="D1632">
        <v>167</v>
      </c>
    </row>
    <row r="1633" spans="1:4" x14ac:dyDescent="0.25">
      <c r="A1633" t="s">
        <v>83</v>
      </c>
      <c r="B1633" t="s">
        <v>8</v>
      </c>
      <c r="C1633" s="1">
        <v>45870.041666666664</v>
      </c>
      <c r="D1633">
        <v>12</v>
      </c>
    </row>
    <row r="1634" spans="1:4" x14ac:dyDescent="0.25">
      <c r="A1634" t="s">
        <v>86</v>
      </c>
      <c r="B1634" t="s">
        <v>8</v>
      </c>
      <c r="C1634" s="1">
        <v>45871.020833333336</v>
      </c>
      <c r="D1634">
        <v>1</v>
      </c>
    </row>
    <row r="1635" spans="1:4" x14ac:dyDescent="0.25">
      <c r="A1635" t="s">
        <v>23</v>
      </c>
      <c r="B1635" t="s">
        <v>19</v>
      </c>
      <c r="C1635" s="1">
        <v>45873.541666666664</v>
      </c>
      <c r="D1635">
        <v>116</v>
      </c>
    </row>
    <row r="1636" spans="1:4" x14ac:dyDescent="0.25">
      <c r="A1636" t="s">
        <v>81</v>
      </c>
      <c r="B1636" t="s">
        <v>8</v>
      </c>
      <c r="C1636" s="1">
        <v>45872.885416666664</v>
      </c>
      <c r="D1636">
        <v>227</v>
      </c>
    </row>
    <row r="1637" spans="1:4" x14ac:dyDescent="0.25">
      <c r="A1637" t="s">
        <v>7</v>
      </c>
      <c r="B1637" t="s">
        <v>8</v>
      </c>
      <c r="C1637" s="1">
        <v>45873.604166666664</v>
      </c>
      <c r="D1637">
        <v>20</v>
      </c>
    </row>
    <row r="1638" spans="1:4" x14ac:dyDescent="0.25">
      <c r="A1638" t="s">
        <v>23</v>
      </c>
      <c r="B1638" t="s">
        <v>20</v>
      </c>
      <c r="C1638" s="1">
        <v>45872.541666666664</v>
      </c>
      <c r="D1638">
        <v>1</v>
      </c>
    </row>
    <row r="1639" spans="1:4" x14ac:dyDescent="0.25">
      <c r="A1639" t="s">
        <v>10</v>
      </c>
      <c r="B1639" t="s">
        <v>20</v>
      </c>
      <c r="C1639" s="1">
        <v>45871.75</v>
      </c>
      <c r="D1639">
        <v>4</v>
      </c>
    </row>
    <row r="1640" spans="1:4" x14ac:dyDescent="0.25">
      <c r="A1640" t="s">
        <v>77</v>
      </c>
      <c r="B1640" t="s">
        <v>4</v>
      </c>
      <c r="C1640" s="1">
        <v>45862.458333333336</v>
      </c>
      <c r="D1640">
        <v>39</v>
      </c>
    </row>
    <row r="1641" spans="1:4" x14ac:dyDescent="0.25">
      <c r="A1641" t="s">
        <v>7</v>
      </c>
      <c r="B1641" t="s">
        <v>8</v>
      </c>
      <c r="C1641" s="1">
        <v>45875.75</v>
      </c>
      <c r="D1641">
        <v>55</v>
      </c>
    </row>
    <row r="1642" spans="1:4" x14ac:dyDescent="0.25">
      <c r="A1642" t="s">
        <v>7</v>
      </c>
      <c r="B1642" t="s">
        <v>20</v>
      </c>
      <c r="C1642" s="1">
        <v>45872.604166666664</v>
      </c>
      <c r="D1642">
        <v>94</v>
      </c>
    </row>
    <row r="1643" spans="1:4" x14ac:dyDescent="0.25">
      <c r="A1643" t="s">
        <v>7</v>
      </c>
      <c r="B1643" t="s">
        <v>2</v>
      </c>
      <c r="C1643" s="1">
        <v>45875.666666666664</v>
      </c>
      <c r="D1643">
        <v>2</v>
      </c>
    </row>
    <row r="1644" spans="1:4" x14ac:dyDescent="0.25">
      <c r="A1644" t="s">
        <v>7</v>
      </c>
      <c r="B1644" t="s">
        <v>8</v>
      </c>
      <c r="C1644" s="1">
        <v>45875.885416666664</v>
      </c>
      <c r="D1644">
        <v>51</v>
      </c>
    </row>
    <row r="1645" spans="1:4" x14ac:dyDescent="0.25">
      <c r="A1645" t="s">
        <v>23</v>
      </c>
      <c r="B1645" t="s">
        <v>8</v>
      </c>
      <c r="C1645" s="1">
        <v>45874.125</v>
      </c>
      <c r="D1645">
        <v>199</v>
      </c>
    </row>
    <row r="1646" spans="1:4" x14ac:dyDescent="0.25">
      <c r="A1646" t="s">
        <v>9</v>
      </c>
      <c r="B1646" t="s">
        <v>20</v>
      </c>
      <c r="C1646" s="1">
        <v>45871.729166666664</v>
      </c>
      <c r="D1646">
        <v>37</v>
      </c>
    </row>
    <row r="1647" spans="1:4" x14ac:dyDescent="0.25">
      <c r="A1647" t="s">
        <v>23</v>
      </c>
      <c r="B1647" t="s">
        <v>2</v>
      </c>
      <c r="C1647" s="1">
        <v>45866.583333333336</v>
      </c>
      <c r="D1647">
        <v>1</v>
      </c>
    </row>
    <row r="1648" spans="1:4" x14ac:dyDescent="0.25">
      <c r="A1648" t="s">
        <v>81</v>
      </c>
      <c r="B1648" t="s">
        <v>20</v>
      </c>
      <c r="C1648" s="1">
        <v>45871.885416666664</v>
      </c>
      <c r="D1648">
        <v>101</v>
      </c>
    </row>
    <row r="1649" spans="1:4" x14ac:dyDescent="0.25">
      <c r="A1649" t="s">
        <v>83</v>
      </c>
      <c r="B1649" t="s">
        <v>8</v>
      </c>
      <c r="C1649" s="1">
        <v>45867.75</v>
      </c>
      <c r="D1649">
        <v>2</v>
      </c>
    </row>
    <row r="1650" spans="1:4" x14ac:dyDescent="0.25">
      <c r="A1650" t="s">
        <v>7</v>
      </c>
      <c r="B1650" t="s">
        <v>20</v>
      </c>
      <c r="C1650" s="1">
        <v>45872.458333333336</v>
      </c>
      <c r="D1650">
        <v>5</v>
      </c>
    </row>
    <row r="1651" spans="1:4" x14ac:dyDescent="0.25">
      <c r="A1651" t="s">
        <v>7</v>
      </c>
      <c r="B1651" t="s">
        <v>0</v>
      </c>
      <c r="C1651" s="1">
        <v>45873.541666666664</v>
      </c>
      <c r="D1651">
        <v>7</v>
      </c>
    </row>
    <row r="1652" spans="1:4" x14ac:dyDescent="0.25">
      <c r="A1652" t="s">
        <v>7</v>
      </c>
      <c r="B1652" t="s">
        <v>19</v>
      </c>
      <c r="C1652" s="1">
        <v>45873.583333333336</v>
      </c>
      <c r="D1652">
        <v>110</v>
      </c>
    </row>
    <row r="1653" spans="1:4" x14ac:dyDescent="0.25">
      <c r="A1653" t="s">
        <v>7</v>
      </c>
      <c r="B1653" t="s">
        <v>8</v>
      </c>
      <c r="C1653" s="1">
        <v>45871.208333333336</v>
      </c>
      <c r="D1653">
        <v>4324</v>
      </c>
    </row>
    <row r="1654" spans="1:4" x14ac:dyDescent="0.25">
      <c r="A1654" t="s">
        <v>81</v>
      </c>
      <c r="B1654" t="s">
        <v>20</v>
      </c>
      <c r="C1654" s="1">
        <v>45873.583333333336</v>
      </c>
      <c r="D1654">
        <v>8</v>
      </c>
    </row>
    <row r="1655" spans="1:4" x14ac:dyDescent="0.25">
      <c r="A1655" t="s">
        <v>86</v>
      </c>
      <c r="B1655" t="s">
        <v>8</v>
      </c>
      <c r="C1655" s="1">
        <v>45871.041666666664</v>
      </c>
      <c r="D1655">
        <v>1</v>
      </c>
    </row>
    <row r="1656" spans="1:4" x14ac:dyDescent="0.25">
      <c r="A1656" t="s">
        <v>14</v>
      </c>
      <c r="B1656" t="s">
        <v>294</v>
      </c>
      <c r="C1656" s="1">
        <v>45874.458333333336</v>
      </c>
      <c r="D1656">
        <v>4</v>
      </c>
    </row>
    <row r="1657" spans="1:4" x14ac:dyDescent="0.25">
      <c r="A1657" t="s">
        <v>10</v>
      </c>
      <c r="B1657" t="s">
        <v>41</v>
      </c>
      <c r="C1657" s="1">
        <v>45873.458333333336</v>
      </c>
      <c r="D1657">
        <v>5</v>
      </c>
    </row>
    <row r="1658" spans="1:4" x14ac:dyDescent="0.25">
      <c r="A1658" t="s">
        <v>23</v>
      </c>
      <c r="B1658" t="s">
        <v>19</v>
      </c>
      <c r="C1658" s="1">
        <v>45874.125</v>
      </c>
      <c r="D1658">
        <v>172</v>
      </c>
    </row>
    <row r="1659" spans="1:4" x14ac:dyDescent="0.25">
      <c r="A1659" t="s">
        <v>23</v>
      </c>
      <c r="B1659" t="s">
        <v>2</v>
      </c>
      <c r="C1659" s="1">
        <v>45873.604166666664</v>
      </c>
      <c r="D1659">
        <v>2</v>
      </c>
    </row>
    <row r="1660" spans="1:4" x14ac:dyDescent="0.25">
      <c r="A1660" t="s">
        <v>14</v>
      </c>
      <c r="B1660" t="s">
        <v>57</v>
      </c>
      <c r="C1660" s="1">
        <v>45871.125</v>
      </c>
      <c r="D1660">
        <v>4</v>
      </c>
    </row>
    <row r="1661" spans="1:4" x14ac:dyDescent="0.25">
      <c r="A1661" t="s">
        <v>13</v>
      </c>
      <c r="B1661" t="s">
        <v>82</v>
      </c>
      <c r="C1661" s="1">
        <v>45872.458333333336</v>
      </c>
      <c r="D1661">
        <v>183</v>
      </c>
    </row>
    <row r="1662" spans="1:4" x14ac:dyDescent="0.25">
      <c r="A1662" t="s">
        <v>23</v>
      </c>
      <c r="B1662" t="s">
        <v>2</v>
      </c>
      <c r="C1662" s="1">
        <v>45875.75</v>
      </c>
      <c r="D1662">
        <v>3</v>
      </c>
    </row>
    <row r="1663" spans="1:4" x14ac:dyDescent="0.25">
      <c r="A1663" t="s">
        <v>23</v>
      </c>
      <c r="B1663" t="s">
        <v>0</v>
      </c>
      <c r="C1663" s="1">
        <v>45873.583333333336</v>
      </c>
      <c r="D1663">
        <v>4</v>
      </c>
    </row>
    <row r="1664" spans="1:4" x14ac:dyDescent="0.25">
      <c r="A1664" t="s">
        <v>14</v>
      </c>
      <c r="B1664" t="s">
        <v>20</v>
      </c>
      <c r="C1664" s="1">
        <v>45871.125</v>
      </c>
      <c r="D1664">
        <v>6</v>
      </c>
    </row>
    <row r="1665" spans="1:4" x14ac:dyDescent="0.25">
      <c r="A1665" t="s">
        <v>81</v>
      </c>
      <c r="B1665" t="s">
        <v>19</v>
      </c>
      <c r="C1665" s="1">
        <v>45872.885416666664</v>
      </c>
      <c r="D1665">
        <v>246</v>
      </c>
    </row>
    <row r="1666" spans="1:4" x14ac:dyDescent="0.25">
      <c r="A1666" t="s">
        <v>81</v>
      </c>
      <c r="B1666" t="s">
        <v>2</v>
      </c>
      <c r="C1666" s="1">
        <v>45872.208333333336</v>
      </c>
      <c r="D1666">
        <v>21</v>
      </c>
    </row>
    <row r="1667" spans="1:4" x14ac:dyDescent="0.25">
      <c r="A1667" t="s">
        <v>7</v>
      </c>
      <c r="B1667" t="s">
        <v>85</v>
      </c>
      <c r="C1667" s="1">
        <v>45751.458333333336</v>
      </c>
      <c r="D1667">
        <v>1</v>
      </c>
    </row>
    <row r="1668" spans="1:4" x14ac:dyDescent="0.25">
      <c r="A1668" t="s">
        <v>23</v>
      </c>
      <c r="B1668" t="s">
        <v>20</v>
      </c>
      <c r="C1668" s="1">
        <v>45877.125</v>
      </c>
      <c r="D1668">
        <v>1</v>
      </c>
    </row>
    <row r="1669" spans="1:4" x14ac:dyDescent="0.25">
      <c r="A1669" t="s">
        <v>10</v>
      </c>
      <c r="B1669" t="s">
        <v>40</v>
      </c>
      <c r="C1669" s="1">
        <v>45861.458333333336</v>
      </c>
      <c r="D1669">
        <v>2</v>
      </c>
    </row>
    <row r="1670" spans="1:4" x14ac:dyDescent="0.25">
      <c r="A1670" t="s">
        <v>10</v>
      </c>
      <c r="B1670" t="s">
        <v>53</v>
      </c>
      <c r="C1670" s="1">
        <v>45864.458333333336</v>
      </c>
      <c r="D1670">
        <v>12</v>
      </c>
    </row>
    <row r="1671" spans="1:4" x14ac:dyDescent="0.25">
      <c r="A1671" t="s">
        <v>23</v>
      </c>
      <c r="B1671" t="s">
        <v>8</v>
      </c>
      <c r="C1671" s="1">
        <v>45873.541666666664</v>
      </c>
      <c r="D1671">
        <v>124</v>
      </c>
    </row>
    <row r="1672" spans="1:4" x14ac:dyDescent="0.25">
      <c r="A1672" t="s">
        <v>86</v>
      </c>
      <c r="B1672" t="s">
        <v>19</v>
      </c>
      <c r="C1672" s="1">
        <v>45871.145833333336</v>
      </c>
      <c r="D1672">
        <v>200</v>
      </c>
    </row>
    <row r="1673" spans="1:4" x14ac:dyDescent="0.25">
      <c r="A1673" t="s">
        <v>7</v>
      </c>
      <c r="B1673" t="s">
        <v>19</v>
      </c>
      <c r="C1673" s="1">
        <v>45875.885416666664</v>
      </c>
      <c r="D1673">
        <v>26</v>
      </c>
    </row>
    <row r="1674" spans="1:4" x14ac:dyDescent="0.25">
      <c r="A1674" t="s">
        <v>13</v>
      </c>
      <c r="B1674" t="s">
        <v>4</v>
      </c>
      <c r="C1674" s="1">
        <v>45873.458333333336</v>
      </c>
      <c r="D1674">
        <v>74</v>
      </c>
    </row>
    <row r="1675" spans="1:4" x14ac:dyDescent="0.25">
      <c r="A1675" t="s">
        <v>10</v>
      </c>
      <c r="B1675" t="s">
        <v>41</v>
      </c>
      <c r="C1675" s="1">
        <v>45857.458333333336</v>
      </c>
      <c r="D1675">
        <v>52</v>
      </c>
    </row>
    <row r="1676" spans="1:4" x14ac:dyDescent="0.25">
      <c r="A1676" t="s">
        <v>7</v>
      </c>
      <c r="B1676" t="s">
        <v>84</v>
      </c>
      <c r="C1676" s="1">
        <v>45800.125</v>
      </c>
      <c r="D1676">
        <v>6</v>
      </c>
    </row>
    <row r="1677" spans="1:4" x14ac:dyDescent="0.25">
      <c r="A1677" t="s">
        <v>12</v>
      </c>
      <c r="B1677" t="s">
        <v>20</v>
      </c>
      <c r="C1677" s="1">
        <v>45870.916666666664</v>
      </c>
      <c r="D1677">
        <v>1</v>
      </c>
    </row>
    <row r="1678" spans="1:4" x14ac:dyDescent="0.25">
      <c r="A1678" t="s">
        <v>7</v>
      </c>
      <c r="B1678" t="s">
        <v>2</v>
      </c>
      <c r="C1678" s="1">
        <v>45871.125</v>
      </c>
      <c r="D1678">
        <v>291</v>
      </c>
    </row>
    <row r="1679" spans="1:4" x14ac:dyDescent="0.25">
      <c r="A1679" t="s">
        <v>23</v>
      </c>
      <c r="B1679" t="s">
        <v>8</v>
      </c>
      <c r="C1679" s="1">
        <v>45873.583333333336</v>
      </c>
      <c r="D1679">
        <v>4</v>
      </c>
    </row>
    <row r="1680" spans="1:4" x14ac:dyDescent="0.25">
      <c r="A1680" t="s">
        <v>77</v>
      </c>
      <c r="B1680" t="s">
        <v>57</v>
      </c>
      <c r="C1680" s="1">
        <v>45871.75</v>
      </c>
      <c r="D1680">
        <v>1</v>
      </c>
    </row>
    <row r="1681" spans="1:4" x14ac:dyDescent="0.25">
      <c r="A1681" t="s">
        <v>10</v>
      </c>
      <c r="B1681" t="s">
        <v>8</v>
      </c>
      <c r="C1681" s="1">
        <v>45871.083333333336</v>
      </c>
      <c r="D1681">
        <v>10</v>
      </c>
    </row>
    <row r="1682" spans="1:4" x14ac:dyDescent="0.25">
      <c r="A1682" t="s">
        <v>86</v>
      </c>
      <c r="B1682" t="s">
        <v>19</v>
      </c>
      <c r="C1682" s="1">
        <v>45871.041666666664</v>
      </c>
      <c r="D1682">
        <v>1</v>
      </c>
    </row>
    <row r="1683" spans="1:4" x14ac:dyDescent="0.25">
      <c r="A1683" t="s">
        <v>7</v>
      </c>
      <c r="B1683" t="s">
        <v>1</v>
      </c>
      <c r="C1683" s="1">
        <v>45871.729166666664</v>
      </c>
      <c r="D1683">
        <v>118</v>
      </c>
    </row>
    <row r="1684" spans="1:4" x14ac:dyDescent="0.25">
      <c r="A1684" t="s">
        <v>77</v>
      </c>
      <c r="B1684" t="s">
        <v>60</v>
      </c>
      <c r="C1684" s="1">
        <v>45842.458333333336</v>
      </c>
      <c r="D1684">
        <v>3</v>
      </c>
    </row>
    <row r="1685" spans="1:4" x14ac:dyDescent="0.25">
      <c r="A1685" t="s">
        <v>81</v>
      </c>
      <c r="B1685" t="s">
        <v>0</v>
      </c>
      <c r="C1685" s="1">
        <v>45872.885416666664</v>
      </c>
      <c r="D1685">
        <v>17</v>
      </c>
    </row>
    <row r="1686" spans="1:4" x14ac:dyDescent="0.25">
      <c r="A1686" t="s">
        <v>83</v>
      </c>
      <c r="B1686" t="s">
        <v>8</v>
      </c>
      <c r="C1686" s="1">
        <v>45870.0625</v>
      </c>
      <c r="D1686">
        <v>6</v>
      </c>
    </row>
    <row r="1687" spans="1:4" x14ac:dyDescent="0.25">
      <c r="A1687" t="s">
        <v>7</v>
      </c>
      <c r="B1687" t="s">
        <v>19</v>
      </c>
      <c r="C1687" s="1">
        <v>45878.125</v>
      </c>
      <c r="D1687">
        <v>53</v>
      </c>
    </row>
    <row r="1688" spans="1:4" x14ac:dyDescent="0.25">
      <c r="A1688" t="s">
        <v>88</v>
      </c>
      <c r="B1688" t="s">
        <v>20</v>
      </c>
      <c r="C1688" s="1">
        <v>45871.75</v>
      </c>
      <c r="D1688">
        <v>1</v>
      </c>
    </row>
    <row r="1689" spans="1:4" x14ac:dyDescent="0.25">
      <c r="A1689" t="s">
        <v>9</v>
      </c>
      <c r="B1689" t="s">
        <v>40</v>
      </c>
      <c r="C1689" s="1">
        <v>45861.458333333336</v>
      </c>
      <c r="D1689">
        <v>2</v>
      </c>
    </row>
    <row r="1690" spans="1:4" x14ac:dyDescent="0.25">
      <c r="A1690" t="s">
        <v>81</v>
      </c>
      <c r="B1690" t="s">
        <v>57</v>
      </c>
      <c r="C1690" s="1">
        <v>45871.75</v>
      </c>
      <c r="D1690">
        <v>26</v>
      </c>
    </row>
    <row r="1691" spans="1:4" x14ac:dyDescent="0.25">
      <c r="A1691" t="s">
        <v>7</v>
      </c>
      <c r="B1691" t="s">
        <v>0</v>
      </c>
      <c r="C1691" s="1">
        <v>45871.208333333336</v>
      </c>
      <c r="D1691">
        <v>1103</v>
      </c>
    </row>
    <row r="1692" spans="1:4" x14ac:dyDescent="0.25">
      <c r="A1692" t="s">
        <v>10</v>
      </c>
      <c r="B1692" t="s">
        <v>19</v>
      </c>
      <c r="C1692" s="1">
        <v>45868.208333333336</v>
      </c>
      <c r="D1692">
        <v>3</v>
      </c>
    </row>
    <row r="1693" spans="1:4" x14ac:dyDescent="0.25">
      <c r="A1693" t="s">
        <v>14</v>
      </c>
      <c r="B1693" t="s">
        <v>40</v>
      </c>
      <c r="C1693" s="1">
        <v>45869.458333333336</v>
      </c>
      <c r="D1693">
        <v>1</v>
      </c>
    </row>
    <row r="1694" spans="1:4" x14ac:dyDescent="0.25">
      <c r="A1694" t="s">
        <v>9</v>
      </c>
      <c r="B1694" t="s">
        <v>41</v>
      </c>
      <c r="C1694" s="1">
        <v>45861.458333333336</v>
      </c>
      <c r="D1694">
        <v>11</v>
      </c>
    </row>
    <row r="1695" spans="1:4" x14ac:dyDescent="0.25">
      <c r="A1695" t="s">
        <v>10</v>
      </c>
      <c r="B1695" t="s">
        <v>1</v>
      </c>
      <c r="C1695" s="1">
        <v>45871.458333333336</v>
      </c>
      <c r="D1695">
        <v>4</v>
      </c>
    </row>
    <row r="1696" spans="1:4" x14ac:dyDescent="0.25">
      <c r="A1696" t="s">
        <v>10</v>
      </c>
      <c r="B1696" t="s">
        <v>19</v>
      </c>
      <c r="C1696" s="1">
        <v>45871.083333333336</v>
      </c>
      <c r="D1696">
        <v>95</v>
      </c>
    </row>
    <row r="1697" spans="1:4" x14ac:dyDescent="0.25">
      <c r="A1697" t="s">
        <v>81</v>
      </c>
      <c r="B1697" t="s">
        <v>19</v>
      </c>
      <c r="C1697" s="1">
        <v>45875.166666666664</v>
      </c>
      <c r="D1697">
        <v>2</v>
      </c>
    </row>
    <row r="1698" spans="1:4" x14ac:dyDescent="0.25">
      <c r="A1698" t="s">
        <v>81</v>
      </c>
      <c r="B1698" t="s">
        <v>8</v>
      </c>
      <c r="C1698" s="1">
        <v>45874.583333333336</v>
      </c>
      <c r="D1698">
        <v>22</v>
      </c>
    </row>
    <row r="1699" spans="1:4" x14ac:dyDescent="0.25">
      <c r="A1699" t="s">
        <v>23</v>
      </c>
      <c r="B1699" t="s">
        <v>8</v>
      </c>
      <c r="C1699" s="1">
        <v>45871.885416666664</v>
      </c>
      <c r="D1699">
        <v>35</v>
      </c>
    </row>
    <row r="1700" spans="1:4" x14ac:dyDescent="0.25">
      <c r="A1700" t="s">
        <v>81</v>
      </c>
      <c r="B1700" t="s">
        <v>1</v>
      </c>
      <c r="C1700" s="1">
        <v>45875.583333333336</v>
      </c>
      <c r="D1700">
        <v>1</v>
      </c>
    </row>
    <row r="1701" spans="1:4" x14ac:dyDescent="0.25">
      <c r="A1701" t="s">
        <v>88</v>
      </c>
      <c r="B1701" t="s">
        <v>20</v>
      </c>
      <c r="C1701" s="1">
        <v>45871.208333333336</v>
      </c>
      <c r="D1701">
        <v>46</v>
      </c>
    </row>
    <row r="1702" spans="1:4" x14ac:dyDescent="0.25">
      <c r="A1702" t="s">
        <v>23</v>
      </c>
      <c r="B1702" t="s">
        <v>1</v>
      </c>
      <c r="C1702" s="1">
        <v>45876.885416666664</v>
      </c>
      <c r="D1702">
        <v>1</v>
      </c>
    </row>
    <row r="1703" spans="1:4" x14ac:dyDescent="0.25">
      <c r="A1703" t="s">
        <v>7</v>
      </c>
      <c r="B1703" t="s">
        <v>2</v>
      </c>
      <c r="C1703" s="1">
        <v>45866.583333333336</v>
      </c>
      <c r="D1703">
        <v>1</v>
      </c>
    </row>
    <row r="1704" spans="1:4" x14ac:dyDescent="0.25">
      <c r="A1704" t="s">
        <v>7</v>
      </c>
      <c r="B1704" t="s">
        <v>19</v>
      </c>
      <c r="C1704" s="1">
        <v>45873.541666666664</v>
      </c>
      <c r="D1704">
        <v>138</v>
      </c>
    </row>
    <row r="1705" spans="1:4" x14ac:dyDescent="0.25">
      <c r="A1705" t="s">
        <v>12</v>
      </c>
      <c r="B1705" t="s">
        <v>8</v>
      </c>
      <c r="C1705" s="1">
        <v>45871.916666666664</v>
      </c>
      <c r="D1705">
        <v>1</v>
      </c>
    </row>
    <row r="1706" spans="1:4" x14ac:dyDescent="0.25">
      <c r="A1706" t="s">
        <v>11</v>
      </c>
      <c r="B1706" t="s">
        <v>8</v>
      </c>
      <c r="C1706" s="1">
        <v>45870.041666666664</v>
      </c>
      <c r="D1706">
        <v>7</v>
      </c>
    </row>
    <row r="1707" spans="1:4" x14ac:dyDescent="0.25">
      <c r="A1707" t="s">
        <v>14</v>
      </c>
      <c r="B1707" t="s">
        <v>57</v>
      </c>
      <c r="C1707" s="1">
        <v>45871.083333333336</v>
      </c>
      <c r="D1707">
        <v>1</v>
      </c>
    </row>
    <row r="1708" spans="1:4" x14ac:dyDescent="0.25">
      <c r="A1708" t="s">
        <v>23</v>
      </c>
      <c r="B1708" t="s">
        <v>19</v>
      </c>
      <c r="C1708" s="1">
        <v>45873.583333333336</v>
      </c>
      <c r="D1708">
        <v>7</v>
      </c>
    </row>
    <row r="1709" spans="1:4" x14ac:dyDescent="0.25">
      <c r="A1709" t="s">
        <v>23</v>
      </c>
      <c r="B1709" t="s">
        <v>2</v>
      </c>
      <c r="C1709" s="1">
        <v>45871.208333333336</v>
      </c>
      <c r="D1709">
        <v>4</v>
      </c>
    </row>
    <row r="1710" spans="1:4" x14ac:dyDescent="0.25">
      <c r="A1710" t="s">
        <v>9</v>
      </c>
      <c r="B1710" t="s">
        <v>39</v>
      </c>
      <c r="C1710" s="1">
        <v>45876.458333333336</v>
      </c>
      <c r="D1710">
        <v>1</v>
      </c>
    </row>
    <row r="1711" spans="1:4" x14ac:dyDescent="0.25">
      <c r="A1711" t="s">
        <v>83</v>
      </c>
      <c r="B1711" t="s">
        <v>19</v>
      </c>
      <c r="C1711" s="1">
        <v>45867.75</v>
      </c>
      <c r="D1711">
        <v>4</v>
      </c>
    </row>
    <row r="1712" spans="1:4" x14ac:dyDescent="0.25">
      <c r="A1712" t="s">
        <v>7</v>
      </c>
      <c r="B1712" t="s">
        <v>19</v>
      </c>
      <c r="C1712" s="1">
        <v>45873.604166666664</v>
      </c>
      <c r="D1712">
        <v>18</v>
      </c>
    </row>
    <row r="1713" spans="1:4" x14ac:dyDescent="0.25">
      <c r="A1713" t="s">
        <v>81</v>
      </c>
      <c r="B1713" t="s">
        <v>20</v>
      </c>
      <c r="C1713" s="1">
        <v>45873.666666666664</v>
      </c>
      <c r="D1713">
        <v>1</v>
      </c>
    </row>
    <row r="1714" spans="1:4" x14ac:dyDescent="0.25">
      <c r="A1714" t="s">
        <v>11</v>
      </c>
      <c r="B1714" t="s">
        <v>0</v>
      </c>
      <c r="C1714" s="1">
        <v>45847.729166666664</v>
      </c>
      <c r="D1714">
        <v>1</v>
      </c>
    </row>
    <row r="1715" spans="1:4" x14ac:dyDescent="0.25">
      <c r="A1715" t="s">
        <v>23</v>
      </c>
      <c r="B1715" t="s">
        <v>19</v>
      </c>
      <c r="C1715" s="1">
        <v>45871.75</v>
      </c>
      <c r="D1715">
        <v>7</v>
      </c>
    </row>
    <row r="1716" spans="1:4" x14ac:dyDescent="0.25">
      <c r="A1716" t="s">
        <v>79</v>
      </c>
      <c r="B1716" t="s">
        <v>80</v>
      </c>
      <c r="C1716" s="1">
        <v>45870.458333333336</v>
      </c>
      <c r="D1716">
        <v>37</v>
      </c>
    </row>
    <row r="1717" spans="1:4" x14ac:dyDescent="0.25">
      <c r="A1717" t="s">
        <v>83</v>
      </c>
      <c r="B1717" t="s">
        <v>8</v>
      </c>
      <c r="C1717" s="1">
        <v>45869.541666666664</v>
      </c>
      <c r="D1717">
        <v>1</v>
      </c>
    </row>
    <row r="1718" spans="1:4" x14ac:dyDescent="0.25">
      <c r="A1718" t="s">
        <v>9</v>
      </c>
      <c r="B1718" t="s">
        <v>1</v>
      </c>
      <c r="C1718" s="1">
        <v>45871.166666666664</v>
      </c>
      <c r="D1718">
        <v>25</v>
      </c>
    </row>
    <row r="1719" spans="1:4" x14ac:dyDescent="0.25">
      <c r="A1719" t="s">
        <v>7</v>
      </c>
      <c r="B1719" t="s">
        <v>2</v>
      </c>
      <c r="C1719" s="1">
        <v>45873.020833333336</v>
      </c>
      <c r="D1719">
        <v>1</v>
      </c>
    </row>
    <row r="1720" spans="1:4" x14ac:dyDescent="0.25">
      <c r="A1720" t="s">
        <v>7</v>
      </c>
      <c r="B1720" t="s">
        <v>20</v>
      </c>
      <c r="C1720" s="1">
        <v>45872.541666666664</v>
      </c>
      <c r="D1720">
        <v>13</v>
      </c>
    </row>
    <row r="1721" spans="1:4" x14ac:dyDescent="0.25">
      <c r="A1721" t="s">
        <v>81</v>
      </c>
      <c r="B1721" t="s">
        <v>1</v>
      </c>
      <c r="C1721" s="1">
        <v>45872.75</v>
      </c>
      <c r="D1721">
        <v>2</v>
      </c>
    </row>
    <row r="1722" spans="1:4" x14ac:dyDescent="0.25">
      <c r="A1722" t="s">
        <v>7</v>
      </c>
      <c r="B1722" t="s">
        <v>4</v>
      </c>
      <c r="C1722" s="1">
        <v>45870.458333333336</v>
      </c>
      <c r="D1722">
        <v>1040</v>
      </c>
    </row>
    <row r="1723" spans="1:4" x14ac:dyDescent="0.25">
      <c r="A1723" t="s">
        <v>79</v>
      </c>
      <c r="B1723" t="s">
        <v>84</v>
      </c>
      <c r="C1723" s="1">
        <v>45879.458333333336</v>
      </c>
      <c r="D1723">
        <v>288</v>
      </c>
    </row>
    <row r="1724" spans="1:4" x14ac:dyDescent="0.25">
      <c r="A1724" t="s">
        <v>81</v>
      </c>
      <c r="B1724" t="s">
        <v>19</v>
      </c>
      <c r="C1724" s="1">
        <v>45872.947916666664</v>
      </c>
      <c r="D1724">
        <v>6</v>
      </c>
    </row>
    <row r="1725" spans="1:4" x14ac:dyDescent="0.25">
      <c r="A1725" t="s">
        <v>7</v>
      </c>
      <c r="B1725" t="s">
        <v>1</v>
      </c>
      <c r="C1725" s="1">
        <v>45871.625</v>
      </c>
      <c r="D1725">
        <v>127</v>
      </c>
    </row>
    <row r="1726" spans="1:4" x14ac:dyDescent="0.25">
      <c r="A1726" t="s">
        <v>7</v>
      </c>
      <c r="B1726" t="s">
        <v>2</v>
      </c>
      <c r="C1726" s="1">
        <v>45876.166666666664</v>
      </c>
      <c r="D1726">
        <v>1</v>
      </c>
    </row>
    <row r="1727" spans="1:4" x14ac:dyDescent="0.25">
      <c r="A1727" t="s">
        <v>23</v>
      </c>
      <c r="B1727" t="s">
        <v>8</v>
      </c>
      <c r="C1727" s="1">
        <v>45873.625</v>
      </c>
      <c r="D1727">
        <v>44</v>
      </c>
    </row>
    <row r="1728" spans="1:4" x14ac:dyDescent="0.25">
      <c r="A1728" t="s">
        <v>7</v>
      </c>
      <c r="B1728" t="s">
        <v>0</v>
      </c>
      <c r="C1728" s="1">
        <v>45871.166666666664</v>
      </c>
      <c r="D1728">
        <v>437</v>
      </c>
    </row>
    <row r="1729" spans="1:4" x14ac:dyDescent="0.25">
      <c r="A1729" t="s">
        <v>10</v>
      </c>
      <c r="B1729" t="s">
        <v>20</v>
      </c>
      <c r="C1729" s="1">
        <v>45871.541666666664</v>
      </c>
      <c r="D1729">
        <v>39</v>
      </c>
    </row>
    <row r="1730" spans="1:4" x14ac:dyDescent="0.25">
      <c r="A1730" t="s">
        <v>23</v>
      </c>
      <c r="B1730" t="s">
        <v>57</v>
      </c>
      <c r="C1730" s="1">
        <v>45871.083333333336</v>
      </c>
      <c r="D1730">
        <v>5</v>
      </c>
    </row>
    <row r="1731" spans="1:4" x14ac:dyDescent="0.25">
      <c r="A1731" t="s">
        <v>79</v>
      </c>
      <c r="B1731" t="s">
        <v>84</v>
      </c>
      <c r="C1731" s="1">
        <v>45863.458333333336</v>
      </c>
      <c r="D1731">
        <v>780</v>
      </c>
    </row>
    <row r="1732" spans="1:4" x14ac:dyDescent="0.25">
      <c r="A1732" t="s">
        <v>9</v>
      </c>
      <c r="B1732" t="s">
        <v>39</v>
      </c>
      <c r="C1732" s="1">
        <v>45826.458333333336</v>
      </c>
      <c r="D1732">
        <v>3</v>
      </c>
    </row>
    <row r="1733" spans="1:4" x14ac:dyDescent="0.25">
      <c r="A1733" t="s">
        <v>7</v>
      </c>
      <c r="B1733" t="s">
        <v>20</v>
      </c>
      <c r="C1733" s="1">
        <v>45874.666666666664</v>
      </c>
      <c r="D1733">
        <v>1</v>
      </c>
    </row>
    <row r="1734" spans="1:4" x14ac:dyDescent="0.25">
      <c r="A1734" t="s">
        <v>12</v>
      </c>
      <c r="B1734" t="s">
        <v>20</v>
      </c>
      <c r="C1734" s="1">
        <v>45871.395833333336</v>
      </c>
      <c r="D1734">
        <v>1</v>
      </c>
    </row>
    <row r="1735" spans="1:4" x14ac:dyDescent="0.25">
      <c r="A1735" t="s">
        <v>7</v>
      </c>
      <c r="B1735" t="s">
        <v>2</v>
      </c>
      <c r="C1735" s="1">
        <v>45877.885416666664</v>
      </c>
      <c r="D1735">
        <v>1</v>
      </c>
    </row>
    <row r="1736" spans="1:4" x14ac:dyDescent="0.25">
      <c r="A1736" t="s">
        <v>23</v>
      </c>
      <c r="B1736" t="s">
        <v>19</v>
      </c>
      <c r="C1736" s="1">
        <v>45876.458333333336</v>
      </c>
      <c r="D1736">
        <v>5</v>
      </c>
    </row>
    <row r="1737" spans="1:4" x14ac:dyDescent="0.25">
      <c r="A1737" t="s">
        <v>23</v>
      </c>
      <c r="B1737" t="s">
        <v>8</v>
      </c>
      <c r="C1737" s="1">
        <v>45876.458333333336</v>
      </c>
      <c r="D1737">
        <v>4</v>
      </c>
    </row>
    <row r="1738" spans="1:4" x14ac:dyDescent="0.25">
      <c r="A1738" t="s">
        <v>81</v>
      </c>
      <c r="B1738" t="s">
        <v>57</v>
      </c>
      <c r="C1738" s="1">
        <v>45871.583333333336</v>
      </c>
      <c r="D1738">
        <v>1</v>
      </c>
    </row>
    <row r="1739" spans="1:4" x14ac:dyDescent="0.25">
      <c r="A1739" t="s">
        <v>7</v>
      </c>
      <c r="B1739" t="s">
        <v>57</v>
      </c>
      <c r="C1739" s="1">
        <v>45875.166666666664</v>
      </c>
      <c r="D1739">
        <v>1</v>
      </c>
    </row>
    <row r="1740" spans="1:4" x14ac:dyDescent="0.25">
      <c r="A1740" t="s">
        <v>10</v>
      </c>
      <c r="B1740" t="s">
        <v>1</v>
      </c>
      <c r="C1740" s="1">
        <v>45871.885416666664</v>
      </c>
      <c r="D1740">
        <v>8</v>
      </c>
    </row>
    <row r="1741" spans="1:4" x14ac:dyDescent="0.25">
      <c r="A1741" t="s">
        <v>7</v>
      </c>
      <c r="B1741" t="s">
        <v>2</v>
      </c>
      <c r="C1741" s="1">
        <v>45871.604166666664</v>
      </c>
      <c r="D1741">
        <v>588</v>
      </c>
    </row>
    <row r="1742" spans="1:4" x14ac:dyDescent="0.25">
      <c r="A1742" t="s">
        <v>81</v>
      </c>
      <c r="B1742" t="s">
        <v>20</v>
      </c>
      <c r="C1742" s="1">
        <v>45871.083333333336</v>
      </c>
      <c r="D1742">
        <v>2</v>
      </c>
    </row>
    <row r="1743" spans="1:4" x14ac:dyDescent="0.25">
      <c r="A1743" t="s">
        <v>7</v>
      </c>
      <c r="B1743" t="s">
        <v>0</v>
      </c>
      <c r="C1743" s="1">
        <v>45877.75</v>
      </c>
      <c r="D1743">
        <v>1</v>
      </c>
    </row>
    <row r="1744" spans="1:4" x14ac:dyDescent="0.25">
      <c r="A1744" t="s">
        <v>23</v>
      </c>
      <c r="B1744" t="s">
        <v>19</v>
      </c>
      <c r="C1744" s="1">
        <v>45873.625</v>
      </c>
      <c r="D1744">
        <v>43</v>
      </c>
    </row>
    <row r="1745" spans="1:4" x14ac:dyDescent="0.25">
      <c r="A1745" t="s">
        <v>13</v>
      </c>
      <c r="B1745" t="s">
        <v>4</v>
      </c>
      <c r="C1745" s="1">
        <v>45873.541666666664</v>
      </c>
      <c r="D1745">
        <v>27</v>
      </c>
    </row>
    <row r="1746" spans="1:4" x14ac:dyDescent="0.25">
      <c r="A1746" t="s">
        <v>14</v>
      </c>
      <c r="B1746" t="s">
        <v>51</v>
      </c>
      <c r="C1746" s="1">
        <v>45873.458333333336</v>
      </c>
      <c r="D1746">
        <v>5</v>
      </c>
    </row>
    <row r="1747" spans="1:4" x14ac:dyDescent="0.25">
      <c r="A1747" t="s">
        <v>81</v>
      </c>
      <c r="B1747" t="s">
        <v>8</v>
      </c>
      <c r="C1747" s="1">
        <v>45872.947916666664</v>
      </c>
      <c r="D1747">
        <v>9</v>
      </c>
    </row>
    <row r="1748" spans="1:4" x14ac:dyDescent="0.25">
      <c r="A1748" t="s">
        <v>10</v>
      </c>
      <c r="B1748" t="s">
        <v>2</v>
      </c>
      <c r="C1748" s="1">
        <v>45871.166666666664</v>
      </c>
      <c r="D1748">
        <v>80</v>
      </c>
    </row>
    <row r="1749" spans="1:4" x14ac:dyDescent="0.25">
      <c r="A1749" t="s">
        <v>88</v>
      </c>
      <c r="B1749" t="s">
        <v>1</v>
      </c>
      <c r="C1749" s="1">
        <v>45871.1875</v>
      </c>
      <c r="D1749">
        <v>1</v>
      </c>
    </row>
    <row r="1750" spans="1:4" x14ac:dyDescent="0.25">
      <c r="A1750" t="s">
        <v>23</v>
      </c>
      <c r="B1750" t="s">
        <v>20</v>
      </c>
      <c r="C1750" s="1">
        <v>45872.916666666664</v>
      </c>
      <c r="D1750">
        <v>1</v>
      </c>
    </row>
    <row r="1751" spans="1:4" x14ac:dyDescent="0.25">
      <c r="A1751" t="s">
        <v>7</v>
      </c>
      <c r="B1751" t="s">
        <v>0</v>
      </c>
      <c r="C1751" s="1">
        <v>45873.1875</v>
      </c>
      <c r="D1751">
        <v>6</v>
      </c>
    </row>
    <row r="1752" spans="1:4" x14ac:dyDescent="0.25">
      <c r="A1752" t="s">
        <v>7</v>
      </c>
      <c r="B1752" t="s">
        <v>57</v>
      </c>
      <c r="C1752" s="1">
        <v>45872.729166666664</v>
      </c>
      <c r="D1752">
        <v>4</v>
      </c>
    </row>
    <row r="1753" spans="1:4" x14ac:dyDescent="0.25">
      <c r="A1753" t="s">
        <v>23</v>
      </c>
      <c r="B1753" t="s">
        <v>8</v>
      </c>
      <c r="C1753" s="1">
        <v>45871.75</v>
      </c>
      <c r="D1753">
        <v>10</v>
      </c>
    </row>
    <row r="1754" spans="1:4" x14ac:dyDescent="0.25">
      <c r="A1754" t="s">
        <v>10</v>
      </c>
      <c r="B1754" t="s">
        <v>1</v>
      </c>
      <c r="C1754" s="1">
        <v>45871.083333333336</v>
      </c>
      <c r="D1754">
        <v>26</v>
      </c>
    </row>
    <row r="1755" spans="1:4" x14ac:dyDescent="0.25">
      <c r="A1755" t="s">
        <v>10</v>
      </c>
      <c r="B1755" t="s">
        <v>294</v>
      </c>
      <c r="C1755" s="1">
        <v>45861.458333333336</v>
      </c>
      <c r="D1755">
        <v>17</v>
      </c>
    </row>
    <row r="1756" spans="1:4" x14ac:dyDescent="0.25">
      <c r="A1756" t="s">
        <v>23</v>
      </c>
      <c r="B1756" t="s">
        <v>20</v>
      </c>
      <c r="C1756" s="1">
        <v>45872.208333333336</v>
      </c>
      <c r="D1756">
        <v>16</v>
      </c>
    </row>
    <row r="1757" spans="1:4" x14ac:dyDescent="0.25">
      <c r="A1757" t="s">
        <v>11</v>
      </c>
      <c r="B1757" t="s">
        <v>8</v>
      </c>
      <c r="C1757" s="1">
        <v>45868.145833333336</v>
      </c>
      <c r="D1757">
        <v>5</v>
      </c>
    </row>
    <row r="1758" spans="1:4" x14ac:dyDescent="0.25">
      <c r="A1758" t="s">
        <v>7</v>
      </c>
      <c r="B1758" t="s">
        <v>1</v>
      </c>
      <c r="C1758" s="1">
        <v>45876.583333333336</v>
      </c>
      <c r="D1758">
        <v>3</v>
      </c>
    </row>
    <row r="1759" spans="1:4" x14ac:dyDescent="0.25">
      <c r="A1759" t="s">
        <v>83</v>
      </c>
      <c r="B1759" t="s">
        <v>19</v>
      </c>
      <c r="C1759" s="1">
        <v>45868.125</v>
      </c>
      <c r="D1759">
        <v>2</v>
      </c>
    </row>
    <row r="1760" spans="1:4" x14ac:dyDescent="0.25">
      <c r="A1760" t="s">
        <v>7</v>
      </c>
      <c r="B1760" t="s">
        <v>0</v>
      </c>
      <c r="C1760" s="1">
        <v>45876.125</v>
      </c>
      <c r="D1760">
        <v>3</v>
      </c>
    </row>
    <row r="1761" spans="1:4" x14ac:dyDescent="0.25">
      <c r="A1761" t="s">
        <v>11</v>
      </c>
      <c r="B1761" t="s">
        <v>92</v>
      </c>
      <c r="C1761" s="1">
        <v>45873.458333333336</v>
      </c>
      <c r="D1761">
        <v>3</v>
      </c>
    </row>
    <row r="1762" spans="1:4" x14ac:dyDescent="0.25">
      <c r="A1762" t="s">
        <v>23</v>
      </c>
      <c r="B1762" t="s">
        <v>8</v>
      </c>
      <c r="C1762" s="1">
        <v>45874.083333333336</v>
      </c>
      <c r="D1762">
        <v>2</v>
      </c>
    </row>
    <row r="1763" spans="1:4" x14ac:dyDescent="0.25">
      <c r="A1763" t="s">
        <v>81</v>
      </c>
      <c r="B1763" t="s">
        <v>0</v>
      </c>
      <c r="C1763" s="1">
        <v>45872.541666666664</v>
      </c>
      <c r="D1763">
        <v>8</v>
      </c>
    </row>
    <row r="1764" spans="1:4" x14ac:dyDescent="0.25">
      <c r="A1764" t="s">
        <v>7</v>
      </c>
      <c r="B1764" t="s">
        <v>39</v>
      </c>
      <c r="C1764" s="1">
        <v>45870.458333333336</v>
      </c>
      <c r="D1764">
        <v>185</v>
      </c>
    </row>
    <row r="1765" spans="1:4" x14ac:dyDescent="0.25">
      <c r="A1765" t="s">
        <v>23</v>
      </c>
      <c r="B1765" t="s">
        <v>19</v>
      </c>
      <c r="C1765" s="1">
        <v>45871.5</v>
      </c>
      <c r="D1765">
        <v>1</v>
      </c>
    </row>
    <row r="1766" spans="1:4" x14ac:dyDescent="0.25">
      <c r="A1766" t="s">
        <v>9</v>
      </c>
      <c r="B1766" t="s">
        <v>57</v>
      </c>
      <c r="C1766" s="1">
        <v>45872.729166666664</v>
      </c>
      <c r="D1766">
        <v>1</v>
      </c>
    </row>
    <row r="1767" spans="1:4" x14ac:dyDescent="0.25">
      <c r="A1767" t="s">
        <v>7</v>
      </c>
      <c r="B1767" t="s">
        <v>2</v>
      </c>
      <c r="C1767" s="1">
        <v>45879.916666666664</v>
      </c>
      <c r="D1767">
        <v>1</v>
      </c>
    </row>
    <row r="1768" spans="1:4" x14ac:dyDescent="0.25">
      <c r="A1768" t="s">
        <v>15</v>
      </c>
      <c r="B1768" t="s">
        <v>8</v>
      </c>
      <c r="C1768" s="1">
        <v>45871.166666666664</v>
      </c>
      <c r="D1768">
        <v>6</v>
      </c>
    </row>
    <row r="1769" spans="1:4" x14ac:dyDescent="0.25">
      <c r="A1769" t="s">
        <v>10</v>
      </c>
      <c r="B1769" t="s">
        <v>0</v>
      </c>
      <c r="C1769" s="1">
        <v>45871.125</v>
      </c>
      <c r="D1769">
        <v>814</v>
      </c>
    </row>
    <row r="1770" spans="1:4" x14ac:dyDescent="0.25">
      <c r="A1770" t="s">
        <v>7</v>
      </c>
      <c r="B1770" t="s">
        <v>19</v>
      </c>
      <c r="C1770" s="1">
        <v>45875.625</v>
      </c>
      <c r="D1770">
        <v>236</v>
      </c>
    </row>
    <row r="1771" spans="1:4" x14ac:dyDescent="0.25">
      <c r="A1771" t="s">
        <v>7</v>
      </c>
      <c r="B1771" t="s">
        <v>2</v>
      </c>
      <c r="C1771" s="1">
        <v>45871.208333333336</v>
      </c>
      <c r="D1771">
        <v>1533</v>
      </c>
    </row>
    <row r="1772" spans="1:4" x14ac:dyDescent="0.25">
      <c r="A1772" t="s">
        <v>81</v>
      </c>
      <c r="B1772" t="s">
        <v>8</v>
      </c>
      <c r="C1772" s="1">
        <v>45872.145833333336</v>
      </c>
      <c r="D1772">
        <v>210</v>
      </c>
    </row>
    <row r="1773" spans="1:4" x14ac:dyDescent="0.25">
      <c r="A1773" t="s">
        <v>12</v>
      </c>
      <c r="B1773" t="s">
        <v>39</v>
      </c>
      <c r="C1773" s="1">
        <v>45864.458333333336</v>
      </c>
      <c r="D1773">
        <v>1</v>
      </c>
    </row>
    <row r="1774" spans="1:4" x14ac:dyDescent="0.25">
      <c r="A1774" t="s">
        <v>81</v>
      </c>
      <c r="B1774" t="s">
        <v>1</v>
      </c>
      <c r="C1774" s="1">
        <v>45873.208333333336</v>
      </c>
      <c r="D1774">
        <v>1</v>
      </c>
    </row>
    <row r="1775" spans="1:4" x14ac:dyDescent="0.25">
      <c r="A1775" t="s">
        <v>10</v>
      </c>
      <c r="B1775" t="s">
        <v>39</v>
      </c>
      <c r="C1775" s="1">
        <v>45869.458333333336</v>
      </c>
      <c r="D1775">
        <v>10</v>
      </c>
    </row>
    <row r="1776" spans="1:4" x14ac:dyDescent="0.25">
      <c r="A1776" t="s">
        <v>14</v>
      </c>
      <c r="B1776" t="s">
        <v>51</v>
      </c>
      <c r="C1776" s="1">
        <v>45857.458333333336</v>
      </c>
      <c r="D1776">
        <v>2</v>
      </c>
    </row>
    <row r="1777" spans="1:4" x14ac:dyDescent="0.25">
      <c r="A1777" t="s">
        <v>10</v>
      </c>
      <c r="B1777" t="s">
        <v>51</v>
      </c>
      <c r="C1777" s="1">
        <v>45872.458333333336</v>
      </c>
      <c r="D1777">
        <v>20</v>
      </c>
    </row>
    <row r="1778" spans="1:4" x14ac:dyDescent="0.25">
      <c r="A1778" t="s">
        <v>9</v>
      </c>
      <c r="B1778" t="s">
        <v>20</v>
      </c>
      <c r="C1778" s="1">
        <v>45871.625</v>
      </c>
      <c r="D1778">
        <v>45</v>
      </c>
    </row>
    <row r="1779" spans="1:4" x14ac:dyDescent="0.25">
      <c r="A1779" t="s">
        <v>7</v>
      </c>
      <c r="B1779" t="s">
        <v>8</v>
      </c>
      <c r="C1779" s="1">
        <v>45874.166666666664</v>
      </c>
      <c r="D1779">
        <v>26</v>
      </c>
    </row>
    <row r="1780" spans="1:4" x14ac:dyDescent="0.25">
      <c r="A1780" t="s">
        <v>7</v>
      </c>
      <c r="B1780" t="s">
        <v>2</v>
      </c>
      <c r="C1780" s="1">
        <v>45871.145833333336</v>
      </c>
      <c r="D1780">
        <v>1079</v>
      </c>
    </row>
    <row r="1781" spans="1:4" x14ac:dyDescent="0.25">
      <c r="A1781" t="s">
        <v>14</v>
      </c>
      <c r="B1781" t="s">
        <v>20</v>
      </c>
      <c r="C1781" s="1">
        <v>45871.083333333336</v>
      </c>
      <c r="D1781">
        <v>4</v>
      </c>
    </row>
    <row r="1782" spans="1:4" x14ac:dyDescent="0.25">
      <c r="A1782" t="s">
        <v>23</v>
      </c>
      <c r="B1782" t="s">
        <v>57</v>
      </c>
      <c r="C1782" s="1">
        <v>45873.604166666664</v>
      </c>
      <c r="D1782">
        <v>1</v>
      </c>
    </row>
    <row r="1783" spans="1:4" x14ac:dyDescent="0.25">
      <c r="A1783" t="s">
        <v>81</v>
      </c>
      <c r="B1783" t="s">
        <v>57</v>
      </c>
      <c r="C1783" s="1">
        <v>45872.1875</v>
      </c>
      <c r="D1783">
        <v>4</v>
      </c>
    </row>
    <row r="1784" spans="1:4" x14ac:dyDescent="0.25">
      <c r="A1784" t="s">
        <v>23</v>
      </c>
      <c r="B1784" t="s">
        <v>19</v>
      </c>
      <c r="C1784" s="1">
        <v>45874.083333333336</v>
      </c>
      <c r="D1784">
        <v>3</v>
      </c>
    </row>
    <row r="1785" spans="1:4" x14ac:dyDescent="0.25">
      <c r="A1785" t="s">
        <v>7</v>
      </c>
      <c r="B1785" t="s">
        <v>2</v>
      </c>
      <c r="C1785" s="1">
        <v>45873.729166666664</v>
      </c>
      <c r="D1785">
        <v>4</v>
      </c>
    </row>
    <row r="1786" spans="1:4" x14ac:dyDescent="0.25">
      <c r="A1786" t="s">
        <v>23</v>
      </c>
      <c r="B1786" t="s">
        <v>20</v>
      </c>
      <c r="C1786" s="1">
        <v>45873.166666666664</v>
      </c>
      <c r="D1786">
        <v>1</v>
      </c>
    </row>
    <row r="1787" spans="1:4" x14ac:dyDescent="0.25">
      <c r="A1787" t="s">
        <v>7</v>
      </c>
      <c r="B1787" t="s">
        <v>8</v>
      </c>
      <c r="C1787" s="1">
        <v>45873.1875</v>
      </c>
      <c r="D1787">
        <v>31</v>
      </c>
    </row>
    <row r="1788" spans="1:4" x14ac:dyDescent="0.25">
      <c r="A1788" t="s">
        <v>23</v>
      </c>
      <c r="B1788" t="s">
        <v>0</v>
      </c>
      <c r="C1788" s="1">
        <v>45873.458333333336</v>
      </c>
      <c r="D1788">
        <v>1</v>
      </c>
    </row>
    <row r="1789" spans="1:4" x14ac:dyDescent="0.25">
      <c r="A1789" t="s">
        <v>88</v>
      </c>
      <c r="B1789" t="s">
        <v>1</v>
      </c>
      <c r="C1789" s="1">
        <v>45871.083333333336</v>
      </c>
      <c r="D1789">
        <v>6</v>
      </c>
    </row>
    <row r="1790" spans="1:4" x14ac:dyDescent="0.25">
      <c r="A1790" t="s">
        <v>14</v>
      </c>
      <c r="B1790" t="s">
        <v>2</v>
      </c>
      <c r="C1790" s="1">
        <v>45871.145833333336</v>
      </c>
      <c r="D1790">
        <v>2</v>
      </c>
    </row>
    <row r="1791" spans="1:4" x14ac:dyDescent="0.25">
      <c r="A1791" t="s">
        <v>15</v>
      </c>
      <c r="B1791" t="s">
        <v>1</v>
      </c>
      <c r="C1791" s="1">
        <v>45871.145833333336</v>
      </c>
      <c r="D1791">
        <v>3</v>
      </c>
    </row>
    <row r="1792" spans="1:4" x14ac:dyDescent="0.25">
      <c r="A1792" t="s">
        <v>15</v>
      </c>
      <c r="B1792" t="s">
        <v>20</v>
      </c>
      <c r="C1792" s="1">
        <v>45871.625</v>
      </c>
      <c r="D1792">
        <v>1</v>
      </c>
    </row>
    <row r="1793" spans="1:4" x14ac:dyDescent="0.25">
      <c r="A1793" t="s">
        <v>7</v>
      </c>
      <c r="B1793" t="s">
        <v>19</v>
      </c>
      <c r="C1793" s="1">
        <v>45871.166666666664</v>
      </c>
      <c r="D1793">
        <v>588</v>
      </c>
    </row>
    <row r="1794" spans="1:4" x14ac:dyDescent="0.25">
      <c r="A1794" t="s">
        <v>88</v>
      </c>
      <c r="B1794" t="s">
        <v>20</v>
      </c>
      <c r="C1794" s="1">
        <v>45871.145833333336</v>
      </c>
      <c r="D1794">
        <v>48</v>
      </c>
    </row>
    <row r="1795" spans="1:4" x14ac:dyDescent="0.25">
      <c r="A1795" t="s">
        <v>81</v>
      </c>
      <c r="B1795" t="s">
        <v>1</v>
      </c>
      <c r="C1795" s="1">
        <v>45872.947916666664</v>
      </c>
      <c r="D1795">
        <v>4</v>
      </c>
    </row>
    <row r="1796" spans="1:4" x14ac:dyDescent="0.25">
      <c r="A1796" t="s">
        <v>81</v>
      </c>
      <c r="B1796" t="s">
        <v>8</v>
      </c>
      <c r="C1796" s="1">
        <v>45872.75</v>
      </c>
      <c r="D1796">
        <v>6</v>
      </c>
    </row>
    <row r="1797" spans="1:4" x14ac:dyDescent="0.25">
      <c r="A1797" t="s">
        <v>7</v>
      </c>
      <c r="B1797" t="s">
        <v>1</v>
      </c>
      <c r="C1797" s="1">
        <v>45872.125</v>
      </c>
      <c r="D1797">
        <v>184</v>
      </c>
    </row>
    <row r="1798" spans="1:4" x14ac:dyDescent="0.25">
      <c r="A1798" t="s">
        <v>10</v>
      </c>
      <c r="B1798" t="s">
        <v>20</v>
      </c>
      <c r="C1798" s="1">
        <v>45871.885416666664</v>
      </c>
      <c r="D1798">
        <v>31</v>
      </c>
    </row>
    <row r="1799" spans="1:4" x14ac:dyDescent="0.25">
      <c r="A1799" t="s">
        <v>7</v>
      </c>
      <c r="B1799" t="s">
        <v>0</v>
      </c>
      <c r="C1799" s="1">
        <v>45871.666666666664</v>
      </c>
      <c r="D1799">
        <v>310</v>
      </c>
    </row>
    <row r="1800" spans="1:4" x14ac:dyDescent="0.25">
      <c r="A1800" t="s">
        <v>81</v>
      </c>
      <c r="B1800" t="s">
        <v>1</v>
      </c>
      <c r="C1800" s="1">
        <v>45873.666666666664</v>
      </c>
      <c r="D1800">
        <v>2</v>
      </c>
    </row>
    <row r="1801" spans="1:4" x14ac:dyDescent="0.25">
      <c r="A1801" t="s">
        <v>10</v>
      </c>
      <c r="B1801" t="s">
        <v>41</v>
      </c>
      <c r="C1801" s="1">
        <v>45864.458333333336</v>
      </c>
      <c r="D1801">
        <v>9</v>
      </c>
    </row>
    <row r="1802" spans="1:4" x14ac:dyDescent="0.25">
      <c r="A1802" t="s">
        <v>23</v>
      </c>
      <c r="B1802" t="s">
        <v>1</v>
      </c>
      <c r="C1802" s="1">
        <v>45876.75</v>
      </c>
      <c r="D1802">
        <v>1</v>
      </c>
    </row>
    <row r="1803" spans="1:4" x14ac:dyDescent="0.25">
      <c r="A1803" t="s">
        <v>7</v>
      </c>
      <c r="B1803" t="s">
        <v>2</v>
      </c>
      <c r="C1803" s="1">
        <v>45873.541666666664</v>
      </c>
      <c r="D1803">
        <v>6</v>
      </c>
    </row>
    <row r="1804" spans="1:4" x14ac:dyDescent="0.25">
      <c r="A1804" t="s">
        <v>23</v>
      </c>
      <c r="B1804" t="s">
        <v>2</v>
      </c>
      <c r="C1804" s="1">
        <v>45873.1875</v>
      </c>
      <c r="D1804">
        <v>2</v>
      </c>
    </row>
    <row r="1805" spans="1:4" x14ac:dyDescent="0.25">
      <c r="A1805" t="s">
        <v>7</v>
      </c>
      <c r="B1805" t="s">
        <v>19</v>
      </c>
      <c r="C1805" s="1">
        <v>45880.583333333336</v>
      </c>
      <c r="D1805">
        <v>23</v>
      </c>
    </row>
    <row r="1806" spans="1:4" x14ac:dyDescent="0.25">
      <c r="A1806" t="s">
        <v>9</v>
      </c>
      <c r="B1806" t="s">
        <v>19</v>
      </c>
      <c r="C1806" s="1">
        <v>45871.125</v>
      </c>
      <c r="D1806">
        <v>444</v>
      </c>
    </row>
    <row r="1807" spans="1:4" x14ac:dyDescent="0.25">
      <c r="A1807" t="s">
        <v>23</v>
      </c>
      <c r="B1807" t="s">
        <v>1</v>
      </c>
      <c r="C1807" s="1">
        <v>45872.458333333336</v>
      </c>
      <c r="D1807">
        <v>1</v>
      </c>
    </row>
    <row r="1808" spans="1:4" x14ac:dyDescent="0.25">
      <c r="A1808" t="s">
        <v>7</v>
      </c>
      <c r="B1808" t="s">
        <v>2</v>
      </c>
      <c r="C1808" s="1">
        <v>45871.395833333336</v>
      </c>
      <c r="D1808">
        <v>8</v>
      </c>
    </row>
    <row r="1809" spans="1:4" x14ac:dyDescent="0.25">
      <c r="A1809" t="s">
        <v>7</v>
      </c>
      <c r="B1809" t="s">
        <v>42</v>
      </c>
      <c r="C1809" s="1">
        <v>45883.458333333336</v>
      </c>
      <c r="D1809">
        <v>127</v>
      </c>
    </row>
    <row r="1810" spans="1:4" x14ac:dyDescent="0.25">
      <c r="A1810" t="s">
        <v>7</v>
      </c>
      <c r="B1810" t="s">
        <v>85</v>
      </c>
      <c r="C1810" s="1">
        <v>45871.208333333336</v>
      </c>
      <c r="D1810">
        <v>14</v>
      </c>
    </row>
    <row r="1811" spans="1:4" x14ac:dyDescent="0.25">
      <c r="A1811" t="s">
        <v>87</v>
      </c>
      <c r="B1811" t="s">
        <v>41</v>
      </c>
      <c r="C1811" s="1">
        <v>45852.458333333336</v>
      </c>
      <c r="D1811">
        <v>1</v>
      </c>
    </row>
    <row r="1812" spans="1:4" x14ac:dyDescent="0.25">
      <c r="A1812" t="s">
        <v>81</v>
      </c>
      <c r="B1812" t="s">
        <v>1</v>
      </c>
      <c r="C1812" s="1">
        <v>45871.125</v>
      </c>
      <c r="D1812">
        <v>18</v>
      </c>
    </row>
    <row r="1813" spans="1:4" x14ac:dyDescent="0.25">
      <c r="A1813" t="s">
        <v>7</v>
      </c>
      <c r="B1813" t="s">
        <v>20</v>
      </c>
      <c r="C1813" s="1">
        <v>45872.729166666664</v>
      </c>
      <c r="D1813">
        <v>26</v>
      </c>
    </row>
    <row r="1814" spans="1:4" x14ac:dyDescent="0.25">
      <c r="A1814" t="s">
        <v>7</v>
      </c>
      <c r="B1814" t="s">
        <v>1</v>
      </c>
      <c r="C1814" s="1">
        <v>45873.541666666664</v>
      </c>
      <c r="D1814">
        <v>8</v>
      </c>
    </row>
    <row r="1815" spans="1:4" x14ac:dyDescent="0.25">
      <c r="A1815" t="s">
        <v>9</v>
      </c>
      <c r="B1815" t="s">
        <v>20</v>
      </c>
      <c r="C1815" s="1">
        <v>45871.885416666664</v>
      </c>
      <c r="D1815">
        <v>49</v>
      </c>
    </row>
    <row r="1816" spans="1:4" x14ac:dyDescent="0.25">
      <c r="A1816" t="s">
        <v>77</v>
      </c>
      <c r="B1816" t="s">
        <v>1</v>
      </c>
      <c r="C1816" s="1">
        <v>45873.458333333336</v>
      </c>
      <c r="D1816">
        <v>1</v>
      </c>
    </row>
    <row r="1817" spans="1:4" x14ac:dyDescent="0.25">
      <c r="A1817" t="s">
        <v>10</v>
      </c>
      <c r="B1817" t="s">
        <v>53</v>
      </c>
      <c r="C1817" s="1">
        <v>45871.458333333336</v>
      </c>
      <c r="D1817">
        <v>50</v>
      </c>
    </row>
    <row r="1818" spans="1:4" x14ac:dyDescent="0.25">
      <c r="A1818" t="s">
        <v>7</v>
      </c>
      <c r="B1818" t="s">
        <v>8</v>
      </c>
      <c r="C1818" s="1">
        <v>45873.916666666664</v>
      </c>
      <c r="D1818">
        <v>5</v>
      </c>
    </row>
    <row r="1819" spans="1:4" x14ac:dyDescent="0.25">
      <c r="A1819" t="s">
        <v>23</v>
      </c>
      <c r="B1819" t="s">
        <v>2</v>
      </c>
      <c r="C1819" s="1">
        <v>45874.166666666664</v>
      </c>
      <c r="D1819">
        <v>2</v>
      </c>
    </row>
    <row r="1820" spans="1:4" x14ac:dyDescent="0.25">
      <c r="A1820" t="s">
        <v>10</v>
      </c>
      <c r="B1820" t="s">
        <v>53</v>
      </c>
      <c r="C1820" s="1">
        <v>45855.458333333336</v>
      </c>
      <c r="D1820">
        <v>6</v>
      </c>
    </row>
    <row r="1821" spans="1:4" x14ac:dyDescent="0.25">
      <c r="A1821" t="s">
        <v>7</v>
      </c>
      <c r="B1821" t="s">
        <v>8</v>
      </c>
      <c r="C1821" s="1">
        <v>45875.625</v>
      </c>
      <c r="D1821">
        <v>297</v>
      </c>
    </row>
    <row r="1822" spans="1:4" x14ac:dyDescent="0.25">
      <c r="A1822" t="s">
        <v>7</v>
      </c>
      <c r="B1822" t="s">
        <v>20</v>
      </c>
      <c r="C1822" s="1">
        <v>45876.583333333336</v>
      </c>
      <c r="D1822">
        <v>3</v>
      </c>
    </row>
    <row r="1823" spans="1:4" x14ac:dyDescent="0.25">
      <c r="A1823" t="s">
        <v>83</v>
      </c>
      <c r="B1823" t="s">
        <v>19</v>
      </c>
      <c r="C1823" s="1">
        <v>45867.625</v>
      </c>
      <c r="D1823">
        <v>3</v>
      </c>
    </row>
    <row r="1824" spans="1:4" x14ac:dyDescent="0.25">
      <c r="A1824" t="s">
        <v>11</v>
      </c>
      <c r="B1824" t="s">
        <v>19</v>
      </c>
      <c r="C1824" s="1">
        <v>45867.729166666664</v>
      </c>
      <c r="D1824">
        <v>8</v>
      </c>
    </row>
    <row r="1825" spans="1:4" x14ac:dyDescent="0.25">
      <c r="A1825" t="s">
        <v>7</v>
      </c>
      <c r="B1825" t="s">
        <v>0</v>
      </c>
      <c r="C1825" s="1">
        <v>45875.625</v>
      </c>
      <c r="D1825">
        <v>3</v>
      </c>
    </row>
    <row r="1826" spans="1:4" x14ac:dyDescent="0.25">
      <c r="A1826" t="s">
        <v>7</v>
      </c>
      <c r="B1826" t="s">
        <v>85</v>
      </c>
      <c r="C1826" s="1">
        <v>45873.541666666664</v>
      </c>
      <c r="D1826">
        <v>9</v>
      </c>
    </row>
    <row r="1827" spans="1:4" x14ac:dyDescent="0.25">
      <c r="A1827" t="s">
        <v>14</v>
      </c>
      <c r="B1827" t="s">
        <v>41</v>
      </c>
      <c r="C1827" s="1">
        <v>45874.458333333336</v>
      </c>
      <c r="D1827">
        <v>7</v>
      </c>
    </row>
    <row r="1828" spans="1:4" x14ac:dyDescent="0.25">
      <c r="A1828" t="s">
        <v>83</v>
      </c>
      <c r="B1828" t="s">
        <v>19</v>
      </c>
      <c r="C1828" s="1">
        <v>45867.916666666664</v>
      </c>
      <c r="D1828">
        <v>1</v>
      </c>
    </row>
    <row r="1829" spans="1:4" x14ac:dyDescent="0.25">
      <c r="A1829" t="s">
        <v>9</v>
      </c>
      <c r="B1829" t="s">
        <v>1</v>
      </c>
      <c r="C1829" s="1">
        <v>45871.0625</v>
      </c>
      <c r="D1829">
        <v>1</v>
      </c>
    </row>
    <row r="1830" spans="1:4" x14ac:dyDescent="0.25">
      <c r="A1830" t="s">
        <v>9</v>
      </c>
      <c r="B1830" t="s">
        <v>8</v>
      </c>
      <c r="C1830" s="1">
        <v>45871.125</v>
      </c>
      <c r="D1830">
        <v>264</v>
      </c>
    </row>
    <row r="1831" spans="1:4" x14ac:dyDescent="0.25">
      <c r="A1831" t="s">
        <v>78</v>
      </c>
      <c r="B1831" t="s">
        <v>4</v>
      </c>
      <c r="C1831" s="1">
        <v>45873.458333333336</v>
      </c>
      <c r="D1831">
        <v>65</v>
      </c>
    </row>
    <row r="1832" spans="1:4" x14ac:dyDescent="0.25">
      <c r="A1832" t="s">
        <v>23</v>
      </c>
      <c r="B1832" t="s">
        <v>2</v>
      </c>
      <c r="C1832" s="1">
        <v>45875.625</v>
      </c>
      <c r="D1832">
        <v>7</v>
      </c>
    </row>
    <row r="1833" spans="1:4" x14ac:dyDescent="0.25">
      <c r="A1833" t="s">
        <v>7</v>
      </c>
      <c r="B1833" t="s">
        <v>8</v>
      </c>
      <c r="C1833" s="1">
        <v>45871.083333333336</v>
      </c>
      <c r="D1833">
        <v>289</v>
      </c>
    </row>
    <row r="1834" spans="1:4" x14ac:dyDescent="0.25">
      <c r="A1834" t="s">
        <v>88</v>
      </c>
      <c r="B1834" t="s">
        <v>0</v>
      </c>
      <c r="C1834" s="1">
        <v>45870.729166666664</v>
      </c>
      <c r="D1834">
        <v>1</v>
      </c>
    </row>
    <row r="1835" spans="1:4" x14ac:dyDescent="0.25">
      <c r="A1835" t="s">
        <v>7</v>
      </c>
      <c r="B1835" t="s">
        <v>57</v>
      </c>
      <c r="C1835" s="1">
        <v>45872.541666666664</v>
      </c>
      <c r="D1835">
        <v>5</v>
      </c>
    </row>
    <row r="1836" spans="1:4" x14ac:dyDescent="0.25">
      <c r="A1836" t="s">
        <v>77</v>
      </c>
      <c r="B1836" t="s">
        <v>20</v>
      </c>
      <c r="C1836" s="1">
        <v>45871.083333333336</v>
      </c>
      <c r="D1836">
        <v>32</v>
      </c>
    </row>
    <row r="1837" spans="1:4" x14ac:dyDescent="0.25">
      <c r="A1837" t="s">
        <v>12</v>
      </c>
      <c r="B1837" t="s">
        <v>19</v>
      </c>
      <c r="C1837" s="1">
        <v>45867.208333333336</v>
      </c>
      <c r="D1837">
        <v>1</v>
      </c>
    </row>
    <row r="1838" spans="1:4" x14ac:dyDescent="0.25">
      <c r="A1838" t="s">
        <v>13</v>
      </c>
      <c r="B1838" t="s">
        <v>4</v>
      </c>
      <c r="C1838" s="1">
        <v>45877.583333333336</v>
      </c>
      <c r="D1838">
        <v>13</v>
      </c>
    </row>
    <row r="1839" spans="1:4" x14ac:dyDescent="0.25">
      <c r="A1839" t="s">
        <v>9</v>
      </c>
      <c r="B1839" t="s">
        <v>41</v>
      </c>
      <c r="C1839" s="1">
        <v>45870.458333333336</v>
      </c>
      <c r="D1839">
        <v>151</v>
      </c>
    </row>
    <row r="1840" spans="1:4" x14ac:dyDescent="0.25">
      <c r="A1840" t="s">
        <v>7</v>
      </c>
      <c r="B1840" t="s">
        <v>8</v>
      </c>
      <c r="C1840" s="1">
        <v>45873.666666666664</v>
      </c>
      <c r="D1840">
        <v>75</v>
      </c>
    </row>
    <row r="1841" spans="1:4" x14ac:dyDescent="0.25">
      <c r="A1841" t="s">
        <v>81</v>
      </c>
      <c r="B1841" t="s">
        <v>20</v>
      </c>
      <c r="C1841" s="1">
        <v>45871.1875</v>
      </c>
      <c r="D1841">
        <v>81</v>
      </c>
    </row>
    <row r="1842" spans="1:4" x14ac:dyDescent="0.25">
      <c r="A1842" t="s">
        <v>9</v>
      </c>
      <c r="B1842" t="s">
        <v>0</v>
      </c>
      <c r="C1842" s="1">
        <v>45871.125</v>
      </c>
      <c r="D1842">
        <v>1248</v>
      </c>
    </row>
    <row r="1843" spans="1:4" x14ac:dyDescent="0.25">
      <c r="A1843" t="s">
        <v>77</v>
      </c>
      <c r="B1843" t="s">
        <v>1</v>
      </c>
      <c r="C1843" s="1">
        <v>45871.125</v>
      </c>
      <c r="D1843">
        <v>89</v>
      </c>
    </row>
    <row r="1844" spans="1:4" x14ac:dyDescent="0.25">
      <c r="A1844" t="s">
        <v>7</v>
      </c>
      <c r="B1844" t="s">
        <v>1</v>
      </c>
      <c r="C1844" s="1">
        <v>45874.145833333336</v>
      </c>
      <c r="D1844">
        <v>2</v>
      </c>
    </row>
    <row r="1845" spans="1:4" x14ac:dyDescent="0.25">
      <c r="A1845" t="s">
        <v>7</v>
      </c>
      <c r="B1845" t="s">
        <v>53</v>
      </c>
      <c r="C1845" s="1">
        <v>45876.458333333336</v>
      </c>
      <c r="D1845">
        <v>525</v>
      </c>
    </row>
    <row r="1846" spans="1:4" x14ac:dyDescent="0.25">
      <c r="A1846" t="s">
        <v>7</v>
      </c>
      <c r="B1846" t="s">
        <v>19</v>
      </c>
      <c r="C1846" s="1">
        <v>45873.1875</v>
      </c>
      <c r="D1846">
        <v>27</v>
      </c>
    </row>
    <row r="1847" spans="1:4" x14ac:dyDescent="0.25">
      <c r="A1847" t="s">
        <v>7</v>
      </c>
      <c r="B1847" t="s">
        <v>57</v>
      </c>
      <c r="C1847" s="1">
        <v>45871.125</v>
      </c>
      <c r="D1847">
        <v>448</v>
      </c>
    </row>
    <row r="1848" spans="1:4" x14ac:dyDescent="0.25">
      <c r="A1848" t="s">
        <v>81</v>
      </c>
      <c r="B1848" t="s">
        <v>2</v>
      </c>
      <c r="C1848" s="1">
        <v>45872.083333333336</v>
      </c>
      <c r="D1848">
        <v>177</v>
      </c>
    </row>
    <row r="1849" spans="1:4" x14ac:dyDescent="0.25">
      <c r="A1849" t="s">
        <v>23</v>
      </c>
      <c r="B1849" t="s">
        <v>20</v>
      </c>
      <c r="C1849" s="1">
        <v>45873.020833333336</v>
      </c>
      <c r="D1849">
        <v>3</v>
      </c>
    </row>
    <row r="1850" spans="1:4" x14ac:dyDescent="0.25">
      <c r="A1850" t="s">
        <v>7</v>
      </c>
      <c r="B1850" t="s">
        <v>0</v>
      </c>
      <c r="C1850" s="1">
        <v>45873.083333333336</v>
      </c>
      <c r="D1850">
        <v>18</v>
      </c>
    </row>
    <row r="1851" spans="1:4" x14ac:dyDescent="0.25">
      <c r="A1851" t="s">
        <v>23</v>
      </c>
      <c r="B1851" t="s">
        <v>57</v>
      </c>
      <c r="C1851" s="1">
        <v>45873.166666666664</v>
      </c>
      <c r="D1851">
        <v>1</v>
      </c>
    </row>
    <row r="1852" spans="1:4" x14ac:dyDescent="0.25">
      <c r="A1852" t="s">
        <v>13</v>
      </c>
      <c r="B1852" t="s">
        <v>80</v>
      </c>
      <c r="C1852" s="1">
        <v>45881.458333333336</v>
      </c>
      <c r="D1852">
        <v>1</v>
      </c>
    </row>
    <row r="1853" spans="1:4" x14ac:dyDescent="0.25">
      <c r="A1853" t="s">
        <v>7</v>
      </c>
      <c r="B1853" t="s">
        <v>2</v>
      </c>
      <c r="C1853" s="1">
        <v>45877.583333333336</v>
      </c>
      <c r="D1853">
        <v>12</v>
      </c>
    </row>
    <row r="1854" spans="1:4" x14ac:dyDescent="0.25">
      <c r="A1854" t="s">
        <v>7</v>
      </c>
      <c r="B1854" t="s">
        <v>8</v>
      </c>
      <c r="C1854" s="1">
        <v>45876.020833333336</v>
      </c>
      <c r="D1854">
        <v>2</v>
      </c>
    </row>
    <row r="1855" spans="1:4" x14ac:dyDescent="0.25">
      <c r="A1855" t="s">
        <v>86</v>
      </c>
      <c r="B1855" t="s">
        <v>19</v>
      </c>
      <c r="C1855" s="1">
        <v>45871.458333333336</v>
      </c>
      <c r="D1855">
        <v>2</v>
      </c>
    </row>
    <row r="1856" spans="1:4" x14ac:dyDescent="0.25">
      <c r="A1856" t="s">
        <v>23</v>
      </c>
      <c r="B1856" t="s">
        <v>8</v>
      </c>
      <c r="C1856" s="1">
        <v>45878.885416666664</v>
      </c>
      <c r="D1856">
        <v>4</v>
      </c>
    </row>
    <row r="1857" spans="1:4" x14ac:dyDescent="0.25">
      <c r="A1857" t="s">
        <v>23</v>
      </c>
      <c r="B1857" t="s">
        <v>0</v>
      </c>
      <c r="C1857" s="1">
        <v>45871.125</v>
      </c>
      <c r="D1857">
        <v>82</v>
      </c>
    </row>
    <row r="1858" spans="1:4" x14ac:dyDescent="0.25">
      <c r="A1858" t="s">
        <v>9</v>
      </c>
      <c r="B1858" t="s">
        <v>39</v>
      </c>
      <c r="C1858" s="1">
        <v>45869.458333333336</v>
      </c>
      <c r="D1858">
        <v>10</v>
      </c>
    </row>
    <row r="1859" spans="1:4" x14ac:dyDescent="0.25">
      <c r="A1859" t="s">
        <v>77</v>
      </c>
      <c r="B1859" t="s">
        <v>19</v>
      </c>
      <c r="C1859" s="1">
        <v>45872.020833333336</v>
      </c>
      <c r="D1859">
        <v>7</v>
      </c>
    </row>
    <row r="1860" spans="1:4" x14ac:dyDescent="0.25">
      <c r="A1860" t="s">
        <v>79</v>
      </c>
      <c r="B1860" t="s">
        <v>80</v>
      </c>
      <c r="C1860" s="1">
        <v>45879.458333333336</v>
      </c>
      <c r="D1860">
        <v>13</v>
      </c>
    </row>
    <row r="1861" spans="1:4" x14ac:dyDescent="0.25">
      <c r="A1861" t="s">
        <v>77</v>
      </c>
      <c r="B1861" t="s">
        <v>8</v>
      </c>
      <c r="C1861" s="1">
        <v>45872.604166666664</v>
      </c>
      <c r="D1861">
        <v>15</v>
      </c>
    </row>
    <row r="1862" spans="1:4" x14ac:dyDescent="0.25">
      <c r="A1862" t="s">
        <v>23</v>
      </c>
      <c r="B1862" t="s">
        <v>19</v>
      </c>
      <c r="C1862" s="1">
        <v>45871.604166666664</v>
      </c>
      <c r="D1862">
        <v>13</v>
      </c>
    </row>
    <row r="1863" spans="1:4" x14ac:dyDescent="0.25">
      <c r="A1863" t="s">
        <v>13</v>
      </c>
      <c r="B1863" t="s">
        <v>80</v>
      </c>
      <c r="C1863" s="1">
        <v>45872.458333333336</v>
      </c>
      <c r="D1863">
        <v>26</v>
      </c>
    </row>
    <row r="1864" spans="1:4" x14ac:dyDescent="0.25">
      <c r="A1864" t="s">
        <v>77</v>
      </c>
      <c r="B1864" t="s">
        <v>19</v>
      </c>
      <c r="C1864" s="1">
        <v>45872.729166666664</v>
      </c>
      <c r="D1864">
        <v>3</v>
      </c>
    </row>
    <row r="1865" spans="1:4" x14ac:dyDescent="0.25">
      <c r="A1865" t="s">
        <v>12</v>
      </c>
      <c r="B1865" t="s">
        <v>20</v>
      </c>
      <c r="C1865" s="1">
        <v>45871.666666666664</v>
      </c>
      <c r="D1865">
        <v>6</v>
      </c>
    </row>
    <row r="1866" spans="1:4" x14ac:dyDescent="0.25">
      <c r="A1866" t="s">
        <v>23</v>
      </c>
      <c r="B1866" t="s">
        <v>8</v>
      </c>
      <c r="C1866" s="1">
        <v>45876.1875</v>
      </c>
      <c r="D1866">
        <v>2</v>
      </c>
    </row>
    <row r="1867" spans="1:4" x14ac:dyDescent="0.25">
      <c r="A1867" t="s">
        <v>81</v>
      </c>
      <c r="B1867" t="s">
        <v>0</v>
      </c>
      <c r="C1867" s="1">
        <v>45872.145833333336</v>
      </c>
      <c r="D1867">
        <v>35</v>
      </c>
    </row>
    <row r="1868" spans="1:4" x14ac:dyDescent="0.25">
      <c r="A1868" t="s">
        <v>9</v>
      </c>
      <c r="B1868" t="s">
        <v>8</v>
      </c>
      <c r="C1868" s="1">
        <v>45870.947916666664</v>
      </c>
      <c r="D1868">
        <v>1</v>
      </c>
    </row>
    <row r="1869" spans="1:4" x14ac:dyDescent="0.25">
      <c r="A1869" t="s">
        <v>23</v>
      </c>
      <c r="B1869" t="s">
        <v>0</v>
      </c>
      <c r="C1869" s="1">
        <v>45876.666666666664</v>
      </c>
      <c r="D1869">
        <v>5</v>
      </c>
    </row>
    <row r="1870" spans="1:4" x14ac:dyDescent="0.25">
      <c r="A1870" t="s">
        <v>7</v>
      </c>
      <c r="B1870" t="s">
        <v>19</v>
      </c>
      <c r="C1870" s="1">
        <v>45871.666666666664</v>
      </c>
      <c r="D1870">
        <v>749</v>
      </c>
    </row>
    <row r="1871" spans="1:4" x14ac:dyDescent="0.25">
      <c r="A1871" t="s">
        <v>7</v>
      </c>
      <c r="B1871" t="s">
        <v>294</v>
      </c>
      <c r="C1871" s="1">
        <v>45875.458333333336</v>
      </c>
      <c r="D1871">
        <v>24</v>
      </c>
    </row>
    <row r="1872" spans="1:4" x14ac:dyDescent="0.25">
      <c r="A1872" t="s">
        <v>12</v>
      </c>
      <c r="B1872" t="s">
        <v>8</v>
      </c>
      <c r="C1872" s="1">
        <v>45871.541666666664</v>
      </c>
      <c r="D1872">
        <v>41</v>
      </c>
    </row>
    <row r="1873" spans="1:4" x14ac:dyDescent="0.25">
      <c r="A1873" t="s">
        <v>7</v>
      </c>
      <c r="B1873" t="s">
        <v>0</v>
      </c>
      <c r="C1873" s="1">
        <v>45871.458333333336</v>
      </c>
      <c r="D1873">
        <v>120</v>
      </c>
    </row>
    <row r="1874" spans="1:4" x14ac:dyDescent="0.25">
      <c r="A1874" t="s">
        <v>81</v>
      </c>
      <c r="B1874" t="s">
        <v>8</v>
      </c>
      <c r="C1874" s="1">
        <v>45872.541666666664</v>
      </c>
      <c r="D1874">
        <v>66</v>
      </c>
    </row>
    <row r="1875" spans="1:4" x14ac:dyDescent="0.25">
      <c r="A1875" t="s">
        <v>7</v>
      </c>
      <c r="B1875" t="s">
        <v>1</v>
      </c>
      <c r="C1875" s="1">
        <v>45871.916666666664</v>
      </c>
      <c r="D1875">
        <v>106</v>
      </c>
    </row>
    <row r="1876" spans="1:4" x14ac:dyDescent="0.25">
      <c r="A1876" t="s">
        <v>15</v>
      </c>
      <c r="B1876" t="s">
        <v>1</v>
      </c>
      <c r="C1876" s="1">
        <v>45871.625</v>
      </c>
      <c r="D1876">
        <v>1</v>
      </c>
    </row>
    <row r="1877" spans="1:4" x14ac:dyDescent="0.25">
      <c r="A1877" t="s">
        <v>13</v>
      </c>
      <c r="B1877" t="s">
        <v>4</v>
      </c>
      <c r="C1877" s="1">
        <v>45873.125</v>
      </c>
      <c r="D1877">
        <v>2</v>
      </c>
    </row>
    <row r="1878" spans="1:4" x14ac:dyDescent="0.25">
      <c r="A1878" t="s">
        <v>23</v>
      </c>
      <c r="B1878" t="s">
        <v>1</v>
      </c>
      <c r="C1878" s="1">
        <v>45876.541666666664</v>
      </c>
      <c r="D1878">
        <v>4</v>
      </c>
    </row>
    <row r="1879" spans="1:4" x14ac:dyDescent="0.25">
      <c r="A1879" t="s">
        <v>7</v>
      </c>
      <c r="B1879" t="s">
        <v>8</v>
      </c>
      <c r="C1879" s="1">
        <v>45875.541666666664</v>
      </c>
      <c r="D1879">
        <v>156</v>
      </c>
    </row>
    <row r="1880" spans="1:4" x14ac:dyDescent="0.25">
      <c r="A1880" t="s">
        <v>23</v>
      </c>
      <c r="B1880" t="s">
        <v>2</v>
      </c>
      <c r="C1880" s="1">
        <v>45873.083333333336</v>
      </c>
      <c r="D1880">
        <v>27</v>
      </c>
    </row>
    <row r="1881" spans="1:4" x14ac:dyDescent="0.25">
      <c r="A1881" t="s">
        <v>7</v>
      </c>
      <c r="B1881" t="s">
        <v>19</v>
      </c>
      <c r="C1881" s="1">
        <v>45871.083333333336</v>
      </c>
      <c r="D1881">
        <v>228</v>
      </c>
    </row>
    <row r="1882" spans="1:4" x14ac:dyDescent="0.25">
      <c r="A1882" t="s">
        <v>81</v>
      </c>
      <c r="B1882" t="s">
        <v>2</v>
      </c>
      <c r="C1882" s="1">
        <v>45877.125</v>
      </c>
      <c r="D1882">
        <v>1</v>
      </c>
    </row>
    <row r="1883" spans="1:4" x14ac:dyDescent="0.25">
      <c r="A1883" t="s">
        <v>23</v>
      </c>
      <c r="B1883" t="s">
        <v>2</v>
      </c>
      <c r="C1883" s="1">
        <v>45875.541666666664</v>
      </c>
      <c r="D1883">
        <v>6</v>
      </c>
    </row>
    <row r="1884" spans="1:4" x14ac:dyDescent="0.25">
      <c r="A1884" t="s">
        <v>83</v>
      </c>
      <c r="B1884" t="s">
        <v>8</v>
      </c>
      <c r="C1884" s="1">
        <v>45869.947916666664</v>
      </c>
      <c r="D1884">
        <v>9</v>
      </c>
    </row>
    <row r="1885" spans="1:4" x14ac:dyDescent="0.25">
      <c r="A1885" t="s">
        <v>77</v>
      </c>
      <c r="B1885" t="s">
        <v>19</v>
      </c>
      <c r="C1885" s="1">
        <v>45872.145833333336</v>
      </c>
      <c r="D1885">
        <v>2</v>
      </c>
    </row>
    <row r="1886" spans="1:4" x14ac:dyDescent="0.25">
      <c r="A1886" t="s">
        <v>10</v>
      </c>
      <c r="B1886" t="s">
        <v>39</v>
      </c>
      <c r="C1886" s="1">
        <v>45826.458333333336</v>
      </c>
      <c r="D1886">
        <v>3</v>
      </c>
    </row>
    <row r="1887" spans="1:4" x14ac:dyDescent="0.25">
      <c r="A1887" t="s">
        <v>81</v>
      </c>
      <c r="B1887" t="s">
        <v>19</v>
      </c>
      <c r="C1887" s="1">
        <v>45870.208333333336</v>
      </c>
      <c r="D1887">
        <v>1</v>
      </c>
    </row>
    <row r="1888" spans="1:4" x14ac:dyDescent="0.25">
      <c r="A1888" t="s">
        <v>23</v>
      </c>
      <c r="B1888" t="s">
        <v>8</v>
      </c>
      <c r="C1888" s="1">
        <v>45876.166666666664</v>
      </c>
      <c r="D1888">
        <v>5</v>
      </c>
    </row>
    <row r="1889" spans="1:4" x14ac:dyDescent="0.25">
      <c r="A1889" t="s">
        <v>81</v>
      </c>
      <c r="B1889" t="s">
        <v>0</v>
      </c>
      <c r="C1889" s="1">
        <v>45872.125</v>
      </c>
      <c r="D1889">
        <v>97</v>
      </c>
    </row>
    <row r="1890" spans="1:4" x14ac:dyDescent="0.25">
      <c r="A1890" t="s">
        <v>12</v>
      </c>
      <c r="B1890" t="s">
        <v>19</v>
      </c>
      <c r="C1890" s="1">
        <v>45871.541666666664</v>
      </c>
      <c r="D1890">
        <v>12</v>
      </c>
    </row>
    <row r="1891" spans="1:4" x14ac:dyDescent="0.25">
      <c r="A1891" t="s">
        <v>14</v>
      </c>
      <c r="B1891" t="s">
        <v>0</v>
      </c>
      <c r="C1891" s="1">
        <v>45871.208333333336</v>
      </c>
      <c r="D1891">
        <v>1</v>
      </c>
    </row>
    <row r="1892" spans="1:4" x14ac:dyDescent="0.25">
      <c r="A1892" t="s">
        <v>7</v>
      </c>
      <c r="B1892" t="s">
        <v>57</v>
      </c>
      <c r="C1892" s="1">
        <v>45871.020833333336</v>
      </c>
      <c r="D1892">
        <v>2</v>
      </c>
    </row>
    <row r="1893" spans="1:4" x14ac:dyDescent="0.25">
      <c r="A1893" t="s">
        <v>81</v>
      </c>
      <c r="B1893" t="s">
        <v>8</v>
      </c>
      <c r="C1893" s="1">
        <v>45873.125</v>
      </c>
      <c r="D1893">
        <v>65</v>
      </c>
    </row>
    <row r="1894" spans="1:4" x14ac:dyDescent="0.25">
      <c r="A1894" t="s">
        <v>23</v>
      </c>
      <c r="B1894" t="s">
        <v>1</v>
      </c>
      <c r="C1894" s="1">
        <v>45872.666666666664</v>
      </c>
      <c r="D1894">
        <v>1</v>
      </c>
    </row>
    <row r="1895" spans="1:4" x14ac:dyDescent="0.25">
      <c r="A1895" t="s">
        <v>77</v>
      </c>
      <c r="B1895" t="s">
        <v>1</v>
      </c>
      <c r="C1895" s="1">
        <v>45873.666666666664</v>
      </c>
      <c r="D1895">
        <v>3</v>
      </c>
    </row>
    <row r="1896" spans="1:4" x14ac:dyDescent="0.25">
      <c r="A1896" t="s">
        <v>23</v>
      </c>
      <c r="B1896" t="s">
        <v>2</v>
      </c>
      <c r="C1896" s="1">
        <v>45873.666666666664</v>
      </c>
      <c r="D1896">
        <v>3</v>
      </c>
    </row>
    <row r="1897" spans="1:4" x14ac:dyDescent="0.25">
      <c r="A1897" t="s">
        <v>81</v>
      </c>
      <c r="B1897" t="s">
        <v>1</v>
      </c>
      <c r="C1897" s="1">
        <v>45873.1875</v>
      </c>
      <c r="D1897">
        <v>7</v>
      </c>
    </row>
    <row r="1898" spans="1:4" x14ac:dyDescent="0.25">
      <c r="A1898" t="s">
        <v>23</v>
      </c>
      <c r="B1898" t="s">
        <v>8</v>
      </c>
      <c r="C1898" s="1">
        <v>45871.604166666664</v>
      </c>
      <c r="D1898">
        <v>17</v>
      </c>
    </row>
    <row r="1899" spans="1:4" x14ac:dyDescent="0.25">
      <c r="A1899" t="s">
        <v>7</v>
      </c>
      <c r="B1899" t="s">
        <v>8</v>
      </c>
      <c r="C1899" s="1">
        <v>45876.125</v>
      </c>
      <c r="D1899">
        <v>248</v>
      </c>
    </row>
    <row r="1900" spans="1:4" x14ac:dyDescent="0.25">
      <c r="A1900" t="s">
        <v>9</v>
      </c>
      <c r="B1900" t="s">
        <v>53</v>
      </c>
      <c r="C1900" s="1">
        <v>45870.458333333336</v>
      </c>
      <c r="D1900">
        <v>112</v>
      </c>
    </row>
    <row r="1901" spans="1:4" x14ac:dyDescent="0.25">
      <c r="A1901" t="s">
        <v>9</v>
      </c>
      <c r="B1901" t="s">
        <v>1</v>
      </c>
      <c r="C1901" s="1">
        <v>45871.208333333336</v>
      </c>
      <c r="D1901">
        <v>88</v>
      </c>
    </row>
    <row r="1902" spans="1:4" x14ac:dyDescent="0.25">
      <c r="A1902" t="s">
        <v>77</v>
      </c>
      <c r="B1902" t="s">
        <v>19</v>
      </c>
      <c r="C1902" s="1">
        <v>45872.125</v>
      </c>
      <c r="D1902">
        <v>8</v>
      </c>
    </row>
    <row r="1903" spans="1:4" x14ac:dyDescent="0.25">
      <c r="A1903" t="s">
        <v>77</v>
      </c>
      <c r="B1903" t="s">
        <v>8</v>
      </c>
      <c r="C1903" s="1">
        <v>45872.145833333336</v>
      </c>
      <c r="D1903">
        <v>2</v>
      </c>
    </row>
    <row r="1904" spans="1:4" x14ac:dyDescent="0.25">
      <c r="A1904" t="s">
        <v>23</v>
      </c>
      <c r="B1904" t="s">
        <v>19</v>
      </c>
      <c r="C1904" s="1">
        <v>45871.145833333336</v>
      </c>
      <c r="D1904">
        <v>92</v>
      </c>
    </row>
    <row r="1905" spans="1:4" x14ac:dyDescent="0.25">
      <c r="A1905" t="s">
        <v>11</v>
      </c>
      <c r="B1905" t="s">
        <v>8</v>
      </c>
      <c r="C1905" s="1">
        <v>45865.885416666664</v>
      </c>
      <c r="D1905">
        <v>3</v>
      </c>
    </row>
    <row r="1906" spans="1:4" x14ac:dyDescent="0.25">
      <c r="A1906" t="s">
        <v>9</v>
      </c>
      <c r="B1906" t="s">
        <v>20</v>
      </c>
      <c r="C1906" s="1">
        <v>45871.916666666664</v>
      </c>
      <c r="D1906">
        <v>10</v>
      </c>
    </row>
    <row r="1907" spans="1:4" x14ac:dyDescent="0.25">
      <c r="A1907" t="s">
        <v>7</v>
      </c>
      <c r="B1907" t="s">
        <v>2</v>
      </c>
      <c r="C1907" s="1">
        <v>45873.625</v>
      </c>
      <c r="D1907">
        <v>5</v>
      </c>
    </row>
    <row r="1908" spans="1:4" x14ac:dyDescent="0.25">
      <c r="A1908" t="s">
        <v>12</v>
      </c>
      <c r="B1908" t="s">
        <v>20</v>
      </c>
      <c r="C1908" s="1">
        <v>45871.208333333336</v>
      </c>
      <c r="D1908">
        <v>39</v>
      </c>
    </row>
    <row r="1909" spans="1:4" x14ac:dyDescent="0.25">
      <c r="A1909" t="s">
        <v>291</v>
      </c>
      <c r="B1909" t="s">
        <v>4</v>
      </c>
      <c r="C1909" s="1">
        <v>45861.458333333336</v>
      </c>
      <c r="D1909">
        <v>118</v>
      </c>
    </row>
    <row r="1910" spans="1:4" x14ac:dyDescent="0.25">
      <c r="A1910" t="s">
        <v>81</v>
      </c>
      <c r="B1910" t="s">
        <v>0</v>
      </c>
      <c r="C1910" s="1">
        <v>45872.604166666664</v>
      </c>
      <c r="D1910">
        <v>109</v>
      </c>
    </row>
    <row r="1911" spans="1:4" x14ac:dyDescent="0.25">
      <c r="A1911" t="s">
        <v>7</v>
      </c>
      <c r="B1911" t="s">
        <v>8</v>
      </c>
      <c r="C1911" s="1">
        <v>45880.583333333336</v>
      </c>
      <c r="D1911">
        <v>21</v>
      </c>
    </row>
    <row r="1912" spans="1:4" x14ac:dyDescent="0.25">
      <c r="A1912" t="s">
        <v>77</v>
      </c>
      <c r="B1912" t="s">
        <v>84</v>
      </c>
      <c r="C1912" s="1">
        <v>45814.583333333336</v>
      </c>
      <c r="D1912">
        <v>1</v>
      </c>
    </row>
    <row r="1913" spans="1:4" x14ac:dyDescent="0.25">
      <c r="A1913" t="s">
        <v>23</v>
      </c>
      <c r="B1913" t="s">
        <v>57</v>
      </c>
      <c r="C1913" s="1">
        <v>45875.125</v>
      </c>
      <c r="D1913">
        <v>1</v>
      </c>
    </row>
    <row r="1914" spans="1:4" x14ac:dyDescent="0.25">
      <c r="A1914" t="s">
        <v>23</v>
      </c>
      <c r="B1914" t="s">
        <v>1</v>
      </c>
      <c r="C1914" s="1">
        <v>45872.083333333336</v>
      </c>
      <c r="D1914">
        <v>5</v>
      </c>
    </row>
    <row r="1915" spans="1:4" x14ac:dyDescent="0.25">
      <c r="A1915" t="s">
        <v>88</v>
      </c>
      <c r="B1915" t="s">
        <v>20</v>
      </c>
      <c r="C1915" s="1">
        <v>45871.541666666664</v>
      </c>
      <c r="D1915">
        <v>8</v>
      </c>
    </row>
    <row r="1916" spans="1:4" x14ac:dyDescent="0.25">
      <c r="A1916" t="s">
        <v>7</v>
      </c>
      <c r="B1916" t="s">
        <v>19</v>
      </c>
      <c r="C1916" s="1">
        <v>45873.208333333336</v>
      </c>
      <c r="D1916">
        <v>22</v>
      </c>
    </row>
    <row r="1917" spans="1:4" x14ac:dyDescent="0.25">
      <c r="A1917" t="s">
        <v>23</v>
      </c>
      <c r="B1917" t="s">
        <v>2</v>
      </c>
      <c r="C1917" s="1">
        <v>45876.125</v>
      </c>
      <c r="D1917">
        <v>9</v>
      </c>
    </row>
    <row r="1918" spans="1:4" x14ac:dyDescent="0.25">
      <c r="A1918" t="s">
        <v>14</v>
      </c>
      <c r="B1918" t="s">
        <v>51</v>
      </c>
      <c r="C1918" s="1">
        <v>45866.458333333336</v>
      </c>
      <c r="D1918">
        <v>8</v>
      </c>
    </row>
    <row r="1919" spans="1:4" x14ac:dyDescent="0.25">
      <c r="A1919" t="s">
        <v>23</v>
      </c>
      <c r="B1919" t="s">
        <v>0</v>
      </c>
      <c r="C1919" s="1">
        <v>45871.145833333336</v>
      </c>
      <c r="D1919">
        <v>13</v>
      </c>
    </row>
    <row r="1920" spans="1:4" x14ac:dyDescent="0.25">
      <c r="A1920" t="s">
        <v>81</v>
      </c>
      <c r="B1920" t="s">
        <v>19</v>
      </c>
      <c r="C1920" s="1">
        <v>45873.125</v>
      </c>
      <c r="D1920">
        <v>85</v>
      </c>
    </row>
    <row r="1921" spans="1:4" x14ac:dyDescent="0.25">
      <c r="A1921" t="s">
        <v>88</v>
      </c>
      <c r="B1921" t="s">
        <v>20</v>
      </c>
      <c r="C1921" s="1">
        <v>45871.604166666664</v>
      </c>
      <c r="D1921">
        <v>9</v>
      </c>
    </row>
    <row r="1922" spans="1:4" x14ac:dyDescent="0.25">
      <c r="A1922" t="s">
        <v>23</v>
      </c>
      <c r="B1922" t="s">
        <v>57</v>
      </c>
      <c r="C1922" s="1">
        <v>45871.1875</v>
      </c>
      <c r="D1922">
        <v>1</v>
      </c>
    </row>
    <row r="1923" spans="1:4" x14ac:dyDescent="0.25">
      <c r="A1923" t="s">
        <v>23</v>
      </c>
      <c r="B1923" t="s">
        <v>19</v>
      </c>
      <c r="C1923" s="1">
        <v>45869.208333333336</v>
      </c>
      <c r="D1923">
        <v>2</v>
      </c>
    </row>
    <row r="1924" spans="1:4" x14ac:dyDescent="0.25">
      <c r="A1924" t="s">
        <v>7</v>
      </c>
      <c r="B1924" t="s">
        <v>19</v>
      </c>
      <c r="C1924" s="1">
        <v>45873.916666666664</v>
      </c>
      <c r="D1924">
        <v>19</v>
      </c>
    </row>
    <row r="1925" spans="1:4" x14ac:dyDescent="0.25">
      <c r="A1925" t="s">
        <v>10</v>
      </c>
      <c r="B1925" t="s">
        <v>51</v>
      </c>
      <c r="C1925" s="1">
        <v>45863.458333333336</v>
      </c>
      <c r="D1925">
        <v>7</v>
      </c>
    </row>
    <row r="1926" spans="1:4" x14ac:dyDescent="0.25">
      <c r="A1926" t="s">
        <v>9</v>
      </c>
      <c r="B1926" t="s">
        <v>2</v>
      </c>
      <c r="C1926" s="1">
        <v>45871.166666666664</v>
      </c>
      <c r="D1926">
        <v>122</v>
      </c>
    </row>
    <row r="1927" spans="1:4" x14ac:dyDescent="0.25">
      <c r="A1927" t="s">
        <v>7</v>
      </c>
      <c r="B1927" t="s">
        <v>51</v>
      </c>
      <c r="C1927" s="1">
        <v>45870.458333333336</v>
      </c>
      <c r="D1927">
        <v>24</v>
      </c>
    </row>
    <row r="1928" spans="1:4" x14ac:dyDescent="0.25">
      <c r="A1928" t="s">
        <v>77</v>
      </c>
      <c r="B1928" t="s">
        <v>8</v>
      </c>
      <c r="C1928" s="1">
        <v>45872.020833333336</v>
      </c>
      <c r="D1928">
        <v>7</v>
      </c>
    </row>
    <row r="1929" spans="1:4" x14ac:dyDescent="0.25">
      <c r="A1929" t="s">
        <v>12</v>
      </c>
      <c r="B1929" t="s">
        <v>19</v>
      </c>
      <c r="C1929" s="1">
        <v>45869.885416666664</v>
      </c>
      <c r="D1929">
        <v>1</v>
      </c>
    </row>
    <row r="1930" spans="1:4" x14ac:dyDescent="0.25">
      <c r="A1930" t="s">
        <v>23</v>
      </c>
      <c r="B1930" t="s">
        <v>19</v>
      </c>
      <c r="C1930" s="1">
        <v>45871.729166666664</v>
      </c>
      <c r="D1930">
        <v>1</v>
      </c>
    </row>
    <row r="1931" spans="1:4" x14ac:dyDescent="0.25">
      <c r="A1931" t="s">
        <v>10</v>
      </c>
      <c r="B1931" t="s">
        <v>19</v>
      </c>
      <c r="C1931" s="1">
        <v>45873.583333333336</v>
      </c>
      <c r="D1931">
        <v>1</v>
      </c>
    </row>
    <row r="1932" spans="1:4" x14ac:dyDescent="0.25">
      <c r="A1932" t="s">
        <v>12</v>
      </c>
      <c r="B1932" t="s">
        <v>20</v>
      </c>
      <c r="C1932" s="1">
        <v>45871.083333333336</v>
      </c>
      <c r="D1932">
        <v>22</v>
      </c>
    </row>
    <row r="1933" spans="1:4" x14ac:dyDescent="0.25">
      <c r="A1933" t="s">
        <v>7</v>
      </c>
      <c r="B1933" t="s">
        <v>1</v>
      </c>
      <c r="C1933" s="1">
        <v>45871.885416666664</v>
      </c>
      <c r="D1933">
        <v>289</v>
      </c>
    </row>
    <row r="1934" spans="1:4" x14ac:dyDescent="0.25">
      <c r="A1934" t="s">
        <v>77</v>
      </c>
      <c r="B1934" t="s">
        <v>19</v>
      </c>
      <c r="C1934" s="1">
        <v>45872.604166666664</v>
      </c>
      <c r="D1934">
        <v>2</v>
      </c>
    </row>
    <row r="1935" spans="1:4" x14ac:dyDescent="0.25">
      <c r="A1935" t="s">
        <v>7</v>
      </c>
      <c r="B1935" t="s">
        <v>2</v>
      </c>
      <c r="C1935" s="1">
        <v>45871.5</v>
      </c>
      <c r="D1935">
        <v>7</v>
      </c>
    </row>
    <row r="1936" spans="1:4" x14ac:dyDescent="0.25">
      <c r="A1936" t="s">
        <v>9</v>
      </c>
      <c r="B1936" t="s">
        <v>1</v>
      </c>
      <c r="C1936" s="1">
        <v>45871.083333333336</v>
      </c>
      <c r="D1936">
        <v>44</v>
      </c>
    </row>
    <row r="1937" spans="1:4" x14ac:dyDescent="0.25">
      <c r="A1937" t="s">
        <v>81</v>
      </c>
      <c r="B1937" t="s">
        <v>0</v>
      </c>
      <c r="C1937" s="1">
        <v>45872.020833333336</v>
      </c>
      <c r="D1937">
        <v>7</v>
      </c>
    </row>
    <row r="1938" spans="1:4" x14ac:dyDescent="0.25">
      <c r="A1938" t="s">
        <v>77</v>
      </c>
      <c r="B1938" t="s">
        <v>8</v>
      </c>
      <c r="C1938" s="1">
        <v>45872.729166666664</v>
      </c>
      <c r="D1938">
        <v>15</v>
      </c>
    </row>
    <row r="1939" spans="1:4" x14ac:dyDescent="0.25">
      <c r="A1939" t="s">
        <v>7</v>
      </c>
      <c r="B1939" t="s">
        <v>20</v>
      </c>
      <c r="C1939" s="1">
        <v>45872.947916666664</v>
      </c>
      <c r="D1939">
        <v>1</v>
      </c>
    </row>
    <row r="1940" spans="1:4" x14ac:dyDescent="0.25">
      <c r="A1940" t="s">
        <v>15</v>
      </c>
      <c r="B1940" t="s">
        <v>0</v>
      </c>
      <c r="C1940" s="1">
        <v>45871.166666666664</v>
      </c>
      <c r="D1940">
        <v>1</v>
      </c>
    </row>
    <row r="1941" spans="1:4" x14ac:dyDescent="0.25">
      <c r="A1941" t="s">
        <v>7</v>
      </c>
      <c r="B1941" t="s">
        <v>20</v>
      </c>
      <c r="C1941" s="1">
        <v>45872.125</v>
      </c>
      <c r="D1941">
        <v>121</v>
      </c>
    </row>
    <row r="1942" spans="1:4" x14ac:dyDescent="0.25">
      <c r="A1942" t="s">
        <v>81</v>
      </c>
      <c r="B1942" t="s">
        <v>0</v>
      </c>
      <c r="C1942" s="1">
        <v>45872.729166666664</v>
      </c>
      <c r="D1942">
        <v>25</v>
      </c>
    </row>
    <row r="1943" spans="1:4" x14ac:dyDescent="0.25">
      <c r="A1943" t="s">
        <v>23</v>
      </c>
      <c r="B1943" t="s">
        <v>20</v>
      </c>
      <c r="C1943" s="1">
        <v>45876.75</v>
      </c>
      <c r="D1943">
        <v>9</v>
      </c>
    </row>
    <row r="1944" spans="1:4" x14ac:dyDescent="0.25">
      <c r="A1944" t="s">
        <v>7</v>
      </c>
      <c r="B1944" t="s">
        <v>0</v>
      </c>
      <c r="C1944" s="1">
        <v>45873.885416666664</v>
      </c>
      <c r="D1944">
        <v>5</v>
      </c>
    </row>
    <row r="1945" spans="1:4" x14ac:dyDescent="0.25">
      <c r="A1945" t="s">
        <v>23</v>
      </c>
      <c r="B1945" t="s">
        <v>2</v>
      </c>
      <c r="C1945" s="1">
        <v>45873.885416666664</v>
      </c>
      <c r="D1945">
        <v>16</v>
      </c>
    </row>
    <row r="1946" spans="1:4" x14ac:dyDescent="0.25">
      <c r="A1946" t="s">
        <v>11</v>
      </c>
      <c r="B1946" t="s">
        <v>53</v>
      </c>
      <c r="C1946" s="1">
        <v>45870.458333333336</v>
      </c>
      <c r="D1946">
        <v>525</v>
      </c>
    </row>
    <row r="1947" spans="1:4" x14ac:dyDescent="0.25">
      <c r="A1947" t="s">
        <v>7</v>
      </c>
      <c r="B1947" t="s">
        <v>57</v>
      </c>
      <c r="C1947" s="1">
        <v>45872.625</v>
      </c>
      <c r="D1947">
        <v>2</v>
      </c>
    </row>
    <row r="1948" spans="1:4" x14ac:dyDescent="0.25">
      <c r="A1948" t="s">
        <v>81</v>
      </c>
      <c r="B1948" t="s">
        <v>19</v>
      </c>
      <c r="C1948" s="1">
        <v>45872.541666666664</v>
      </c>
      <c r="D1948">
        <v>60</v>
      </c>
    </row>
    <row r="1949" spans="1:4" x14ac:dyDescent="0.25">
      <c r="A1949" t="s">
        <v>7</v>
      </c>
      <c r="B1949" t="s">
        <v>0</v>
      </c>
      <c r="C1949" s="1">
        <v>45871.583333333336</v>
      </c>
      <c r="D1949">
        <v>6</v>
      </c>
    </row>
    <row r="1950" spans="1:4" x14ac:dyDescent="0.25">
      <c r="A1950" t="s">
        <v>81</v>
      </c>
      <c r="B1950" t="s">
        <v>19</v>
      </c>
      <c r="C1950" s="1">
        <v>45872.604166666664</v>
      </c>
      <c r="D1950">
        <v>317</v>
      </c>
    </row>
    <row r="1951" spans="1:4" x14ac:dyDescent="0.25">
      <c r="A1951" t="s">
        <v>79</v>
      </c>
      <c r="B1951" t="s">
        <v>82</v>
      </c>
      <c r="C1951" s="1">
        <v>45872.458333333336</v>
      </c>
      <c r="D1951">
        <v>183</v>
      </c>
    </row>
    <row r="1952" spans="1:4" x14ac:dyDescent="0.25">
      <c r="A1952" t="s">
        <v>10</v>
      </c>
      <c r="B1952" t="s">
        <v>1</v>
      </c>
      <c r="C1952" s="1">
        <v>45871.1875</v>
      </c>
      <c r="D1952">
        <v>6</v>
      </c>
    </row>
    <row r="1953" spans="1:4" x14ac:dyDescent="0.25">
      <c r="A1953" t="s">
        <v>23</v>
      </c>
      <c r="B1953" t="s">
        <v>8</v>
      </c>
      <c r="C1953" s="1">
        <v>45871.145833333336</v>
      </c>
      <c r="D1953">
        <v>55</v>
      </c>
    </row>
    <row r="1954" spans="1:4" x14ac:dyDescent="0.25">
      <c r="A1954" t="s">
        <v>10</v>
      </c>
      <c r="B1954" t="s">
        <v>40</v>
      </c>
      <c r="C1954" s="1">
        <v>45839.458333333336</v>
      </c>
      <c r="D1954">
        <v>6</v>
      </c>
    </row>
    <row r="1955" spans="1:4" x14ac:dyDescent="0.25">
      <c r="A1955" t="s">
        <v>11</v>
      </c>
      <c r="B1955" t="s">
        <v>41</v>
      </c>
      <c r="C1955" s="1">
        <v>45870.458333333336</v>
      </c>
      <c r="D1955">
        <v>370</v>
      </c>
    </row>
    <row r="1956" spans="1:4" x14ac:dyDescent="0.25">
      <c r="A1956" t="s">
        <v>81</v>
      </c>
      <c r="B1956" t="s">
        <v>20</v>
      </c>
      <c r="C1956" s="1">
        <v>45872.166666666664</v>
      </c>
      <c r="D1956">
        <v>6</v>
      </c>
    </row>
    <row r="1957" spans="1:4" x14ac:dyDescent="0.25">
      <c r="A1957" t="s">
        <v>9</v>
      </c>
      <c r="B1957" t="s">
        <v>1</v>
      </c>
      <c r="C1957" s="1">
        <v>45871.666666666664</v>
      </c>
      <c r="D1957">
        <v>9</v>
      </c>
    </row>
    <row r="1958" spans="1:4" x14ac:dyDescent="0.25">
      <c r="A1958" t="s">
        <v>12</v>
      </c>
      <c r="B1958" t="s">
        <v>19</v>
      </c>
      <c r="C1958" s="1">
        <v>45871.729166666664</v>
      </c>
      <c r="D1958">
        <v>1</v>
      </c>
    </row>
    <row r="1959" spans="1:4" x14ac:dyDescent="0.25">
      <c r="A1959" t="s">
        <v>12</v>
      </c>
      <c r="B1959" t="s">
        <v>20</v>
      </c>
      <c r="C1959" s="1">
        <v>45871.166666666664</v>
      </c>
      <c r="D1959">
        <v>55</v>
      </c>
    </row>
    <row r="1960" spans="1:4" x14ac:dyDescent="0.25">
      <c r="A1960" t="s">
        <v>7</v>
      </c>
      <c r="B1960" t="s">
        <v>19</v>
      </c>
      <c r="C1960" s="1">
        <v>45873.885416666664</v>
      </c>
      <c r="D1960">
        <v>182</v>
      </c>
    </row>
    <row r="1961" spans="1:4" x14ac:dyDescent="0.25">
      <c r="A1961" t="s">
        <v>81</v>
      </c>
      <c r="B1961" t="s">
        <v>19</v>
      </c>
      <c r="C1961" s="1">
        <v>45872.729166666664</v>
      </c>
      <c r="D1961">
        <v>95</v>
      </c>
    </row>
    <row r="1962" spans="1:4" x14ac:dyDescent="0.25">
      <c r="A1962" t="s">
        <v>23</v>
      </c>
      <c r="B1962" t="s">
        <v>19</v>
      </c>
      <c r="C1962" s="1">
        <v>45871.541666666664</v>
      </c>
      <c r="D1962">
        <v>2</v>
      </c>
    </row>
    <row r="1963" spans="1:4" x14ac:dyDescent="0.25">
      <c r="A1963" t="s">
        <v>81</v>
      </c>
      <c r="B1963" t="s">
        <v>19</v>
      </c>
      <c r="C1963" s="1">
        <v>45876.583333333336</v>
      </c>
      <c r="D1963">
        <v>2</v>
      </c>
    </row>
    <row r="1964" spans="1:4" x14ac:dyDescent="0.25">
      <c r="A1964" t="s">
        <v>7</v>
      </c>
      <c r="B1964" t="s">
        <v>8</v>
      </c>
      <c r="C1964" s="1">
        <v>45877.75</v>
      </c>
      <c r="D1964">
        <v>2</v>
      </c>
    </row>
    <row r="1965" spans="1:4" x14ac:dyDescent="0.25">
      <c r="A1965" t="s">
        <v>77</v>
      </c>
      <c r="B1965" t="s">
        <v>8</v>
      </c>
      <c r="C1965" s="1">
        <v>45867.958333333336</v>
      </c>
      <c r="D1965">
        <v>2</v>
      </c>
    </row>
    <row r="1966" spans="1:4" x14ac:dyDescent="0.25">
      <c r="A1966" t="s">
        <v>23</v>
      </c>
      <c r="B1966" t="s">
        <v>2</v>
      </c>
      <c r="C1966" s="1">
        <v>45880.583333333336</v>
      </c>
      <c r="D1966">
        <v>1</v>
      </c>
    </row>
    <row r="1967" spans="1:4" x14ac:dyDescent="0.25">
      <c r="A1967" t="s">
        <v>81</v>
      </c>
      <c r="B1967" t="s">
        <v>8</v>
      </c>
      <c r="C1967" s="1">
        <v>45872.604166666664</v>
      </c>
      <c r="D1967">
        <v>328</v>
      </c>
    </row>
    <row r="1968" spans="1:4" x14ac:dyDescent="0.25">
      <c r="A1968" t="s">
        <v>14</v>
      </c>
      <c r="B1968" t="s">
        <v>20</v>
      </c>
      <c r="C1968" s="1">
        <v>45870.947916666664</v>
      </c>
      <c r="D1968">
        <v>1</v>
      </c>
    </row>
    <row r="1969" spans="1:4" x14ac:dyDescent="0.25">
      <c r="A1969" t="s">
        <v>23</v>
      </c>
      <c r="B1969" t="s">
        <v>19</v>
      </c>
      <c r="C1969" s="1">
        <v>45876.666666666664</v>
      </c>
      <c r="D1969">
        <v>8</v>
      </c>
    </row>
    <row r="1970" spans="1:4" x14ac:dyDescent="0.25">
      <c r="A1970" t="s">
        <v>23</v>
      </c>
      <c r="B1970" t="s">
        <v>8</v>
      </c>
      <c r="C1970" s="1">
        <v>45872.125</v>
      </c>
      <c r="D1970">
        <v>933</v>
      </c>
    </row>
    <row r="1971" spans="1:4" x14ac:dyDescent="0.25">
      <c r="A1971" t="s">
        <v>81</v>
      </c>
      <c r="B1971" t="s">
        <v>20</v>
      </c>
      <c r="C1971" s="1">
        <v>45873.885416666664</v>
      </c>
      <c r="D1971">
        <v>2</v>
      </c>
    </row>
    <row r="1972" spans="1:4" x14ac:dyDescent="0.25">
      <c r="A1972" t="s">
        <v>9</v>
      </c>
      <c r="B1972" t="s">
        <v>20</v>
      </c>
      <c r="C1972" s="1">
        <v>45872.020833333336</v>
      </c>
      <c r="D1972">
        <v>1</v>
      </c>
    </row>
    <row r="1973" spans="1:4" x14ac:dyDescent="0.25">
      <c r="A1973" t="s">
        <v>77</v>
      </c>
      <c r="B1973" t="s">
        <v>8</v>
      </c>
      <c r="C1973" s="1">
        <v>45874.947916666664</v>
      </c>
      <c r="D1973">
        <v>2</v>
      </c>
    </row>
    <row r="1974" spans="1:4" x14ac:dyDescent="0.25">
      <c r="A1974" t="s">
        <v>12</v>
      </c>
      <c r="B1974" t="s">
        <v>57</v>
      </c>
      <c r="C1974" s="1">
        <v>45871.083333333336</v>
      </c>
      <c r="D1974">
        <v>14</v>
      </c>
    </row>
    <row r="1975" spans="1:4" x14ac:dyDescent="0.25">
      <c r="A1975" t="s">
        <v>7</v>
      </c>
      <c r="B1975" t="s">
        <v>0</v>
      </c>
      <c r="C1975" s="1">
        <v>45875.541666666664</v>
      </c>
      <c r="D1975">
        <v>1</v>
      </c>
    </row>
    <row r="1976" spans="1:4" x14ac:dyDescent="0.25">
      <c r="A1976" t="s">
        <v>81</v>
      </c>
      <c r="B1976" t="s">
        <v>57</v>
      </c>
      <c r="C1976" s="1">
        <v>45872.083333333336</v>
      </c>
      <c r="D1976">
        <v>39</v>
      </c>
    </row>
    <row r="1977" spans="1:4" x14ac:dyDescent="0.25">
      <c r="A1977" t="s">
        <v>7</v>
      </c>
      <c r="B1977" t="s">
        <v>8</v>
      </c>
      <c r="C1977" s="1">
        <v>45873.208333333336</v>
      </c>
      <c r="D1977">
        <v>26</v>
      </c>
    </row>
    <row r="1978" spans="1:4" x14ac:dyDescent="0.25">
      <c r="A1978" t="s">
        <v>7</v>
      </c>
      <c r="B1978" t="s">
        <v>19</v>
      </c>
      <c r="C1978" s="1">
        <v>45871.583333333336</v>
      </c>
      <c r="D1978">
        <v>7</v>
      </c>
    </row>
    <row r="1979" spans="1:4" x14ac:dyDescent="0.25">
      <c r="A1979" t="s">
        <v>15</v>
      </c>
      <c r="B1979" t="s">
        <v>8</v>
      </c>
      <c r="C1979" s="1">
        <v>45871.083333333336</v>
      </c>
      <c r="D1979">
        <v>4</v>
      </c>
    </row>
    <row r="1980" spans="1:4" x14ac:dyDescent="0.25">
      <c r="A1980" t="s">
        <v>77</v>
      </c>
      <c r="B1980" t="s">
        <v>8</v>
      </c>
      <c r="C1980" s="1">
        <v>45873.125</v>
      </c>
      <c r="D1980">
        <v>2</v>
      </c>
    </row>
    <row r="1981" spans="1:4" x14ac:dyDescent="0.25">
      <c r="A1981" t="s">
        <v>81</v>
      </c>
      <c r="B1981" t="s">
        <v>20</v>
      </c>
      <c r="C1981" s="1">
        <v>45871.583333333336</v>
      </c>
      <c r="D1981">
        <v>1</v>
      </c>
    </row>
    <row r="1982" spans="1:4" x14ac:dyDescent="0.25">
      <c r="A1982" t="s">
        <v>10</v>
      </c>
      <c r="B1982" t="s">
        <v>41</v>
      </c>
      <c r="C1982" s="1">
        <v>45871.458333333336</v>
      </c>
      <c r="D1982">
        <v>5</v>
      </c>
    </row>
    <row r="1983" spans="1:4" x14ac:dyDescent="0.25">
      <c r="A1983" t="s">
        <v>12</v>
      </c>
      <c r="B1983" t="s">
        <v>20</v>
      </c>
      <c r="C1983" s="1">
        <v>45871.1875</v>
      </c>
      <c r="D1983">
        <v>12</v>
      </c>
    </row>
    <row r="1984" spans="1:4" x14ac:dyDescent="0.25">
      <c r="A1984" t="s">
        <v>23</v>
      </c>
      <c r="B1984" t="s">
        <v>8</v>
      </c>
      <c r="C1984" s="1">
        <v>45876.666666666664</v>
      </c>
      <c r="D1984">
        <v>7</v>
      </c>
    </row>
    <row r="1985" spans="1:4" x14ac:dyDescent="0.25">
      <c r="A1985" t="s">
        <v>23</v>
      </c>
      <c r="B1985" t="s">
        <v>19</v>
      </c>
      <c r="C1985" s="1">
        <v>45872.125</v>
      </c>
      <c r="D1985">
        <v>751</v>
      </c>
    </row>
    <row r="1986" spans="1:4" x14ac:dyDescent="0.25">
      <c r="A1986" t="s">
        <v>7</v>
      </c>
      <c r="B1986" t="s">
        <v>8</v>
      </c>
      <c r="C1986" s="1">
        <v>45873.885416666664</v>
      </c>
      <c r="D1986">
        <v>208</v>
      </c>
    </row>
    <row r="1987" spans="1:4" x14ac:dyDescent="0.25">
      <c r="A1987" t="s">
        <v>23</v>
      </c>
      <c r="B1987" t="s">
        <v>57</v>
      </c>
      <c r="C1987" s="1">
        <v>45875.145833333336</v>
      </c>
      <c r="D1987">
        <v>1</v>
      </c>
    </row>
    <row r="1988" spans="1:4" x14ac:dyDescent="0.25">
      <c r="A1988" t="s">
        <v>23</v>
      </c>
      <c r="B1988" t="s">
        <v>0</v>
      </c>
      <c r="C1988" s="1">
        <v>45875.583333333336</v>
      </c>
      <c r="D1988">
        <v>6</v>
      </c>
    </row>
    <row r="1989" spans="1:4" x14ac:dyDescent="0.25">
      <c r="A1989" t="s">
        <v>81</v>
      </c>
      <c r="B1989" t="s">
        <v>0</v>
      </c>
      <c r="C1989" s="1">
        <v>45872.625</v>
      </c>
      <c r="D1989">
        <v>2</v>
      </c>
    </row>
    <row r="1990" spans="1:4" x14ac:dyDescent="0.25">
      <c r="A1990" t="s">
        <v>9</v>
      </c>
      <c r="B1990" t="s">
        <v>8</v>
      </c>
      <c r="C1990" s="1">
        <v>45870.75</v>
      </c>
      <c r="D1990">
        <v>1</v>
      </c>
    </row>
    <row r="1991" spans="1:4" x14ac:dyDescent="0.25">
      <c r="A1991" t="s">
        <v>88</v>
      </c>
      <c r="B1991" t="s">
        <v>20</v>
      </c>
      <c r="C1991" s="1">
        <v>45871.020833333336</v>
      </c>
      <c r="D1991">
        <v>1</v>
      </c>
    </row>
    <row r="1992" spans="1:4" x14ac:dyDescent="0.25">
      <c r="A1992" t="s">
        <v>15</v>
      </c>
      <c r="B1992" t="s">
        <v>19</v>
      </c>
      <c r="C1992" s="1">
        <v>45871.166666666664</v>
      </c>
      <c r="D1992">
        <v>13</v>
      </c>
    </row>
    <row r="1993" spans="1:4" x14ac:dyDescent="0.25">
      <c r="A1993" t="s">
        <v>7</v>
      </c>
      <c r="B1993" t="s">
        <v>19</v>
      </c>
      <c r="C1993" s="1">
        <v>45876.145833333336</v>
      </c>
      <c r="D1993">
        <v>15</v>
      </c>
    </row>
    <row r="1994" spans="1:4" x14ac:dyDescent="0.25">
      <c r="A1994" t="s">
        <v>81</v>
      </c>
      <c r="B1994" t="s">
        <v>8</v>
      </c>
      <c r="C1994" s="1">
        <v>45872.625</v>
      </c>
      <c r="D1994">
        <v>2</v>
      </c>
    </row>
    <row r="1995" spans="1:4" x14ac:dyDescent="0.25">
      <c r="A1995" t="s">
        <v>23</v>
      </c>
      <c r="B1995" t="s">
        <v>20</v>
      </c>
      <c r="C1995" s="1">
        <v>45875.125</v>
      </c>
      <c r="D1995">
        <v>4</v>
      </c>
    </row>
    <row r="1996" spans="1:4" x14ac:dyDescent="0.25">
      <c r="A1996" t="s">
        <v>81</v>
      </c>
      <c r="B1996" t="s">
        <v>19</v>
      </c>
      <c r="C1996" s="1">
        <v>45872.145833333336</v>
      </c>
      <c r="D1996">
        <v>184</v>
      </c>
    </row>
    <row r="1997" spans="1:4" x14ac:dyDescent="0.25">
      <c r="A1997" t="s">
        <v>23</v>
      </c>
      <c r="B1997" t="s">
        <v>8</v>
      </c>
      <c r="C1997" s="1">
        <v>45871.541666666664</v>
      </c>
      <c r="D1997">
        <v>2</v>
      </c>
    </row>
    <row r="1998" spans="1:4" x14ac:dyDescent="0.25">
      <c r="A1998" t="s">
        <v>14</v>
      </c>
      <c r="B1998" t="s">
        <v>39</v>
      </c>
      <c r="C1998" s="1">
        <v>45882.458333333336</v>
      </c>
      <c r="D1998">
        <v>9</v>
      </c>
    </row>
    <row r="1999" spans="1:4" x14ac:dyDescent="0.25">
      <c r="A1999" t="s">
        <v>23</v>
      </c>
      <c r="B1999" t="s">
        <v>1</v>
      </c>
      <c r="C1999" s="1">
        <v>45876.020833333336</v>
      </c>
      <c r="D1999">
        <v>1</v>
      </c>
    </row>
    <row r="2000" spans="1:4" x14ac:dyDescent="0.25">
      <c r="A2000" t="s">
        <v>10</v>
      </c>
      <c r="B2000" t="s">
        <v>41</v>
      </c>
      <c r="C2000" s="1">
        <v>45855.458333333336</v>
      </c>
      <c r="D2000">
        <v>3</v>
      </c>
    </row>
    <row r="2001" spans="1:4" x14ac:dyDescent="0.25">
      <c r="A2001" t="s">
        <v>77</v>
      </c>
      <c r="B2001" t="s">
        <v>19</v>
      </c>
      <c r="C2001" s="1">
        <v>45874.947916666664</v>
      </c>
      <c r="D2001">
        <v>2</v>
      </c>
    </row>
    <row r="2002" spans="1:4" x14ac:dyDescent="0.25">
      <c r="A2002" t="s">
        <v>77</v>
      </c>
      <c r="B2002" t="s">
        <v>8</v>
      </c>
      <c r="C2002" s="1">
        <v>45872.541666666664</v>
      </c>
      <c r="D2002">
        <v>12</v>
      </c>
    </row>
    <row r="2003" spans="1:4" x14ac:dyDescent="0.25">
      <c r="A2003" t="s">
        <v>7</v>
      </c>
      <c r="B2003" t="s">
        <v>2</v>
      </c>
      <c r="C2003" s="1">
        <v>45873.125</v>
      </c>
      <c r="D2003">
        <v>78</v>
      </c>
    </row>
    <row r="2004" spans="1:4" x14ac:dyDescent="0.25">
      <c r="A2004" t="s">
        <v>23</v>
      </c>
      <c r="B2004" t="s">
        <v>8</v>
      </c>
      <c r="C2004" s="1">
        <v>45875.583333333336</v>
      </c>
      <c r="D2004">
        <v>222</v>
      </c>
    </row>
    <row r="2005" spans="1:4" x14ac:dyDescent="0.25">
      <c r="A2005" t="s">
        <v>7</v>
      </c>
      <c r="B2005" t="s">
        <v>1</v>
      </c>
      <c r="C2005" s="1">
        <v>45873.729166666664</v>
      </c>
      <c r="D2005">
        <v>1</v>
      </c>
    </row>
    <row r="2006" spans="1:4" x14ac:dyDescent="0.25">
      <c r="A2006" t="s">
        <v>77</v>
      </c>
      <c r="B2006" t="s">
        <v>39</v>
      </c>
      <c r="C2006" s="1">
        <v>45873.458333333336</v>
      </c>
      <c r="D2006">
        <v>20</v>
      </c>
    </row>
    <row r="2007" spans="1:4" x14ac:dyDescent="0.25">
      <c r="A2007" t="s">
        <v>81</v>
      </c>
      <c r="B2007" t="s">
        <v>57</v>
      </c>
      <c r="C2007" s="1">
        <v>45871.458333333336</v>
      </c>
      <c r="D2007">
        <v>94</v>
      </c>
    </row>
    <row r="2008" spans="1:4" x14ac:dyDescent="0.25">
      <c r="A2008" t="s">
        <v>7</v>
      </c>
      <c r="B2008" t="s">
        <v>19</v>
      </c>
      <c r="C2008" s="1">
        <v>45876.125</v>
      </c>
      <c r="D2008">
        <v>191</v>
      </c>
    </row>
    <row r="2009" spans="1:4" x14ac:dyDescent="0.25">
      <c r="A2009" t="s">
        <v>81</v>
      </c>
      <c r="B2009" t="s">
        <v>19</v>
      </c>
      <c r="C2009" s="1">
        <v>45872.625</v>
      </c>
      <c r="D2009">
        <v>2</v>
      </c>
    </row>
    <row r="2010" spans="1:4" x14ac:dyDescent="0.25">
      <c r="A2010" t="s">
        <v>7</v>
      </c>
      <c r="B2010" t="s">
        <v>1</v>
      </c>
      <c r="C2010" s="1">
        <v>45872.020833333336</v>
      </c>
      <c r="D2010">
        <v>19</v>
      </c>
    </row>
    <row r="2011" spans="1:4" x14ac:dyDescent="0.25">
      <c r="A2011" t="s">
        <v>81</v>
      </c>
      <c r="B2011" t="s">
        <v>2</v>
      </c>
      <c r="C2011" s="1">
        <v>45871.958333333336</v>
      </c>
      <c r="D2011">
        <v>13</v>
      </c>
    </row>
    <row r="2012" spans="1:4" x14ac:dyDescent="0.25">
      <c r="A2012" t="s">
        <v>88</v>
      </c>
      <c r="B2012" t="s">
        <v>1</v>
      </c>
      <c r="C2012" s="1">
        <v>45871.208333333336</v>
      </c>
      <c r="D2012">
        <v>13</v>
      </c>
    </row>
    <row r="2013" spans="1:4" x14ac:dyDescent="0.25">
      <c r="A2013" t="s">
        <v>7</v>
      </c>
      <c r="B2013" t="s">
        <v>0</v>
      </c>
      <c r="C2013" s="1">
        <v>45873.208333333336</v>
      </c>
      <c r="D2013">
        <v>4</v>
      </c>
    </row>
    <row r="2014" spans="1:4" x14ac:dyDescent="0.25">
      <c r="A2014" t="s">
        <v>9</v>
      </c>
      <c r="B2014" t="s">
        <v>41</v>
      </c>
      <c r="C2014" s="1">
        <v>45863.458333333336</v>
      </c>
      <c r="D2014">
        <v>5</v>
      </c>
    </row>
    <row r="2015" spans="1:4" x14ac:dyDescent="0.25">
      <c r="A2015" t="s">
        <v>12</v>
      </c>
      <c r="B2015" t="s">
        <v>57</v>
      </c>
      <c r="C2015" s="1">
        <v>45871.1875</v>
      </c>
      <c r="D2015">
        <v>8</v>
      </c>
    </row>
    <row r="2016" spans="1:4" x14ac:dyDescent="0.25">
      <c r="A2016" t="s">
        <v>10</v>
      </c>
      <c r="B2016" t="s">
        <v>1</v>
      </c>
      <c r="C2016" s="1">
        <v>45871.166666666664</v>
      </c>
      <c r="D2016">
        <v>15</v>
      </c>
    </row>
    <row r="2017" spans="1:4" x14ac:dyDescent="0.25">
      <c r="A2017" t="s">
        <v>7</v>
      </c>
      <c r="B2017" t="s">
        <v>8</v>
      </c>
      <c r="C2017" s="1">
        <v>45876.145833333336</v>
      </c>
      <c r="D2017">
        <v>10</v>
      </c>
    </row>
    <row r="2018" spans="1:4" x14ac:dyDescent="0.25">
      <c r="A2018" t="s">
        <v>11</v>
      </c>
      <c r="B2018" t="s">
        <v>294</v>
      </c>
      <c r="C2018" s="1">
        <v>45875.458333333336</v>
      </c>
      <c r="D2018">
        <v>11</v>
      </c>
    </row>
    <row r="2019" spans="1:4" x14ac:dyDescent="0.25">
      <c r="A2019" t="s">
        <v>23</v>
      </c>
      <c r="B2019" t="s">
        <v>1</v>
      </c>
      <c r="C2019" s="1">
        <v>45874.885416666664</v>
      </c>
      <c r="D2019">
        <v>4</v>
      </c>
    </row>
    <row r="2020" spans="1:4" x14ac:dyDescent="0.25">
      <c r="A2020" t="s">
        <v>7</v>
      </c>
      <c r="B2020" t="s">
        <v>85</v>
      </c>
      <c r="C2020" s="1">
        <v>45871.666666666664</v>
      </c>
      <c r="D2020">
        <v>2</v>
      </c>
    </row>
    <row r="2021" spans="1:4" x14ac:dyDescent="0.25">
      <c r="A2021" t="s">
        <v>7</v>
      </c>
      <c r="B2021" t="s">
        <v>8</v>
      </c>
      <c r="C2021" s="1">
        <v>45870.958333333336</v>
      </c>
      <c r="D2021">
        <v>4</v>
      </c>
    </row>
    <row r="2022" spans="1:4" x14ac:dyDescent="0.25">
      <c r="A2022" t="s">
        <v>11</v>
      </c>
      <c r="B2022" t="s">
        <v>84</v>
      </c>
      <c r="C2022" s="1">
        <v>45709.5</v>
      </c>
      <c r="D2022">
        <v>27</v>
      </c>
    </row>
    <row r="2023" spans="1:4" x14ac:dyDescent="0.25">
      <c r="A2023" t="s">
        <v>77</v>
      </c>
      <c r="B2023" t="s">
        <v>8</v>
      </c>
      <c r="C2023" s="1">
        <v>45876.583333333336</v>
      </c>
      <c r="D2023">
        <v>5</v>
      </c>
    </row>
    <row r="2024" spans="1:4" x14ac:dyDescent="0.25">
      <c r="A2024" t="s">
        <v>7</v>
      </c>
      <c r="B2024" t="s">
        <v>19</v>
      </c>
      <c r="C2024" s="1">
        <v>45875.541666666664</v>
      </c>
      <c r="D2024">
        <v>145</v>
      </c>
    </row>
    <row r="2025" spans="1:4" x14ac:dyDescent="0.25">
      <c r="A2025" t="s">
        <v>86</v>
      </c>
      <c r="B2025" t="s">
        <v>8</v>
      </c>
      <c r="C2025" s="1">
        <v>45873.583333333336</v>
      </c>
      <c r="D2025">
        <v>2</v>
      </c>
    </row>
    <row r="2026" spans="1:4" x14ac:dyDescent="0.25">
      <c r="A2026" t="s">
        <v>11</v>
      </c>
      <c r="B2026" t="s">
        <v>8</v>
      </c>
      <c r="C2026" s="1">
        <v>45868.041666666664</v>
      </c>
      <c r="D2026">
        <v>5</v>
      </c>
    </row>
    <row r="2027" spans="1:4" x14ac:dyDescent="0.25">
      <c r="A2027" t="s">
        <v>7</v>
      </c>
      <c r="B2027" t="s">
        <v>53</v>
      </c>
      <c r="C2027" s="1">
        <v>45853.458333333336</v>
      </c>
      <c r="D2027">
        <v>2</v>
      </c>
    </row>
    <row r="2028" spans="1:4" x14ac:dyDescent="0.25">
      <c r="A2028" t="s">
        <v>23</v>
      </c>
      <c r="B2028" t="s">
        <v>19</v>
      </c>
      <c r="C2028" s="1">
        <v>45875.583333333336</v>
      </c>
      <c r="D2028">
        <v>230</v>
      </c>
    </row>
    <row r="2029" spans="1:4" x14ac:dyDescent="0.25">
      <c r="A2029" t="s">
        <v>23</v>
      </c>
      <c r="B2029" t="s">
        <v>2</v>
      </c>
      <c r="C2029" s="1">
        <v>45873.208333333336</v>
      </c>
      <c r="D2029">
        <v>4</v>
      </c>
    </row>
    <row r="2030" spans="1:4" x14ac:dyDescent="0.25">
      <c r="A2030" t="s">
        <v>339</v>
      </c>
      <c r="B2030" t="s">
        <v>8</v>
      </c>
      <c r="C2030" s="1">
        <v>45871.145833333336</v>
      </c>
      <c r="D2030">
        <v>1</v>
      </c>
    </row>
    <row r="2031" spans="1:4" x14ac:dyDescent="0.25">
      <c r="A2031" t="s">
        <v>81</v>
      </c>
      <c r="B2031" t="s">
        <v>1</v>
      </c>
      <c r="C2031" s="1">
        <v>45873.583333333336</v>
      </c>
      <c r="D2031">
        <v>23</v>
      </c>
    </row>
    <row r="2032" spans="1:4" x14ac:dyDescent="0.25">
      <c r="A2032" t="s">
        <v>23</v>
      </c>
      <c r="B2032" t="s">
        <v>1</v>
      </c>
      <c r="C2032" s="1">
        <v>45877.125</v>
      </c>
      <c r="D2032">
        <v>9</v>
      </c>
    </row>
    <row r="2033" spans="1:4" x14ac:dyDescent="0.25">
      <c r="A2033" t="s">
        <v>81</v>
      </c>
      <c r="B2033" t="s">
        <v>19</v>
      </c>
      <c r="C2033" s="1">
        <v>45873.083333333336</v>
      </c>
      <c r="D2033">
        <v>27</v>
      </c>
    </row>
    <row r="2034" spans="1:4" x14ac:dyDescent="0.25">
      <c r="A2034" t="s">
        <v>7</v>
      </c>
      <c r="B2034" t="s">
        <v>19</v>
      </c>
      <c r="C2034" s="1">
        <v>45876.666666666664</v>
      </c>
      <c r="D2034">
        <v>8</v>
      </c>
    </row>
    <row r="2035" spans="1:4" x14ac:dyDescent="0.25">
      <c r="A2035" t="s">
        <v>13</v>
      </c>
      <c r="B2035" t="s">
        <v>80</v>
      </c>
      <c r="C2035" s="1">
        <v>45875.458333333336</v>
      </c>
      <c r="D2035">
        <v>26</v>
      </c>
    </row>
    <row r="2036" spans="1:4" x14ac:dyDescent="0.25">
      <c r="A2036" t="s">
        <v>81</v>
      </c>
      <c r="B2036" t="s">
        <v>1</v>
      </c>
      <c r="C2036" s="1">
        <v>45873.885416666664</v>
      </c>
      <c r="D2036">
        <v>1</v>
      </c>
    </row>
    <row r="2037" spans="1:4" x14ac:dyDescent="0.25">
      <c r="A2037" t="s">
        <v>81</v>
      </c>
      <c r="B2037" t="s">
        <v>1</v>
      </c>
      <c r="C2037" s="1">
        <v>45871.604166666664</v>
      </c>
      <c r="D2037">
        <v>1</v>
      </c>
    </row>
    <row r="2038" spans="1:4" x14ac:dyDescent="0.25">
      <c r="A2038" t="s">
        <v>23</v>
      </c>
      <c r="B2038" t="s">
        <v>41</v>
      </c>
      <c r="C2038" s="1">
        <v>45910.458333333336</v>
      </c>
      <c r="D2038">
        <v>1</v>
      </c>
    </row>
    <row r="2039" spans="1:4" x14ac:dyDescent="0.25">
      <c r="A2039" t="s">
        <v>7</v>
      </c>
      <c r="B2039" t="s">
        <v>294</v>
      </c>
      <c r="C2039" s="1">
        <v>45876.458333333336</v>
      </c>
      <c r="D2039">
        <v>1</v>
      </c>
    </row>
    <row r="2040" spans="1:4" x14ac:dyDescent="0.25">
      <c r="A2040" t="s">
        <v>83</v>
      </c>
      <c r="B2040" t="s">
        <v>19</v>
      </c>
      <c r="C2040" s="1">
        <v>45867.083333333336</v>
      </c>
      <c r="D2040">
        <v>1</v>
      </c>
    </row>
    <row r="2041" spans="1:4" x14ac:dyDescent="0.25">
      <c r="A2041" t="s">
        <v>10</v>
      </c>
      <c r="B2041" t="s">
        <v>0</v>
      </c>
      <c r="C2041" s="1">
        <v>45871.458333333336</v>
      </c>
      <c r="D2041">
        <v>2</v>
      </c>
    </row>
    <row r="2042" spans="1:4" x14ac:dyDescent="0.25">
      <c r="A2042" t="s">
        <v>7</v>
      </c>
      <c r="B2042" t="s">
        <v>19</v>
      </c>
      <c r="C2042" s="1">
        <v>45871.947916666664</v>
      </c>
      <c r="D2042">
        <v>73</v>
      </c>
    </row>
    <row r="2043" spans="1:4" x14ac:dyDescent="0.25">
      <c r="A2043" t="s">
        <v>10</v>
      </c>
      <c r="B2043" t="s">
        <v>1</v>
      </c>
      <c r="C2043" s="1">
        <v>45871.916666666664</v>
      </c>
      <c r="D2043">
        <v>1</v>
      </c>
    </row>
    <row r="2044" spans="1:4" x14ac:dyDescent="0.25">
      <c r="A2044" t="s">
        <v>7</v>
      </c>
      <c r="B2044" t="s">
        <v>1</v>
      </c>
      <c r="C2044" s="1">
        <v>45873.625</v>
      </c>
      <c r="D2044">
        <v>8</v>
      </c>
    </row>
    <row r="2045" spans="1:4" x14ac:dyDescent="0.25">
      <c r="A2045" t="s">
        <v>81</v>
      </c>
      <c r="B2045" t="s">
        <v>57</v>
      </c>
      <c r="C2045" s="1">
        <v>45871.145833333336</v>
      </c>
      <c r="D2045">
        <v>5</v>
      </c>
    </row>
    <row r="2046" spans="1:4" x14ac:dyDescent="0.25">
      <c r="A2046" t="s">
        <v>13</v>
      </c>
      <c r="B2046" t="s">
        <v>4</v>
      </c>
      <c r="C2046" s="1">
        <v>45874.125</v>
      </c>
      <c r="D2046">
        <v>2</v>
      </c>
    </row>
    <row r="2047" spans="1:4" x14ac:dyDescent="0.25">
      <c r="A2047" t="s">
        <v>7</v>
      </c>
      <c r="B2047" t="s">
        <v>0</v>
      </c>
      <c r="C2047" s="1">
        <v>45873.166666666664</v>
      </c>
      <c r="D2047">
        <v>3</v>
      </c>
    </row>
    <row r="2048" spans="1:4" x14ac:dyDescent="0.25">
      <c r="A2048" t="s">
        <v>78</v>
      </c>
      <c r="B2048" t="s">
        <v>4</v>
      </c>
      <c r="C2048" s="1">
        <v>45877.125</v>
      </c>
      <c r="D2048">
        <v>5</v>
      </c>
    </row>
    <row r="2049" spans="1:4" x14ac:dyDescent="0.25">
      <c r="A2049" t="s">
        <v>7</v>
      </c>
      <c r="B2049" t="s">
        <v>20</v>
      </c>
      <c r="C2049" s="1">
        <v>45876.666666666664</v>
      </c>
      <c r="D2049">
        <v>1</v>
      </c>
    </row>
    <row r="2050" spans="1:4" x14ac:dyDescent="0.25">
      <c r="A2050" t="s">
        <v>14</v>
      </c>
      <c r="B2050" t="s">
        <v>19</v>
      </c>
      <c r="C2050" s="1">
        <v>45873.583333333336</v>
      </c>
      <c r="D2050">
        <v>1</v>
      </c>
    </row>
    <row r="2051" spans="1:4" x14ac:dyDescent="0.25">
      <c r="A2051" t="s">
        <v>7</v>
      </c>
      <c r="B2051" t="s">
        <v>1</v>
      </c>
      <c r="C2051" s="1">
        <v>45872.208333333336</v>
      </c>
      <c r="D2051">
        <v>55</v>
      </c>
    </row>
    <row r="2052" spans="1:4" x14ac:dyDescent="0.25">
      <c r="A2052" t="s">
        <v>7</v>
      </c>
      <c r="B2052" t="s">
        <v>57</v>
      </c>
      <c r="C2052" s="1">
        <v>45872.145833333336</v>
      </c>
      <c r="D2052">
        <v>8</v>
      </c>
    </row>
    <row r="2053" spans="1:4" x14ac:dyDescent="0.25">
      <c r="A2053" t="s">
        <v>7</v>
      </c>
      <c r="B2053" t="s">
        <v>20</v>
      </c>
      <c r="C2053" s="1">
        <v>45871.958333333336</v>
      </c>
      <c r="D2053">
        <v>20</v>
      </c>
    </row>
    <row r="2054" spans="1:4" x14ac:dyDescent="0.25">
      <c r="A2054" t="s">
        <v>81</v>
      </c>
      <c r="B2054" t="s">
        <v>2</v>
      </c>
      <c r="C2054" s="1">
        <v>45874.125</v>
      </c>
      <c r="D2054">
        <v>1</v>
      </c>
    </row>
    <row r="2055" spans="1:4" x14ac:dyDescent="0.25">
      <c r="A2055" t="s">
        <v>9</v>
      </c>
      <c r="B2055" t="s">
        <v>20</v>
      </c>
      <c r="C2055" s="1">
        <v>45871.5</v>
      </c>
      <c r="D2055">
        <v>1</v>
      </c>
    </row>
    <row r="2056" spans="1:4" x14ac:dyDescent="0.25">
      <c r="A2056" t="s">
        <v>81</v>
      </c>
      <c r="B2056" t="s">
        <v>57</v>
      </c>
      <c r="C2056" s="1">
        <v>45873.583333333336</v>
      </c>
      <c r="D2056">
        <v>1</v>
      </c>
    </row>
    <row r="2057" spans="1:4" x14ac:dyDescent="0.25">
      <c r="A2057" t="s">
        <v>11</v>
      </c>
      <c r="B2057" t="s">
        <v>0</v>
      </c>
      <c r="C2057" s="1">
        <v>45867.208333333336</v>
      </c>
      <c r="D2057">
        <v>1</v>
      </c>
    </row>
    <row r="2058" spans="1:4" x14ac:dyDescent="0.25">
      <c r="A2058" t="s">
        <v>7</v>
      </c>
      <c r="B2058" t="s">
        <v>19</v>
      </c>
      <c r="C2058" s="1">
        <v>45874.083333333336</v>
      </c>
      <c r="D2058">
        <v>3</v>
      </c>
    </row>
    <row r="2059" spans="1:4" x14ac:dyDescent="0.25">
      <c r="A2059" t="s">
        <v>7</v>
      </c>
      <c r="B2059" t="s">
        <v>57</v>
      </c>
      <c r="C2059" s="1">
        <v>45872.458333333336</v>
      </c>
      <c r="D2059">
        <v>1</v>
      </c>
    </row>
    <row r="2060" spans="1:4" x14ac:dyDescent="0.25">
      <c r="A2060" t="s">
        <v>81</v>
      </c>
      <c r="B2060" t="s">
        <v>20</v>
      </c>
      <c r="C2060" s="1">
        <v>45873.083333333336</v>
      </c>
      <c r="D2060">
        <v>3</v>
      </c>
    </row>
    <row r="2061" spans="1:4" x14ac:dyDescent="0.25">
      <c r="A2061" t="s">
        <v>10</v>
      </c>
      <c r="B2061" t="s">
        <v>0</v>
      </c>
      <c r="C2061" s="1">
        <v>45871.145833333336</v>
      </c>
      <c r="D2061">
        <v>316</v>
      </c>
    </row>
    <row r="2062" spans="1:4" x14ac:dyDescent="0.25">
      <c r="A2062" t="s">
        <v>7</v>
      </c>
      <c r="B2062" t="s">
        <v>8</v>
      </c>
      <c r="C2062" s="1">
        <v>45871.854166666664</v>
      </c>
      <c r="D2062">
        <v>2</v>
      </c>
    </row>
    <row r="2063" spans="1:4" x14ac:dyDescent="0.25">
      <c r="A2063" t="s">
        <v>7</v>
      </c>
      <c r="B2063" t="s">
        <v>0</v>
      </c>
      <c r="C2063" s="1">
        <v>45871.75</v>
      </c>
      <c r="D2063">
        <v>46</v>
      </c>
    </row>
    <row r="2064" spans="1:4" x14ac:dyDescent="0.25">
      <c r="A2064" t="s">
        <v>77</v>
      </c>
      <c r="B2064" t="s">
        <v>19</v>
      </c>
      <c r="C2064" s="1">
        <v>45871.854166666664</v>
      </c>
      <c r="D2064">
        <v>12</v>
      </c>
    </row>
    <row r="2065" spans="1:4" x14ac:dyDescent="0.25">
      <c r="A2065" t="s">
        <v>9</v>
      </c>
      <c r="B2065" t="s">
        <v>1</v>
      </c>
      <c r="C2065" s="1">
        <v>45871.75</v>
      </c>
      <c r="D2065">
        <v>3</v>
      </c>
    </row>
    <row r="2066" spans="1:4" x14ac:dyDescent="0.25">
      <c r="A2066" t="s">
        <v>87</v>
      </c>
      <c r="B2066" t="s">
        <v>4</v>
      </c>
      <c r="C2066" s="1">
        <v>45858.458333333336</v>
      </c>
      <c r="D2066">
        <v>1</v>
      </c>
    </row>
    <row r="2067" spans="1:4" x14ac:dyDescent="0.25">
      <c r="A2067" t="s">
        <v>7</v>
      </c>
      <c r="B2067" t="s">
        <v>1</v>
      </c>
      <c r="C2067" s="1">
        <v>45871.1875</v>
      </c>
      <c r="D2067">
        <v>113</v>
      </c>
    </row>
    <row r="2068" spans="1:4" x14ac:dyDescent="0.25">
      <c r="A2068" t="s">
        <v>7</v>
      </c>
      <c r="B2068" t="s">
        <v>8</v>
      </c>
      <c r="C2068" s="1">
        <v>45871.947916666664</v>
      </c>
      <c r="D2068">
        <v>82</v>
      </c>
    </row>
    <row r="2069" spans="1:4" x14ac:dyDescent="0.25">
      <c r="A2069" t="s">
        <v>9</v>
      </c>
      <c r="B2069" t="s">
        <v>53</v>
      </c>
      <c r="C2069" s="1">
        <v>45871.458333333336</v>
      </c>
      <c r="D2069">
        <v>50</v>
      </c>
    </row>
    <row r="2070" spans="1:4" x14ac:dyDescent="0.25">
      <c r="A2070" t="s">
        <v>15</v>
      </c>
      <c r="B2070" t="s">
        <v>19</v>
      </c>
      <c r="C2070" s="1">
        <v>45871.083333333336</v>
      </c>
      <c r="D2070">
        <v>13</v>
      </c>
    </row>
    <row r="2071" spans="1:4" x14ac:dyDescent="0.25">
      <c r="A2071" t="s">
        <v>7</v>
      </c>
      <c r="B2071" t="s">
        <v>0</v>
      </c>
      <c r="C2071" s="1">
        <v>45874.125</v>
      </c>
      <c r="D2071">
        <v>13</v>
      </c>
    </row>
    <row r="2072" spans="1:4" x14ac:dyDescent="0.25">
      <c r="A2072" t="s">
        <v>81</v>
      </c>
      <c r="B2072" t="s">
        <v>57</v>
      </c>
      <c r="C2072" s="1">
        <v>45872.666666666664</v>
      </c>
      <c r="D2072">
        <v>3</v>
      </c>
    </row>
    <row r="2073" spans="1:4" x14ac:dyDescent="0.25">
      <c r="A2073" t="s">
        <v>88</v>
      </c>
      <c r="B2073" t="s">
        <v>0</v>
      </c>
      <c r="C2073" s="1">
        <v>45871.166666666664</v>
      </c>
      <c r="D2073">
        <v>24</v>
      </c>
    </row>
    <row r="2074" spans="1:4" x14ac:dyDescent="0.25">
      <c r="A2074" t="s">
        <v>7</v>
      </c>
      <c r="B2074" t="s">
        <v>1</v>
      </c>
      <c r="C2074" s="1">
        <v>45874.583333333336</v>
      </c>
      <c r="D2074">
        <v>9</v>
      </c>
    </row>
    <row r="2075" spans="1:4" x14ac:dyDescent="0.25">
      <c r="A2075" t="s">
        <v>23</v>
      </c>
      <c r="B2075" t="s">
        <v>19</v>
      </c>
      <c r="C2075" s="1">
        <v>45874.145833333336</v>
      </c>
      <c r="D2075">
        <v>16</v>
      </c>
    </row>
    <row r="2076" spans="1:4" x14ac:dyDescent="0.25">
      <c r="A2076" t="s">
        <v>7</v>
      </c>
      <c r="B2076" t="s">
        <v>19</v>
      </c>
      <c r="C2076" s="1">
        <v>45871.854166666664</v>
      </c>
      <c r="D2076">
        <v>31</v>
      </c>
    </row>
    <row r="2077" spans="1:4" x14ac:dyDescent="0.25">
      <c r="A2077" t="s">
        <v>23</v>
      </c>
      <c r="B2077" t="s">
        <v>8</v>
      </c>
      <c r="C2077" s="1">
        <v>45872.083333333336</v>
      </c>
      <c r="D2077">
        <v>22</v>
      </c>
    </row>
    <row r="2078" spans="1:4" x14ac:dyDescent="0.25">
      <c r="A2078" t="s">
        <v>14</v>
      </c>
      <c r="B2078" t="s">
        <v>19</v>
      </c>
      <c r="C2078" s="1">
        <v>45869.125</v>
      </c>
      <c r="D2078">
        <v>2</v>
      </c>
    </row>
    <row r="2079" spans="1:4" x14ac:dyDescent="0.25">
      <c r="A2079" t="s">
        <v>9</v>
      </c>
      <c r="B2079" t="s">
        <v>19</v>
      </c>
      <c r="C2079" s="1">
        <v>45866.541666666664</v>
      </c>
      <c r="D2079">
        <v>1</v>
      </c>
    </row>
    <row r="2080" spans="1:4" x14ac:dyDescent="0.25">
      <c r="A2080" t="s">
        <v>12</v>
      </c>
      <c r="B2080" t="s">
        <v>19</v>
      </c>
      <c r="C2080" s="1">
        <v>45867.125</v>
      </c>
      <c r="D2080">
        <v>1</v>
      </c>
    </row>
    <row r="2081" spans="1:4" x14ac:dyDescent="0.25">
      <c r="A2081" t="s">
        <v>7</v>
      </c>
      <c r="B2081" t="s">
        <v>2</v>
      </c>
      <c r="C2081" s="1">
        <v>45873.916666666664</v>
      </c>
      <c r="D2081">
        <v>1</v>
      </c>
    </row>
    <row r="2082" spans="1:4" x14ac:dyDescent="0.25">
      <c r="A2082" t="s">
        <v>23</v>
      </c>
      <c r="B2082" t="s">
        <v>2</v>
      </c>
      <c r="C2082" s="1">
        <v>45873.125</v>
      </c>
      <c r="D2082">
        <v>41</v>
      </c>
    </row>
    <row r="2083" spans="1:4" x14ac:dyDescent="0.25">
      <c r="A2083" t="s">
        <v>11</v>
      </c>
      <c r="B2083" t="s">
        <v>51</v>
      </c>
      <c r="C2083" s="1">
        <v>45830.458333333336</v>
      </c>
      <c r="D2083">
        <v>1</v>
      </c>
    </row>
    <row r="2084" spans="1:4" x14ac:dyDescent="0.25">
      <c r="A2084" t="s">
        <v>9</v>
      </c>
      <c r="B2084" t="s">
        <v>53</v>
      </c>
      <c r="C2084" s="1">
        <v>45855.458333333336</v>
      </c>
      <c r="D2084">
        <v>6</v>
      </c>
    </row>
    <row r="2085" spans="1:4" x14ac:dyDescent="0.25">
      <c r="A2085" t="s">
        <v>81</v>
      </c>
      <c r="B2085" t="s">
        <v>8</v>
      </c>
      <c r="C2085" s="1">
        <v>45874.145833333336</v>
      </c>
      <c r="D2085">
        <v>9</v>
      </c>
    </row>
    <row r="2086" spans="1:4" x14ac:dyDescent="0.25">
      <c r="A2086" t="s">
        <v>81</v>
      </c>
      <c r="B2086" t="s">
        <v>0</v>
      </c>
      <c r="C2086" s="1">
        <v>45871.958333333336</v>
      </c>
      <c r="D2086">
        <v>20</v>
      </c>
    </row>
    <row r="2087" spans="1:4" x14ac:dyDescent="0.25">
      <c r="A2087" t="s">
        <v>7</v>
      </c>
      <c r="B2087" t="s">
        <v>84</v>
      </c>
      <c r="C2087" s="1">
        <v>45806.885416666664</v>
      </c>
      <c r="D2087">
        <v>3</v>
      </c>
    </row>
    <row r="2088" spans="1:4" x14ac:dyDescent="0.25">
      <c r="A2088" t="s">
        <v>81</v>
      </c>
      <c r="B2088" t="s">
        <v>1</v>
      </c>
      <c r="C2088" s="1">
        <v>45871.208333333336</v>
      </c>
      <c r="D2088">
        <v>5</v>
      </c>
    </row>
    <row r="2089" spans="1:4" x14ac:dyDescent="0.25">
      <c r="A2089" t="s">
        <v>23</v>
      </c>
      <c r="B2089" t="s">
        <v>8</v>
      </c>
      <c r="C2089" s="1">
        <v>45876.729166666664</v>
      </c>
      <c r="D2089">
        <v>49</v>
      </c>
    </row>
    <row r="2090" spans="1:4" x14ac:dyDescent="0.25">
      <c r="A2090" t="s">
        <v>81</v>
      </c>
      <c r="B2090" t="s">
        <v>2</v>
      </c>
      <c r="C2090" s="1">
        <v>45871.75</v>
      </c>
      <c r="D2090">
        <v>30</v>
      </c>
    </row>
    <row r="2091" spans="1:4" x14ac:dyDescent="0.25">
      <c r="A2091" t="s">
        <v>9</v>
      </c>
      <c r="B2091" t="s">
        <v>19</v>
      </c>
      <c r="C2091" s="1">
        <v>45871.1875</v>
      </c>
      <c r="D2091">
        <v>193</v>
      </c>
    </row>
    <row r="2092" spans="1:4" x14ac:dyDescent="0.25">
      <c r="A2092" t="s">
        <v>11</v>
      </c>
      <c r="B2092" t="s">
        <v>92</v>
      </c>
      <c r="C2092" s="1">
        <v>45871.458333333336</v>
      </c>
      <c r="D2092">
        <v>1</v>
      </c>
    </row>
    <row r="2093" spans="1:4" x14ac:dyDescent="0.25">
      <c r="A2093" t="s">
        <v>77</v>
      </c>
      <c r="B2093" t="s">
        <v>8</v>
      </c>
      <c r="C2093" s="1">
        <v>45871.916666666664</v>
      </c>
      <c r="D2093">
        <v>35</v>
      </c>
    </row>
    <row r="2094" spans="1:4" x14ac:dyDescent="0.25">
      <c r="A2094" t="s">
        <v>10</v>
      </c>
      <c r="B2094" t="s">
        <v>2</v>
      </c>
      <c r="C2094" s="1">
        <v>45871.041666666664</v>
      </c>
      <c r="D2094">
        <v>2</v>
      </c>
    </row>
    <row r="2095" spans="1:4" x14ac:dyDescent="0.25">
      <c r="A2095" t="s">
        <v>14</v>
      </c>
      <c r="B2095" t="s">
        <v>57</v>
      </c>
      <c r="C2095" s="1">
        <v>45870.885416666664</v>
      </c>
      <c r="D2095">
        <v>1</v>
      </c>
    </row>
    <row r="2096" spans="1:4" x14ac:dyDescent="0.25">
      <c r="A2096" t="s">
        <v>7</v>
      </c>
      <c r="B2096" t="s">
        <v>8</v>
      </c>
      <c r="C2096" s="1">
        <v>45872.166666666664</v>
      </c>
      <c r="D2096">
        <v>67</v>
      </c>
    </row>
    <row r="2097" spans="1:4" x14ac:dyDescent="0.25">
      <c r="A2097" t="s">
        <v>9</v>
      </c>
      <c r="B2097" t="s">
        <v>20</v>
      </c>
      <c r="C2097" s="1">
        <v>45871.395833333336</v>
      </c>
      <c r="D2097">
        <v>1</v>
      </c>
    </row>
    <row r="2098" spans="1:4" x14ac:dyDescent="0.25">
      <c r="A2098" t="s">
        <v>81</v>
      </c>
      <c r="B2098" t="s">
        <v>8</v>
      </c>
      <c r="C2098" s="1">
        <v>45873.083333333336</v>
      </c>
      <c r="D2098">
        <v>12</v>
      </c>
    </row>
    <row r="2099" spans="1:4" x14ac:dyDescent="0.25">
      <c r="A2099" t="s">
        <v>23</v>
      </c>
      <c r="B2099" t="s">
        <v>19</v>
      </c>
      <c r="C2099" s="1">
        <v>45876.729166666664</v>
      </c>
      <c r="D2099">
        <v>26</v>
      </c>
    </row>
    <row r="2100" spans="1:4" x14ac:dyDescent="0.25">
      <c r="A2100" t="s">
        <v>81</v>
      </c>
      <c r="B2100" t="s">
        <v>0</v>
      </c>
      <c r="C2100" s="1">
        <v>45873.020833333336</v>
      </c>
      <c r="D2100">
        <v>1</v>
      </c>
    </row>
    <row r="2101" spans="1:4" x14ac:dyDescent="0.25">
      <c r="A2101" t="s">
        <v>7</v>
      </c>
      <c r="B2101" t="s">
        <v>2</v>
      </c>
      <c r="C2101" s="1">
        <v>45877.145833333336</v>
      </c>
      <c r="D2101">
        <v>1</v>
      </c>
    </row>
    <row r="2102" spans="1:4" x14ac:dyDescent="0.25">
      <c r="A2102" t="s">
        <v>7</v>
      </c>
      <c r="B2102" t="s">
        <v>8</v>
      </c>
      <c r="C2102" s="1">
        <v>45875.458333333336</v>
      </c>
      <c r="D2102">
        <v>6</v>
      </c>
    </row>
    <row r="2103" spans="1:4" x14ac:dyDescent="0.25">
      <c r="A2103" t="s">
        <v>7</v>
      </c>
      <c r="B2103" t="s">
        <v>41</v>
      </c>
      <c r="C2103" s="1">
        <v>45876.458333333336</v>
      </c>
      <c r="D2103">
        <v>260</v>
      </c>
    </row>
    <row r="2104" spans="1:4" x14ac:dyDescent="0.25">
      <c r="A2104" t="s">
        <v>12</v>
      </c>
      <c r="B2104" t="s">
        <v>20</v>
      </c>
      <c r="C2104" s="1">
        <v>45871.729166666664</v>
      </c>
      <c r="D2104">
        <v>6</v>
      </c>
    </row>
    <row r="2105" spans="1:4" x14ac:dyDescent="0.25">
      <c r="A2105" t="s">
        <v>7</v>
      </c>
      <c r="B2105" t="s">
        <v>1</v>
      </c>
      <c r="C2105" s="1">
        <v>45874.885416666664</v>
      </c>
      <c r="D2105">
        <v>4</v>
      </c>
    </row>
    <row r="2106" spans="1:4" x14ac:dyDescent="0.25">
      <c r="A2106" t="s">
        <v>88</v>
      </c>
      <c r="B2106" t="s">
        <v>57</v>
      </c>
      <c r="C2106" s="1">
        <v>45871.208333333336</v>
      </c>
      <c r="D2106">
        <v>10</v>
      </c>
    </row>
    <row r="2107" spans="1:4" x14ac:dyDescent="0.25">
      <c r="A2107" t="s">
        <v>23</v>
      </c>
      <c r="B2107" t="s">
        <v>1</v>
      </c>
      <c r="C2107" s="1">
        <v>45871.208333333336</v>
      </c>
      <c r="D2107">
        <v>12</v>
      </c>
    </row>
    <row r="2108" spans="1:4" x14ac:dyDescent="0.25">
      <c r="A2108" t="s">
        <v>7</v>
      </c>
      <c r="B2108" t="s">
        <v>2</v>
      </c>
      <c r="C2108" s="1">
        <v>45875.083333333336</v>
      </c>
      <c r="D2108">
        <v>2</v>
      </c>
    </row>
    <row r="2109" spans="1:4" x14ac:dyDescent="0.25">
      <c r="A2109" t="s">
        <v>7</v>
      </c>
      <c r="B2109" t="s">
        <v>19</v>
      </c>
      <c r="C2109" s="1">
        <v>45876.458333333336</v>
      </c>
      <c r="D2109">
        <v>5</v>
      </c>
    </row>
    <row r="2110" spans="1:4" x14ac:dyDescent="0.25">
      <c r="A2110" t="s">
        <v>23</v>
      </c>
      <c r="B2110" t="s">
        <v>8</v>
      </c>
      <c r="C2110" s="1">
        <v>45874.145833333336</v>
      </c>
      <c r="D2110">
        <v>18</v>
      </c>
    </row>
    <row r="2111" spans="1:4" x14ac:dyDescent="0.25">
      <c r="A2111" t="s">
        <v>23</v>
      </c>
      <c r="B2111" t="s">
        <v>19</v>
      </c>
      <c r="C2111" s="1">
        <v>45872.083333333336</v>
      </c>
      <c r="D2111">
        <v>31</v>
      </c>
    </row>
    <row r="2112" spans="1:4" x14ac:dyDescent="0.25">
      <c r="A2112" t="s">
        <v>12</v>
      </c>
      <c r="B2112" t="s">
        <v>57</v>
      </c>
      <c r="C2112" s="1">
        <v>45871.166666666664</v>
      </c>
      <c r="D2112">
        <v>9</v>
      </c>
    </row>
    <row r="2113" spans="1:4" x14ac:dyDescent="0.25">
      <c r="A2113" t="s">
        <v>23</v>
      </c>
      <c r="B2113" t="s">
        <v>1</v>
      </c>
      <c r="C2113" s="1">
        <v>45872.625</v>
      </c>
      <c r="D2113">
        <v>14</v>
      </c>
    </row>
    <row r="2114" spans="1:4" x14ac:dyDescent="0.25">
      <c r="A2114" t="s">
        <v>12</v>
      </c>
      <c r="B2114" t="s">
        <v>2</v>
      </c>
      <c r="C2114" s="1">
        <v>45871.208333333336</v>
      </c>
      <c r="D2114">
        <v>15</v>
      </c>
    </row>
    <row r="2115" spans="1:4" x14ac:dyDescent="0.25">
      <c r="A2115" t="s">
        <v>23</v>
      </c>
      <c r="B2115" t="s">
        <v>20</v>
      </c>
      <c r="C2115" s="1">
        <v>45871.166666666664</v>
      </c>
      <c r="D2115">
        <v>2</v>
      </c>
    </row>
    <row r="2116" spans="1:4" x14ac:dyDescent="0.25">
      <c r="A2116" t="s">
        <v>77</v>
      </c>
      <c r="B2116" t="s">
        <v>1</v>
      </c>
      <c r="C2116" s="1">
        <v>45872.208333333336</v>
      </c>
      <c r="D2116">
        <v>3</v>
      </c>
    </row>
    <row r="2117" spans="1:4" x14ac:dyDescent="0.25">
      <c r="A2117" t="s">
        <v>77</v>
      </c>
      <c r="B2117" t="s">
        <v>19</v>
      </c>
      <c r="C2117" s="1">
        <v>45871.947916666664</v>
      </c>
      <c r="D2117">
        <v>10</v>
      </c>
    </row>
    <row r="2118" spans="1:4" x14ac:dyDescent="0.25">
      <c r="A2118" t="s">
        <v>23</v>
      </c>
      <c r="B2118" t="s">
        <v>0</v>
      </c>
      <c r="C2118" s="1">
        <v>45871.166666666664</v>
      </c>
      <c r="D2118">
        <v>14</v>
      </c>
    </row>
    <row r="2119" spans="1:4" x14ac:dyDescent="0.25">
      <c r="A2119" t="s">
        <v>7</v>
      </c>
      <c r="B2119" t="s">
        <v>57</v>
      </c>
      <c r="C2119" s="1">
        <v>45871.083333333336</v>
      </c>
      <c r="D2119">
        <v>54</v>
      </c>
    </row>
    <row r="2120" spans="1:4" x14ac:dyDescent="0.25">
      <c r="A2120" t="s">
        <v>83</v>
      </c>
      <c r="B2120" t="s">
        <v>19</v>
      </c>
      <c r="C2120" s="1">
        <v>45866.020833333336</v>
      </c>
      <c r="D2120">
        <v>6</v>
      </c>
    </row>
    <row r="2121" spans="1:4" x14ac:dyDescent="0.25">
      <c r="A2121" t="s">
        <v>23</v>
      </c>
      <c r="B2121" t="s">
        <v>57</v>
      </c>
      <c r="C2121" s="1">
        <v>45872.729166666664</v>
      </c>
      <c r="D2121">
        <v>1</v>
      </c>
    </row>
    <row r="2122" spans="1:4" x14ac:dyDescent="0.25">
      <c r="A2122" t="s">
        <v>81</v>
      </c>
      <c r="B2122" t="s">
        <v>20</v>
      </c>
      <c r="C2122" s="1">
        <v>45871.166666666664</v>
      </c>
      <c r="D2122">
        <v>125</v>
      </c>
    </row>
    <row r="2123" spans="1:4" x14ac:dyDescent="0.25">
      <c r="A2123" t="s">
        <v>7</v>
      </c>
      <c r="B2123" t="s">
        <v>2</v>
      </c>
      <c r="C2123" s="1">
        <v>45873.947916666664</v>
      </c>
      <c r="D2123">
        <v>1</v>
      </c>
    </row>
    <row r="2124" spans="1:4" x14ac:dyDescent="0.25">
      <c r="A2124" t="s">
        <v>77</v>
      </c>
      <c r="B2124" t="s">
        <v>57</v>
      </c>
      <c r="C2124" s="1">
        <v>45871.145833333336</v>
      </c>
      <c r="D2124">
        <v>774</v>
      </c>
    </row>
    <row r="2125" spans="1:4" x14ac:dyDescent="0.25">
      <c r="A2125" t="s">
        <v>77</v>
      </c>
      <c r="B2125" t="s">
        <v>1</v>
      </c>
      <c r="C2125" s="1">
        <v>45872.604166666664</v>
      </c>
      <c r="D2125">
        <v>2</v>
      </c>
    </row>
    <row r="2126" spans="1:4" x14ac:dyDescent="0.25">
      <c r="A2126" t="s">
        <v>23</v>
      </c>
      <c r="B2126" t="s">
        <v>19</v>
      </c>
      <c r="C2126" s="1">
        <v>45876.541666666664</v>
      </c>
      <c r="D2126">
        <v>120</v>
      </c>
    </row>
    <row r="2127" spans="1:4" x14ac:dyDescent="0.25">
      <c r="A2127" t="s">
        <v>81</v>
      </c>
      <c r="B2127" t="s">
        <v>8</v>
      </c>
      <c r="C2127" s="1">
        <v>45874.458333333336</v>
      </c>
      <c r="D2127">
        <v>7</v>
      </c>
    </row>
    <row r="2128" spans="1:4" x14ac:dyDescent="0.25">
      <c r="A2128" t="s">
        <v>9</v>
      </c>
      <c r="B2128" t="s">
        <v>20</v>
      </c>
      <c r="C2128" s="1">
        <v>45873.583333333336</v>
      </c>
      <c r="D2128">
        <v>1</v>
      </c>
    </row>
    <row r="2129" spans="1:4" x14ac:dyDescent="0.25">
      <c r="A2129" t="s">
        <v>7</v>
      </c>
      <c r="B2129" t="s">
        <v>0</v>
      </c>
      <c r="C2129" s="1">
        <v>45871.958333333336</v>
      </c>
      <c r="D2129">
        <v>21</v>
      </c>
    </row>
    <row r="2130" spans="1:4" x14ac:dyDescent="0.25">
      <c r="A2130" t="s">
        <v>10</v>
      </c>
      <c r="B2130" t="s">
        <v>2</v>
      </c>
      <c r="C2130" s="1">
        <v>45871.083333333336</v>
      </c>
      <c r="D2130">
        <v>39</v>
      </c>
    </row>
    <row r="2131" spans="1:4" x14ac:dyDescent="0.25">
      <c r="A2131" t="s">
        <v>10</v>
      </c>
      <c r="B2131" t="s">
        <v>8</v>
      </c>
      <c r="C2131" s="1">
        <v>45871.604166666664</v>
      </c>
      <c r="D2131">
        <v>3</v>
      </c>
    </row>
    <row r="2132" spans="1:4" x14ac:dyDescent="0.25">
      <c r="A2132" t="s">
        <v>81</v>
      </c>
      <c r="B2132" t="s">
        <v>20</v>
      </c>
      <c r="C2132" s="1">
        <v>45877.75</v>
      </c>
      <c r="D2132">
        <v>1</v>
      </c>
    </row>
    <row r="2133" spans="1:4" x14ac:dyDescent="0.25">
      <c r="A2133" t="s">
        <v>88</v>
      </c>
      <c r="B2133" t="s">
        <v>1</v>
      </c>
      <c r="C2133" s="1">
        <v>45871.666666666664</v>
      </c>
      <c r="D2133">
        <v>2</v>
      </c>
    </row>
    <row r="2134" spans="1:4" x14ac:dyDescent="0.25">
      <c r="A2134" t="s">
        <v>7</v>
      </c>
      <c r="B2134" t="s">
        <v>8</v>
      </c>
      <c r="C2134" s="1">
        <v>45876.458333333336</v>
      </c>
      <c r="D2134">
        <v>4</v>
      </c>
    </row>
    <row r="2135" spans="1:4" x14ac:dyDescent="0.25">
      <c r="A2135" t="s">
        <v>7</v>
      </c>
      <c r="B2135" t="s">
        <v>20</v>
      </c>
      <c r="C2135" s="1">
        <v>45871.75</v>
      </c>
      <c r="D2135">
        <v>27</v>
      </c>
    </row>
    <row r="2136" spans="1:4" x14ac:dyDescent="0.25">
      <c r="A2136" t="s">
        <v>23</v>
      </c>
      <c r="B2136" t="s">
        <v>19</v>
      </c>
      <c r="C2136" s="1">
        <v>45875.666666666664</v>
      </c>
      <c r="D2136">
        <v>18</v>
      </c>
    </row>
    <row r="2137" spans="1:4" x14ac:dyDescent="0.25">
      <c r="A2137" t="s">
        <v>83</v>
      </c>
      <c r="B2137" t="s">
        <v>19</v>
      </c>
      <c r="C2137" s="1">
        <v>45871.729166666664</v>
      </c>
      <c r="D2137">
        <v>2</v>
      </c>
    </row>
    <row r="2138" spans="1:4" x14ac:dyDescent="0.25">
      <c r="A2138" t="s">
        <v>9</v>
      </c>
      <c r="B2138" t="s">
        <v>0</v>
      </c>
      <c r="C2138" s="1">
        <v>45871.083333333336</v>
      </c>
      <c r="D2138">
        <v>172</v>
      </c>
    </row>
    <row r="2139" spans="1:4" x14ac:dyDescent="0.25">
      <c r="A2139" t="s">
        <v>23</v>
      </c>
      <c r="B2139" t="s">
        <v>2</v>
      </c>
      <c r="C2139" s="1">
        <v>45877.583333333336</v>
      </c>
      <c r="D2139">
        <v>12</v>
      </c>
    </row>
    <row r="2140" spans="1:4" x14ac:dyDescent="0.25">
      <c r="A2140" t="s">
        <v>77</v>
      </c>
      <c r="B2140" t="s">
        <v>1</v>
      </c>
      <c r="C2140" s="1">
        <v>45871.1875</v>
      </c>
      <c r="D2140">
        <v>101</v>
      </c>
    </row>
    <row r="2141" spans="1:4" x14ac:dyDescent="0.25">
      <c r="A2141" t="s">
        <v>7</v>
      </c>
      <c r="B2141" t="s">
        <v>20</v>
      </c>
      <c r="C2141" s="1">
        <v>45870.885416666664</v>
      </c>
      <c r="D2141">
        <v>1</v>
      </c>
    </row>
    <row r="2142" spans="1:4" x14ac:dyDescent="0.25">
      <c r="A2142" t="s">
        <v>23</v>
      </c>
      <c r="B2142" t="s">
        <v>8</v>
      </c>
      <c r="C2142" s="1">
        <v>45863.125</v>
      </c>
      <c r="D2142">
        <v>6</v>
      </c>
    </row>
    <row r="2143" spans="1:4" x14ac:dyDescent="0.25">
      <c r="A2143" t="s">
        <v>7</v>
      </c>
      <c r="B2143" t="s">
        <v>57</v>
      </c>
      <c r="C2143" s="1">
        <v>45873.666666666664</v>
      </c>
      <c r="D2143">
        <v>1</v>
      </c>
    </row>
    <row r="2144" spans="1:4" x14ac:dyDescent="0.25">
      <c r="A2144" t="s">
        <v>15</v>
      </c>
      <c r="B2144" t="s">
        <v>20</v>
      </c>
      <c r="C2144" s="1">
        <v>45871.1875</v>
      </c>
      <c r="D2144">
        <v>1</v>
      </c>
    </row>
    <row r="2145" spans="1:4" x14ac:dyDescent="0.25">
      <c r="A2145" t="s">
        <v>77</v>
      </c>
      <c r="B2145" t="s">
        <v>8</v>
      </c>
      <c r="C2145" s="1">
        <v>45871.947916666664</v>
      </c>
      <c r="D2145">
        <v>32</v>
      </c>
    </row>
    <row r="2146" spans="1:4" x14ac:dyDescent="0.25">
      <c r="A2146" t="s">
        <v>7</v>
      </c>
      <c r="B2146" t="s">
        <v>8</v>
      </c>
      <c r="C2146" s="1">
        <v>45879.916666666664</v>
      </c>
      <c r="D2146">
        <v>3</v>
      </c>
    </row>
    <row r="2147" spans="1:4" x14ac:dyDescent="0.25">
      <c r="A2147" t="s">
        <v>7</v>
      </c>
      <c r="B2147" t="s">
        <v>20</v>
      </c>
      <c r="C2147" s="1">
        <v>45873.166666666664</v>
      </c>
      <c r="D2147">
        <v>5</v>
      </c>
    </row>
    <row r="2148" spans="1:4" x14ac:dyDescent="0.25">
      <c r="A2148" t="s">
        <v>23</v>
      </c>
      <c r="B2148" t="s">
        <v>8</v>
      </c>
      <c r="C2148" s="1">
        <v>45875.666666666664</v>
      </c>
      <c r="D2148">
        <v>18</v>
      </c>
    </row>
    <row r="2149" spans="1:4" x14ac:dyDescent="0.25">
      <c r="A2149" t="s">
        <v>81</v>
      </c>
      <c r="B2149" t="s">
        <v>2</v>
      </c>
      <c r="C2149" s="1">
        <v>45872.916666666664</v>
      </c>
      <c r="D2149">
        <v>18</v>
      </c>
    </row>
    <row r="2150" spans="1:4" x14ac:dyDescent="0.25">
      <c r="A2150" t="s">
        <v>7</v>
      </c>
      <c r="B2150" t="s">
        <v>20</v>
      </c>
      <c r="C2150" s="1">
        <v>45873.020833333336</v>
      </c>
      <c r="D2150">
        <v>3</v>
      </c>
    </row>
    <row r="2151" spans="1:4" x14ac:dyDescent="0.25">
      <c r="A2151" t="s">
        <v>9</v>
      </c>
      <c r="B2151" t="s">
        <v>19</v>
      </c>
      <c r="C2151" s="1">
        <v>45869.125</v>
      </c>
      <c r="D2151">
        <v>1</v>
      </c>
    </row>
    <row r="2152" spans="1:4" x14ac:dyDescent="0.25">
      <c r="A2152" t="s">
        <v>9</v>
      </c>
      <c r="B2152" t="s">
        <v>1</v>
      </c>
      <c r="C2152" s="1">
        <v>45871.541666666664</v>
      </c>
      <c r="D2152">
        <v>13</v>
      </c>
    </row>
    <row r="2153" spans="1:4" x14ac:dyDescent="0.25">
      <c r="A2153" t="s">
        <v>77</v>
      </c>
      <c r="B2153" t="s">
        <v>294</v>
      </c>
      <c r="C2153" s="1">
        <v>45876.458333333336</v>
      </c>
      <c r="D2153">
        <v>1</v>
      </c>
    </row>
    <row r="2154" spans="1:4" x14ac:dyDescent="0.25">
      <c r="A2154" t="s">
        <v>23</v>
      </c>
      <c r="B2154" t="s">
        <v>8</v>
      </c>
      <c r="C2154" s="1">
        <v>45876.541666666664</v>
      </c>
      <c r="D2154">
        <v>132</v>
      </c>
    </row>
    <row r="2155" spans="1:4" x14ac:dyDescent="0.25">
      <c r="A2155" t="s">
        <v>10</v>
      </c>
      <c r="B2155" t="s">
        <v>19</v>
      </c>
      <c r="C2155" s="1">
        <v>45871.604166666664</v>
      </c>
      <c r="D2155">
        <v>12</v>
      </c>
    </row>
    <row r="2156" spans="1:4" x14ac:dyDescent="0.25">
      <c r="A2156" t="s">
        <v>11</v>
      </c>
      <c r="B2156" t="s">
        <v>0</v>
      </c>
      <c r="C2156" s="1">
        <v>45871.947916666664</v>
      </c>
      <c r="D2156">
        <v>1</v>
      </c>
    </row>
    <row r="2157" spans="1:4" x14ac:dyDescent="0.25">
      <c r="A2157" t="s">
        <v>23</v>
      </c>
      <c r="B2157" t="s">
        <v>0</v>
      </c>
      <c r="C2157" s="1">
        <v>45872.020833333336</v>
      </c>
      <c r="D2157">
        <v>15</v>
      </c>
    </row>
    <row r="2158" spans="1:4" x14ac:dyDescent="0.25">
      <c r="A2158" t="s">
        <v>77</v>
      </c>
      <c r="B2158" t="s">
        <v>19</v>
      </c>
      <c r="C2158" s="1">
        <v>45871.916666666664</v>
      </c>
      <c r="D2158">
        <v>11</v>
      </c>
    </row>
    <row r="2159" spans="1:4" x14ac:dyDescent="0.25">
      <c r="A2159" t="s">
        <v>9</v>
      </c>
      <c r="B2159" t="s">
        <v>8</v>
      </c>
      <c r="C2159" s="1">
        <v>45871.1875</v>
      </c>
      <c r="D2159">
        <v>117</v>
      </c>
    </row>
    <row r="2160" spans="1:4" x14ac:dyDescent="0.25">
      <c r="A2160" t="s">
        <v>81</v>
      </c>
      <c r="B2160" t="s">
        <v>8</v>
      </c>
      <c r="C2160" s="1">
        <v>45871.916666666664</v>
      </c>
      <c r="D2160">
        <v>271</v>
      </c>
    </row>
    <row r="2161" spans="1:4" x14ac:dyDescent="0.25">
      <c r="A2161" t="s">
        <v>11</v>
      </c>
      <c r="B2161" t="s">
        <v>19</v>
      </c>
      <c r="C2161" s="1">
        <v>45869.729166666664</v>
      </c>
      <c r="D2161">
        <v>2</v>
      </c>
    </row>
    <row r="2162" spans="1:4" x14ac:dyDescent="0.25">
      <c r="A2162" t="s">
        <v>10</v>
      </c>
      <c r="B2162" t="s">
        <v>41</v>
      </c>
      <c r="C2162" s="1">
        <v>45862.458333333336</v>
      </c>
      <c r="D2162">
        <v>14</v>
      </c>
    </row>
    <row r="2163" spans="1:4" x14ac:dyDescent="0.25">
      <c r="A2163" t="s">
        <v>23</v>
      </c>
      <c r="B2163" t="s">
        <v>20</v>
      </c>
      <c r="C2163" s="1">
        <v>45872.083333333336</v>
      </c>
      <c r="D2163">
        <v>13</v>
      </c>
    </row>
    <row r="2164" spans="1:4" x14ac:dyDescent="0.25">
      <c r="A2164" t="s">
        <v>81</v>
      </c>
      <c r="B2164" t="s">
        <v>2</v>
      </c>
      <c r="C2164" s="1">
        <v>45871.541666666664</v>
      </c>
      <c r="D2164">
        <v>208</v>
      </c>
    </row>
    <row r="2165" spans="1:4" x14ac:dyDescent="0.25">
      <c r="A2165" t="s">
        <v>9</v>
      </c>
      <c r="B2165" t="s">
        <v>41</v>
      </c>
      <c r="C2165" s="1">
        <v>45856.458333333336</v>
      </c>
      <c r="D2165">
        <v>7</v>
      </c>
    </row>
    <row r="2166" spans="1:4" x14ac:dyDescent="0.25">
      <c r="A2166" t="s">
        <v>23</v>
      </c>
      <c r="B2166" t="s">
        <v>8</v>
      </c>
      <c r="C2166" s="1">
        <v>45876.583333333336</v>
      </c>
      <c r="D2166">
        <v>119</v>
      </c>
    </row>
    <row r="2167" spans="1:4" x14ac:dyDescent="0.25">
      <c r="A2167" t="s">
        <v>10</v>
      </c>
      <c r="B2167" t="s">
        <v>19</v>
      </c>
      <c r="C2167" s="1">
        <v>45871.208333333336</v>
      </c>
      <c r="D2167">
        <v>812</v>
      </c>
    </row>
    <row r="2168" spans="1:4" x14ac:dyDescent="0.25">
      <c r="A2168" t="s">
        <v>7</v>
      </c>
      <c r="B2168" t="s">
        <v>2</v>
      </c>
      <c r="C2168" s="1">
        <v>45874.125</v>
      </c>
      <c r="D2168">
        <v>25</v>
      </c>
    </row>
    <row r="2169" spans="1:4" x14ac:dyDescent="0.25">
      <c r="A2169" t="s">
        <v>88</v>
      </c>
      <c r="B2169" t="s">
        <v>1</v>
      </c>
      <c r="C2169" s="1">
        <v>45871.625</v>
      </c>
      <c r="D2169">
        <v>1</v>
      </c>
    </row>
    <row r="2170" spans="1:4" x14ac:dyDescent="0.25">
      <c r="A2170" t="s">
        <v>78</v>
      </c>
      <c r="B2170" t="s">
        <v>4</v>
      </c>
      <c r="C2170" s="1">
        <v>45871.458333333336</v>
      </c>
      <c r="D2170">
        <v>199</v>
      </c>
    </row>
    <row r="2171" spans="1:4" x14ac:dyDescent="0.25">
      <c r="A2171" t="s">
        <v>7</v>
      </c>
      <c r="B2171" t="s">
        <v>8</v>
      </c>
      <c r="C2171" s="1">
        <v>45873.083333333336</v>
      </c>
      <c r="D2171">
        <v>60</v>
      </c>
    </row>
    <row r="2172" spans="1:4" x14ac:dyDescent="0.25">
      <c r="A2172" t="s">
        <v>87</v>
      </c>
      <c r="B2172" t="s">
        <v>2</v>
      </c>
      <c r="C2172" s="1">
        <v>45868.604166666664</v>
      </c>
      <c r="D2172">
        <v>1</v>
      </c>
    </row>
    <row r="2173" spans="1:4" x14ac:dyDescent="0.25">
      <c r="A2173" t="s">
        <v>7</v>
      </c>
      <c r="B2173" t="s">
        <v>1</v>
      </c>
      <c r="C2173" s="1">
        <v>45877.020833333336</v>
      </c>
      <c r="D2173">
        <v>1</v>
      </c>
    </row>
    <row r="2174" spans="1:4" x14ac:dyDescent="0.25">
      <c r="A2174" t="s">
        <v>9</v>
      </c>
      <c r="B2174" t="s">
        <v>41</v>
      </c>
      <c r="C2174" s="1">
        <v>45872.458333333336</v>
      </c>
      <c r="D2174">
        <v>68</v>
      </c>
    </row>
    <row r="2175" spans="1:4" x14ac:dyDescent="0.25">
      <c r="A2175" t="s">
        <v>14</v>
      </c>
      <c r="B2175" t="s">
        <v>40</v>
      </c>
      <c r="C2175" s="1">
        <v>45882.458333333336</v>
      </c>
      <c r="D2175">
        <v>2</v>
      </c>
    </row>
    <row r="2176" spans="1:4" x14ac:dyDescent="0.25">
      <c r="A2176" t="s">
        <v>14</v>
      </c>
      <c r="B2176" t="s">
        <v>8</v>
      </c>
      <c r="C2176" s="1">
        <v>45871.208333333336</v>
      </c>
      <c r="D2176">
        <v>10</v>
      </c>
    </row>
    <row r="2177" spans="1:4" x14ac:dyDescent="0.25">
      <c r="A2177" t="s">
        <v>81</v>
      </c>
      <c r="B2177" t="s">
        <v>0</v>
      </c>
      <c r="C2177" s="1">
        <v>45872.166666666664</v>
      </c>
      <c r="D2177">
        <v>18</v>
      </c>
    </row>
    <row r="2178" spans="1:4" x14ac:dyDescent="0.25">
      <c r="A2178" t="s">
        <v>23</v>
      </c>
      <c r="B2178" t="s">
        <v>39</v>
      </c>
      <c r="C2178" s="1">
        <v>45883.458333333336</v>
      </c>
      <c r="D2178">
        <v>2</v>
      </c>
    </row>
    <row r="2179" spans="1:4" x14ac:dyDescent="0.25">
      <c r="A2179" t="s">
        <v>81</v>
      </c>
      <c r="B2179" t="s">
        <v>19</v>
      </c>
      <c r="C2179" s="1">
        <v>45871.916666666664</v>
      </c>
      <c r="D2179">
        <v>229</v>
      </c>
    </row>
    <row r="2180" spans="1:4" x14ac:dyDescent="0.25">
      <c r="A2180" t="s">
        <v>12</v>
      </c>
      <c r="B2180" t="s">
        <v>2</v>
      </c>
      <c r="C2180" s="1">
        <v>45871.1875</v>
      </c>
      <c r="D2180">
        <v>8</v>
      </c>
    </row>
    <row r="2181" spans="1:4" x14ac:dyDescent="0.25">
      <c r="A2181" t="s">
        <v>9</v>
      </c>
      <c r="B2181" t="s">
        <v>51</v>
      </c>
      <c r="C2181" s="1">
        <v>45864.458333333336</v>
      </c>
      <c r="D2181">
        <v>2</v>
      </c>
    </row>
    <row r="2182" spans="1:4" x14ac:dyDescent="0.25">
      <c r="A2182" t="s">
        <v>10</v>
      </c>
      <c r="B2182" t="s">
        <v>8</v>
      </c>
      <c r="C2182" s="1">
        <v>45871.208333333336</v>
      </c>
      <c r="D2182">
        <v>108</v>
      </c>
    </row>
    <row r="2183" spans="1:4" x14ac:dyDescent="0.25">
      <c r="A2183" t="s">
        <v>83</v>
      </c>
      <c r="B2183" t="s">
        <v>19</v>
      </c>
      <c r="C2183" s="1">
        <v>45867.041666666664</v>
      </c>
      <c r="D2183">
        <v>8</v>
      </c>
    </row>
    <row r="2184" spans="1:4" x14ac:dyDescent="0.25">
      <c r="A2184" t="s">
        <v>9</v>
      </c>
      <c r="B2184" t="s">
        <v>2</v>
      </c>
      <c r="C2184" s="1">
        <v>45871.083333333336</v>
      </c>
      <c r="D2184">
        <v>48</v>
      </c>
    </row>
    <row r="2185" spans="1:4" x14ac:dyDescent="0.25">
      <c r="A2185" t="s">
        <v>23</v>
      </c>
      <c r="B2185" t="s">
        <v>2</v>
      </c>
      <c r="C2185" s="1">
        <v>45875.145833333336</v>
      </c>
      <c r="D2185">
        <v>1</v>
      </c>
    </row>
    <row r="2186" spans="1:4" x14ac:dyDescent="0.25">
      <c r="A2186" t="s">
        <v>87</v>
      </c>
      <c r="B2186" t="s">
        <v>53</v>
      </c>
      <c r="C2186" s="1">
        <v>45845.458333333336</v>
      </c>
      <c r="D2186">
        <v>1</v>
      </c>
    </row>
    <row r="2187" spans="1:4" x14ac:dyDescent="0.25">
      <c r="A2187" t="s">
        <v>23</v>
      </c>
      <c r="B2187" t="s">
        <v>1</v>
      </c>
      <c r="C2187" s="1">
        <v>45873.885416666664</v>
      </c>
      <c r="D2187">
        <v>2</v>
      </c>
    </row>
    <row r="2188" spans="1:4" x14ac:dyDescent="0.25">
      <c r="A2188" t="s">
        <v>7</v>
      </c>
      <c r="B2188" t="s">
        <v>1</v>
      </c>
      <c r="C2188" s="1">
        <v>45872.145833333336</v>
      </c>
      <c r="D2188">
        <v>51</v>
      </c>
    </row>
    <row r="2189" spans="1:4" x14ac:dyDescent="0.25">
      <c r="A2189" t="s">
        <v>81</v>
      </c>
      <c r="B2189" t="s">
        <v>8</v>
      </c>
      <c r="C2189" s="1">
        <v>45877.583333333336</v>
      </c>
      <c r="D2189">
        <v>2</v>
      </c>
    </row>
    <row r="2190" spans="1:4" x14ac:dyDescent="0.25">
      <c r="A2190" t="s">
        <v>23</v>
      </c>
      <c r="B2190" t="s">
        <v>20</v>
      </c>
      <c r="C2190" s="1">
        <v>45873.604166666664</v>
      </c>
      <c r="D2190">
        <v>2</v>
      </c>
    </row>
    <row r="2191" spans="1:4" x14ac:dyDescent="0.25">
      <c r="A2191" t="s">
        <v>7</v>
      </c>
      <c r="B2191" t="s">
        <v>8</v>
      </c>
      <c r="C2191" s="1">
        <v>45875.666666666664</v>
      </c>
      <c r="D2191">
        <v>18</v>
      </c>
    </row>
    <row r="2192" spans="1:4" x14ac:dyDescent="0.25">
      <c r="A2192" t="s">
        <v>9</v>
      </c>
      <c r="B2192" t="s">
        <v>19</v>
      </c>
      <c r="C2192" s="1">
        <v>45867.75</v>
      </c>
      <c r="D2192">
        <v>1</v>
      </c>
    </row>
    <row r="2193" spans="1:4" x14ac:dyDescent="0.25">
      <c r="A2193" t="s">
        <v>12</v>
      </c>
      <c r="B2193" t="s">
        <v>1</v>
      </c>
      <c r="C2193" s="1">
        <v>45871.916666666664</v>
      </c>
      <c r="D2193">
        <v>2</v>
      </c>
    </row>
    <row r="2194" spans="1:4" x14ac:dyDescent="0.25">
      <c r="A2194" t="s">
        <v>77</v>
      </c>
      <c r="B2194" t="s">
        <v>51</v>
      </c>
      <c r="C2194" s="1">
        <v>45875.458333333336</v>
      </c>
      <c r="D2194">
        <v>453</v>
      </c>
    </row>
    <row r="2195" spans="1:4" x14ac:dyDescent="0.25">
      <c r="A2195" t="s">
        <v>14</v>
      </c>
      <c r="B2195" t="s">
        <v>19</v>
      </c>
      <c r="C2195" s="1">
        <v>45871.208333333336</v>
      </c>
      <c r="D2195">
        <v>11</v>
      </c>
    </row>
    <row r="2196" spans="1:4" x14ac:dyDescent="0.25">
      <c r="A2196" t="s">
        <v>7</v>
      </c>
      <c r="B2196" t="s">
        <v>1</v>
      </c>
      <c r="C2196" s="1">
        <v>45871.5</v>
      </c>
      <c r="D2196">
        <v>2</v>
      </c>
    </row>
    <row r="2197" spans="1:4" x14ac:dyDescent="0.25">
      <c r="A2197" t="s">
        <v>23</v>
      </c>
      <c r="B2197" t="s">
        <v>19</v>
      </c>
      <c r="C2197" s="1">
        <v>45876.583333333336</v>
      </c>
      <c r="D2197">
        <v>90</v>
      </c>
    </row>
    <row r="2198" spans="1:4" x14ac:dyDescent="0.25">
      <c r="A2198" t="s">
        <v>81</v>
      </c>
      <c r="B2198" t="s">
        <v>1</v>
      </c>
      <c r="C2198" s="1">
        <v>45872.885416666664</v>
      </c>
      <c r="D2198">
        <v>18</v>
      </c>
    </row>
    <row r="2199" spans="1:4" x14ac:dyDescent="0.25">
      <c r="A2199" t="s">
        <v>7</v>
      </c>
      <c r="B2199" t="s">
        <v>4</v>
      </c>
      <c r="C2199" s="1">
        <v>45861.458333333336</v>
      </c>
      <c r="D2199">
        <v>1</v>
      </c>
    </row>
    <row r="2200" spans="1:4" x14ac:dyDescent="0.25">
      <c r="A2200" t="s">
        <v>9</v>
      </c>
      <c r="B2200" t="s">
        <v>0</v>
      </c>
      <c r="C2200" s="1">
        <v>45871.145833333336</v>
      </c>
      <c r="D2200">
        <v>526</v>
      </c>
    </row>
    <row r="2201" spans="1:4" x14ac:dyDescent="0.25">
      <c r="A2201" t="s">
        <v>10</v>
      </c>
      <c r="B2201" t="s">
        <v>2</v>
      </c>
      <c r="C2201" s="1">
        <v>45871.020833333336</v>
      </c>
      <c r="D2201">
        <v>15</v>
      </c>
    </row>
    <row r="2202" spans="1:4" x14ac:dyDescent="0.25">
      <c r="A2202" t="s">
        <v>88</v>
      </c>
      <c r="B2202" t="s">
        <v>8</v>
      </c>
      <c r="C2202" s="1">
        <v>45871.083333333336</v>
      </c>
      <c r="D2202">
        <v>16</v>
      </c>
    </row>
    <row r="2203" spans="1:4" x14ac:dyDescent="0.25">
      <c r="A2203" t="s">
        <v>14</v>
      </c>
      <c r="B2203" t="s">
        <v>0</v>
      </c>
      <c r="C2203" s="1">
        <v>45871.083333333336</v>
      </c>
      <c r="D2203">
        <v>3</v>
      </c>
    </row>
    <row r="2204" spans="1:4" x14ac:dyDescent="0.25">
      <c r="A2204" t="s">
        <v>81</v>
      </c>
      <c r="B2204" t="s">
        <v>20</v>
      </c>
      <c r="C2204" s="1">
        <v>45874.666666666664</v>
      </c>
      <c r="D2204">
        <v>1</v>
      </c>
    </row>
    <row r="2205" spans="1:4" x14ac:dyDescent="0.25">
      <c r="A2205" t="s">
        <v>77</v>
      </c>
      <c r="B2205" t="s">
        <v>1</v>
      </c>
      <c r="C2205" s="1">
        <v>45870.395833333336</v>
      </c>
      <c r="D2205">
        <v>1</v>
      </c>
    </row>
    <row r="2206" spans="1:4" x14ac:dyDescent="0.25">
      <c r="A2206" t="s">
        <v>13</v>
      </c>
      <c r="B2206" t="s">
        <v>80</v>
      </c>
      <c r="C2206" s="1">
        <v>45874.458333333336</v>
      </c>
      <c r="D2206">
        <v>32</v>
      </c>
    </row>
    <row r="2207" spans="1:4" x14ac:dyDescent="0.25">
      <c r="A2207" t="s">
        <v>88</v>
      </c>
      <c r="B2207" t="s">
        <v>39</v>
      </c>
      <c r="C2207" s="1">
        <v>45883.458333333336</v>
      </c>
      <c r="D2207">
        <v>10</v>
      </c>
    </row>
    <row r="2208" spans="1:4" x14ac:dyDescent="0.25">
      <c r="A2208" t="s">
        <v>7</v>
      </c>
      <c r="B2208" t="s">
        <v>0</v>
      </c>
      <c r="C2208" s="1">
        <v>45871.729166666664</v>
      </c>
      <c r="D2208">
        <v>188</v>
      </c>
    </row>
    <row r="2209" spans="1:4" x14ac:dyDescent="0.25">
      <c r="A2209" t="s">
        <v>79</v>
      </c>
      <c r="B2209" t="s">
        <v>80</v>
      </c>
      <c r="C2209" s="1">
        <v>45869.458333333336</v>
      </c>
      <c r="D2209">
        <v>2</v>
      </c>
    </row>
    <row r="2210" spans="1:4" x14ac:dyDescent="0.25">
      <c r="A2210" t="s">
        <v>77</v>
      </c>
      <c r="B2210" t="s">
        <v>8</v>
      </c>
      <c r="C2210" s="1">
        <v>45874.458333333336</v>
      </c>
      <c r="D2210">
        <v>4</v>
      </c>
    </row>
    <row r="2211" spans="1:4" x14ac:dyDescent="0.25">
      <c r="A2211" t="s">
        <v>13</v>
      </c>
      <c r="B2211" t="s">
        <v>84</v>
      </c>
      <c r="C2211" s="1">
        <v>45831.583333333336</v>
      </c>
      <c r="D2211">
        <v>9</v>
      </c>
    </row>
    <row r="2212" spans="1:4" x14ac:dyDescent="0.25">
      <c r="A2212" t="s">
        <v>81</v>
      </c>
      <c r="B2212" t="s">
        <v>19</v>
      </c>
      <c r="C2212" s="1">
        <v>45871.947916666664</v>
      </c>
      <c r="D2212">
        <v>60</v>
      </c>
    </row>
    <row r="2213" spans="1:4" x14ac:dyDescent="0.25">
      <c r="A2213" t="s">
        <v>23</v>
      </c>
      <c r="B2213" t="s">
        <v>8</v>
      </c>
      <c r="C2213" s="1">
        <v>45871.916666666664</v>
      </c>
      <c r="D2213">
        <v>18</v>
      </c>
    </row>
    <row r="2214" spans="1:4" x14ac:dyDescent="0.25">
      <c r="A2214" t="s">
        <v>83</v>
      </c>
      <c r="B2214" t="s">
        <v>19</v>
      </c>
      <c r="C2214" s="1">
        <v>45866.083333333336</v>
      </c>
      <c r="D2214">
        <v>9</v>
      </c>
    </row>
    <row r="2215" spans="1:4" x14ac:dyDescent="0.25">
      <c r="A2215" t="s">
        <v>7</v>
      </c>
      <c r="B2215" t="s">
        <v>19</v>
      </c>
      <c r="C2215" s="1">
        <v>45872.947916666664</v>
      </c>
      <c r="D2215">
        <v>10</v>
      </c>
    </row>
    <row r="2216" spans="1:4" x14ac:dyDescent="0.25">
      <c r="A2216" t="s">
        <v>12</v>
      </c>
      <c r="B2216" t="s">
        <v>20</v>
      </c>
      <c r="C2216" s="1">
        <v>45871.541666666664</v>
      </c>
      <c r="D2216">
        <v>14</v>
      </c>
    </row>
    <row r="2217" spans="1:4" x14ac:dyDescent="0.25">
      <c r="A2217" t="s">
        <v>7</v>
      </c>
      <c r="B2217" t="s">
        <v>1</v>
      </c>
      <c r="C2217" s="1">
        <v>45874.625</v>
      </c>
      <c r="D2217">
        <v>1</v>
      </c>
    </row>
    <row r="2218" spans="1:4" x14ac:dyDescent="0.25">
      <c r="A2218" t="s">
        <v>7</v>
      </c>
      <c r="B2218" t="s">
        <v>1</v>
      </c>
      <c r="C2218" s="1">
        <v>45871.208333333336</v>
      </c>
      <c r="D2218">
        <v>512</v>
      </c>
    </row>
    <row r="2219" spans="1:4" x14ac:dyDescent="0.25">
      <c r="A2219" t="s">
        <v>78</v>
      </c>
      <c r="B2219" t="s">
        <v>4</v>
      </c>
      <c r="C2219" s="1">
        <v>45878.125</v>
      </c>
      <c r="D2219">
        <v>9</v>
      </c>
    </row>
    <row r="2220" spans="1:4" x14ac:dyDescent="0.25">
      <c r="A2220" t="s">
        <v>11</v>
      </c>
      <c r="B2220" t="s">
        <v>8</v>
      </c>
      <c r="C2220" s="1">
        <v>45871.125</v>
      </c>
      <c r="D2220">
        <v>130</v>
      </c>
    </row>
    <row r="2221" spans="1:4" x14ac:dyDescent="0.25">
      <c r="A2221" t="s">
        <v>7</v>
      </c>
      <c r="B2221" t="s">
        <v>2</v>
      </c>
      <c r="C2221" s="1">
        <v>45880.885416666664</v>
      </c>
      <c r="D2221">
        <v>1</v>
      </c>
    </row>
    <row r="2222" spans="1:4" x14ac:dyDescent="0.25">
      <c r="A2222" t="s">
        <v>7</v>
      </c>
      <c r="B2222" t="s">
        <v>20</v>
      </c>
      <c r="C2222" s="1">
        <v>45872.958333333336</v>
      </c>
      <c r="D2222">
        <v>1</v>
      </c>
    </row>
    <row r="2223" spans="1:4" x14ac:dyDescent="0.25">
      <c r="A2223" t="s">
        <v>23</v>
      </c>
      <c r="B2223" t="s">
        <v>19</v>
      </c>
      <c r="C2223" s="1">
        <v>45873.458333333336</v>
      </c>
      <c r="D2223">
        <v>2</v>
      </c>
    </row>
    <row r="2224" spans="1:4" x14ac:dyDescent="0.25">
      <c r="A2224" t="s">
        <v>7</v>
      </c>
      <c r="B2224" t="s">
        <v>57</v>
      </c>
      <c r="C2224" s="1">
        <v>45873.145833333336</v>
      </c>
      <c r="D2224">
        <v>1</v>
      </c>
    </row>
    <row r="2225" spans="1:4" x14ac:dyDescent="0.25">
      <c r="A2225" t="s">
        <v>7</v>
      </c>
      <c r="B2225" t="s">
        <v>19</v>
      </c>
      <c r="C2225" s="1">
        <v>45873.083333333336</v>
      </c>
      <c r="D2225">
        <v>66</v>
      </c>
    </row>
    <row r="2226" spans="1:4" x14ac:dyDescent="0.25">
      <c r="A2226" t="s">
        <v>23</v>
      </c>
      <c r="B2226" t="s">
        <v>8</v>
      </c>
      <c r="C2226" s="1">
        <v>45873.458333333336</v>
      </c>
      <c r="D2226">
        <v>2</v>
      </c>
    </row>
    <row r="2227" spans="1:4" x14ac:dyDescent="0.25">
      <c r="A2227" t="s">
        <v>88</v>
      </c>
      <c r="B2227" t="s">
        <v>19</v>
      </c>
      <c r="C2227" s="1">
        <v>45871.083333333336</v>
      </c>
      <c r="D2227">
        <v>12</v>
      </c>
    </row>
    <row r="2228" spans="1:4" x14ac:dyDescent="0.25">
      <c r="A2228" t="s">
        <v>88</v>
      </c>
      <c r="B2228" t="s">
        <v>1</v>
      </c>
      <c r="C2228" s="1">
        <v>45871.604166666664</v>
      </c>
      <c r="D2228">
        <v>5</v>
      </c>
    </row>
    <row r="2229" spans="1:4" x14ac:dyDescent="0.25">
      <c r="A2229" t="s">
        <v>11</v>
      </c>
      <c r="B2229" t="s">
        <v>51</v>
      </c>
      <c r="C2229" s="1">
        <v>45875.458333333336</v>
      </c>
      <c r="D2229">
        <v>141</v>
      </c>
    </row>
    <row r="2230" spans="1:4" x14ac:dyDescent="0.25">
      <c r="A2230" t="s">
        <v>9</v>
      </c>
      <c r="B2230" t="s">
        <v>40</v>
      </c>
      <c r="C2230" s="1">
        <v>45816.458333333336</v>
      </c>
      <c r="D2230">
        <v>1</v>
      </c>
    </row>
    <row r="2231" spans="1:4" x14ac:dyDescent="0.25">
      <c r="A2231" t="s">
        <v>11</v>
      </c>
      <c r="B2231" t="s">
        <v>0</v>
      </c>
      <c r="C2231" s="1">
        <v>45868.885416666664</v>
      </c>
      <c r="D2231">
        <v>1</v>
      </c>
    </row>
    <row r="2232" spans="1:4" x14ac:dyDescent="0.25">
      <c r="A2232" t="s">
        <v>14</v>
      </c>
      <c r="B2232" t="s">
        <v>51</v>
      </c>
      <c r="C2232" s="1">
        <v>45872.458333333336</v>
      </c>
      <c r="D2232">
        <v>3</v>
      </c>
    </row>
    <row r="2233" spans="1:4" x14ac:dyDescent="0.25">
      <c r="A2233" t="s">
        <v>88</v>
      </c>
      <c r="B2233" t="s">
        <v>1</v>
      </c>
      <c r="C2233" s="1">
        <v>45871.458333333336</v>
      </c>
      <c r="D2233">
        <v>1</v>
      </c>
    </row>
    <row r="2234" spans="1:4" x14ac:dyDescent="0.25">
      <c r="A2234" t="s">
        <v>11</v>
      </c>
      <c r="B2234" t="s">
        <v>19</v>
      </c>
      <c r="C2234" s="1">
        <v>45866.666666666664</v>
      </c>
      <c r="D2234">
        <v>3</v>
      </c>
    </row>
    <row r="2235" spans="1:4" x14ac:dyDescent="0.25">
      <c r="A2235" t="s">
        <v>23</v>
      </c>
      <c r="B2235" t="s">
        <v>19</v>
      </c>
      <c r="C2235" s="1">
        <v>45871.916666666664</v>
      </c>
      <c r="D2235">
        <v>12</v>
      </c>
    </row>
    <row r="2236" spans="1:4" x14ac:dyDescent="0.25">
      <c r="A2236" t="s">
        <v>81</v>
      </c>
      <c r="B2236" t="s">
        <v>1</v>
      </c>
      <c r="C2236" s="1">
        <v>45871.625</v>
      </c>
      <c r="D2236">
        <v>1</v>
      </c>
    </row>
    <row r="2237" spans="1:4" x14ac:dyDescent="0.25">
      <c r="A2237" t="s">
        <v>77</v>
      </c>
      <c r="B2237" t="s">
        <v>57</v>
      </c>
      <c r="C2237" s="1">
        <v>45871.083333333336</v>
      </c>
      <c r="D2237">
        <v>25</v>
      </c>
    </row>
    <row r="2238" spans="1:4" x14ac:dyDescent="0.25">
      <c r="A2238" t="s">
        <v>81</v>
      </c>
      <c r="B2238" t="s">
        <v>8</v>
      </c>
      <c r="C2238" s="1">
        <v>45871.947916666664</v>
      </c>
      <c r="D2238">
        <v>47</v>
      </c>
    </row>
    <row r="2239" spans="1:4" x14ac:dyDescent="0.25">
      <c r="A2239" t="s">
        <v>7</v>
      </c>
      <c r="B2239" t="s">
        <v>1</v>
      </c>
      <c r="C2239" s="1">
        <v>45872.1875</v>
      </c>
      <c r="D2239">
        <v>21</v>
      </c>
    </row>
    <row r="2240" spans="1:4" x14ac:dyDescent="0.25">
      <c r="A2240" t="s">
        <v>9</v>
      </c>
      <c r="B2240" t="s">
        <v>0</v>
      </c>
      <c r="C2240" s="1">
        <v>45871.458333333336</v>
      </c>
      <c r="D2240">
        <v>2</v>
      </c>
    </row>
    <row r="2241" spans="1:4" x14ac:dyDescent="0.25">
      <c r="A2241" t="s">
        <v>7</v>
      </c>
      <c r="B2241" t="s">
        <v>8</v>
      </c>
      <c r="C2241" s="1">
        <v>45872.947916666664</v>
      </c>
      <c r="D2241">
        <v>13</v>
      </c>
    </row>
    <row r="2242" spans="1:4" x14ac:dyDescent="0.25">
      <c r="A2242" t="s">
        <v>88</v>
      </c>
      <c r="B2242" t="s">
        <v>20</v>
      </c>
      <c r="C2242" s="1">
        <v>45871.083333333336</v>
      </c>
      <c r="D2242">
        <v>15</v>
      </c>
    </row>
    <row r="2243" spans="1:4" x14ac:dyDescent="0.25">
      <c r="A2243" t="s">
        <v>7</v>
      </c>
      <c r="B2243" t="s">
        <v>1</v>
      </c>
      <c r="C2243" s="1">
        <v>45875.583333333336</v>
      </c>
      <c r="D2243">
        <v>7</v>
      </c>
    </row>
    <row r="2244" spans="1:4" x14ac:dyDescent="0.25">
      <c r="A2244" t="s">
        <v>7</v>
      </c>
      <c r="B2244" t="s">
        <v>2</v>
      </c>
      <c r="C2244" s="1">
        <v>45871.625</v>
      </c>
      <c r="D2244">
        <v>245</v>
      </c>
    </row>
    <row r="2245" spans="1:4" x14ac:dyDescent="0.25">
      <c r="A2245" t="s">
        <v>7</v>
      </c>
      <c r="B2245" t="s">
        <v>0</v>
      </c>
      <c r="C2245" s="1">
        <v>45875.125</v>
      </c>
      <c r="D2245">
        <v>5</v>
      </c>
    </row>
    <row r="2246" spans="1:4" x14ac:dyDescent="0.25">
      <c r="A2246" t="s">
        <v>9</v>
      </c>
      <c r="B2246" t="s">
        <v>53</v>
      </c>
      <c r="C2246" s="1">
        <v>45872.458333333336</v>
      </c>
      <c r="D2246">
        <v>87</v>
      </c>
    </row>
    <row r="2247" spans="1:4" x14ac:dyDescent="0.25">
      <c r="A2247" t="s">
        <v>23</v>
      </c>
      <c r="B2247" t="s">
        <v>19</v>
      </c>
      <c r="C2247" s="1">
        <v>45873.145833333336</v>
      </c>
      <c r="D2247">
        <v>7</v>
      </c>
    </row>
    <row r="2248" spans="1:4" x14ac:dyDescent="0.25">
      <c r="A2248" t="s">
        <v>10</v>
      </c>
      <c r="B2248" t="s">
        <v>39</v>
      </c>
      <c r="C2248" s="1">
        <v>45872.458333333336</v>
      </c>
      <c r="D2248">
        <v>1</v>
      </c>
    </row>
    <row r="2249" spans="1:4" x14ac:dyDescent="0.25">
      <c r="A2249" t="s">
        <v>81</v>
      </c>
      <c r="B2249" t="s">
        <v>57</v>
      </c>
      <c r="C2249" s="1">
        <v>45871.666666666664</v>
      </c>
      <c r="D2249">
        <v>201</v>
      </c>
    </row>
    <row r="2250" spans="1:4" x14ac:dyDescent="0.25">
      <c r="A2250" t="s">
        <v>15</v>
      </c>
      <c r="B2250" t="s">
        <v>8</v>
      </c>
      <c r="C2250" s="1">
        <v>45871.458333333336</v>
      </c>
      <c r="D2250">
        <v>2</v>
      </c>
    </row>
    <row r="2251" spans="1:4" x14ac:dyDescent="0.25">
      <c r="A2251" t="s">
        <v>23</v>
      </c>
      <c r="B2251" t="s">
        <v>8</v>
      </c>
      <c r="C2251" s="1">
        <v>45873.083333333336</v>
      </c>
      <c r="D2251">
        <v>45</v>
      </c>
    </row>
    <row r="2252" spans="1:4" x14ac:dyDescent="0.25">
      <c r="A2252" t="s">
        <v>7</v>
      </c>
      <c r="B2252" t="s">
        <v>2</v>
      </c>
      <c r="C2252" s="1">
        <v>45872.916666666664</v>
      </c>
      <c r="D2252">
        <v>19</v>
      </c>
    </row>
    <row r="2253" spans="1:4" x14ac:dyDescent="0.25">
      <c r="A2253" t="s">
        <v>9</v>
      </c>
      <c r="B2253" t="s">
        <v>19</v>
      </c>
      <c r="C2253" s="1">
        <v>45871.604166666664</v>
      </c>
      <c r="D2253">
        <v>17</v>
      </c>
    </row>
    <row r="2254" spans="1:4" x14ac:dyDescent="0.25">
      <c r="A2254" t="s">
        <v>7</v>
      </c>
      <c r="B2254" t="s">
        <v>19</v>
      </c>
      <c r="C2254" s="1">
        <v>45879.916666666664</v>
      </c>
      <c r="D2254">
        <v>4</v>
      </c>
    </row>
    <row r="2255" spans="1:4" x14ac:dyDescent="0.25">
      <c r="A2255" t="s">
        <v>9</v>
      </c>
      <c r="B2255" t="s">
        <v>20</v>
      </c>
      <c r="C2255" s="1">
        <v>45871.208333333336</v>
      </c>
      <c r="D2255">
        <v>301</v>
      </c>
    </row>
    <row r="2256" spans="1:4" x14ac:dyDescent="0.25">
      <c r="A2256" t="s">
        <v>23</v>
      </c>
      <c r="B2256" t="s">
        <v>2</v>
      </c>
      <c r="C2256" s="1">
        <v>45874.125</v>
      </c>
      <c r="D2256">
        <v>24</v>
      </c>
    </row>
    <row r="2257" spans="1:4" x14ac:dyDescent="0.25">
      <c r="A2257" t="s">
        <v>81</v>
      </c>
      <c r="B2257" t="s">
        <v>8</v>
      </c>
      <c r="C2257" s="1">
        <v>45871.854166666664</v>
      </c>
      <c r="D2257">
        <v>2</v>
      </c>
    </row>
    <row r="2258" spans="1:4" x14ac:dyDescent="0.25">
      <c r="A2258" t="s">
        <v>9</v>
      </c>
      <c r="B2258" t="s">
        <v>1</v>
      </c>
      <c r="C2258" s="1">
        <v>45871.916666666664</v>
      </c>
      <c r="D2258">
        <v>3</v>
      </c>
    </row>
    <row r="2259" spans="1:4" x14ac:dyDescent="0.25">
      <c r="A2259" t="s">
        <v>81</v>
      </c>
      <c r="B2259" t="s">
        <v>8</v>
      </c>
      <c r="C2259" s="1">
        <v>45875.145833333336</v>
      </c>
      <c r="D2259">
        <v>2</v>
      </c>
    </row>
    <row r="2260" spans="1:4" x14ac:dyDescent="0.25">
      <c r="A2260" t="s">
        <v>81</v>
      </c>
      <c r="B2260" t="s">
        <v>0</v>
      </c>
      <c r="C2260" s="1">
        <v>45872.958333333336</v>
      </c>
      <c r="D2260">
        <v>1</v>
      </c>
    </row>
    <row r="2261" spans="1:4" x14ac:dyDescent="0.25">
      <c r="A2261" t="s">
        <v>14</v>
      </c>
      <c r="B2261" t="s">
        <v>19</v>
      </c>
      <c r="C2261" s="1">
        <v>45871.1875</v>
      </c>
      <c r="D2261">
        <v>3</v>
      </c>
    </row>
    <row r="2262" spans="1:4" x14ac:dyDescent="0.25">
      <c r="A2262" t="s">
        <v>9</v>
      </c>
      <c r="B2262" t="s">
        <v>2</v>
      </c>
      <c r="C2262" s="1">
        <v>45870.947916666664</v>
      </c>
      <c r="D2262">
        <v>1</v>
      </c>
    </row>
    <row r="2263" spans="1:4" x14ac:dyDescent="0.25">
      <c r="A2263" t="s">
        <v>77</v>
      </c>
      <c r="B2263" t="s">
        <v>57</v>
      </c>
      <c r="C2263" s="1">
        <v>45871.666666666664</v>
      </c>
      <c r="D2263">
        <v>1</v>
      </c>
    </row>
    <row r="2264" spans="1:4" x14ac:dyDescent="0.25">
      <c r="A2264" t="s">
        <v>9</v>
      </c>
      <c r="B2264" t="s">
        <v>53</v>
      </c>
      <c r="C2264" s="1">
        <v>45856.458333333336</v>
      </c>
      <c r="D2264">
        <v>1</v>
      </c>
    </row>
    <row r="2265" spans="1:4" x14ac:dyDescent="0.25">
      <c r="A2265" t="s">
        <v>7</v>
      </c>
      <c r="B2265" t="s">
        <v>2</v>
      </c>
      <c r="C2265" s="1">
        <v>45872.854166666664</v>
      </c>
      <c r="D2265">
        <v>2</v>
      </c>
    </row>
    <row r="2266" spans="1:4" x14ac:dyDescent="0.25">
      <c r="A2266" t="s">
        <v>81</v>
      </c>
      <c r="B2266" t="s">
        <v>1</v>
      </c>
      <c r="C2266" s="1">
        <v>45872.208333333336</v>
      </c>
      <c r="D2266">
        <v>25</v>
      </c>
    </row>
    <row r="2267" spans="1:4" x14ac:dyDescent="0.25">
      <c r="A2267" t="s">
        <v>81</v>
      </c>
      <c r="B2267" t="s">
        <v>20</v>
      </c>
      <c r="C2267" s="1">
        <v>45871.854166666664</v>
      </c>
      <c r="D2267">
        <v>3</v>
      </c>
    </row>
    <row r="2268" spans="1:4" x14ac:dyDescent="0.25">
      <c r="A2268" t="s">
        <v>11</v>
      </c>
      <c r="B2268" t="s">
        <v>92</v>
      </c>
      <c r="C2268" s="1">
        <v>45870.458333333336</v>
      </c>
      <c r="D2268">
        <v>12</v>
      </c>
    </row>
    <row r="2269" spans="1:4" x14ac:dyDescent="0.25">
      <c r="A2269" t="s">
        <v>10</v>
      </c>
      <c r="B2269" t="s">
        <v>20</v>
      </c>
      <c r="C2269" s="1">
        <v>45871.145833333336</v>
      </c>
      <c r="D2269">
        <v>465</v>
      </c>
    </row>
    <row r="2270" spans="1:4" x14ac:dyDescent="0.25">
      <c r="A2270" t="s">
        <v>88</v>
      </c>
      <c r="B2270" t="s">
        <v>57</v>
      </c>
      <c r="C2270" s="1">
        <v>45871.145833333336</v>
      </c>
      <c r="D2270">
        <v>17</v>
      </c>
    </row>
    <row r="2271" spans="1:4" x14ac:dyDescent="0.25">
      <c r="A2271" t="s">
        <v>10</v>
      </c>
      <c r="B2271" t="s">
        <v>19</v>
      </c>
      <c r="C2271" s="1">
        <v>45871.583333333336</v>
      </c>
      <c r="D2271">
        <v>3</v>
      </c>
    </row>
    <row r="2272" spans="1:4" x14ac:dyDescent="0.25">
      <c r="A2272" t="s">
        <v>7</v>
      </c>
      <c r="B2272" t="s">
        <v>1</v>
      </c>
      <c r="C2272" s="1">
        <v>45873.885416666664</v>
      </c>
      <c r="D2272">
        <v>6</v>
      </c>
    </row>
    <row r="2273" spans="1:4" x14ac:dyDescent="0.25">
      <c r="A2273" t="s">
        <v>12</v>
      </c>
      <c r="B2273" t="s">
        <v>19</v>
      </c>
      <c r="C2273" s="1">
        <v>45871.885416666664</v>
      </c>
      <c r="D2273">
        <v>1</v>
      </c>
    </row>
    <row r="2274" spans="1:4" x14ac:dyDescent="0.25">
      <c r="A2274" t="s">
        <v>7</v>
      </c>
      <c r="B2274" t="s">
        <v>8</v>
      </c>
      <c r="C2274" s="1">
        <v>45871.166666666664</v>
      </c>
      <c r="D2274">
        <v>660</v>
      </c>
    </row>
    <row r="2275" spans="1:4" x14ac:dyDescent="0.25">
      <c r="A2275" t="s">
        <v>7</v>
      </c>
      <c r="B2275" t="s">
        <v>41</v>
      </c>
      <c r="C2275" s="1">
        <v>45875.458333333336</v>
      </c>
      <c r="D2275">
        <v>191</v>
      </c>
    </row>
    <row r="2276" spans="1:4" x14ac:dyDescent="0.25">
      <c r="A2276" t="s">
        <v>12</v>
      </c>
      <c r="B2276" t="s">
        <v>51</v>
      </c>
      <c r="C2276" s="1">
        <v>45870.458333333336</v>
      </c>
      <c r="D2276">
        <v>10</v>
      </c>
    </row>
    <row r="2277" spans="1:4" x14ac:dyDescent="0.25">
      <c r="A2277" t="s">
        <v>9</v>
      </c>
      <c r="B2277" t="s">
        <v>19</v>
      </c>
      <c r="C2277" s="1">
        <v>45871.020833333336</v>
      </c>
      <c r="D2277">
        <v>3</v>
      </c>
    </row>
    <row r="2278" spans="1:4" x14ac:dyDescent="0.25">
      <c r="A2278" t="s">
        <v>23</v>
      </c>
      <c r="B2278" t="s">
        <v>57</v>
      </c>
      <c r="C2278" s="1">
        <v>45872.541666666664</v>
      </c>
      <c r="D2278">
        <v>1</v>
      </c>
    </row>
    <row r="2279" spans="1:4" x14ac:dyDescent="0.25">
      <c r="A2279" t="s">
        <v>7</v>
      </c>
      <c r="B2279" t="s">
        <v>0</v>
      </c>
      <c r="C2279" s="1">
        <v>45877.583333333336</v>
      </c>
      <c r="D2279">
        <v>4</v>
      </c>
    </row>
    <row r="2280" spans="1:4" x14ac:dyDescent="0.25">
      <c r="A2280" t="s">
        <v>23</v>
      </c>
      <c r="B2280" t="s">
        <v>1</v>
      </c>
      <c r="C2280" s="1">
        <v>45872.208333333336</v>
      </c>
      <c r="D2280">
        <v>25</v>
      </c>
    </row>
    <row r="2281" spans="1:4" x14ac:dyDescent="0.25">
      <c r="A2281" t="s">
        <v>77</v>
      </c>
      <c r="B2281" t="s">
        <v>20</v>
      </c>
      <c r="C2281" s="1">
        <v>45871.166666666664</v>
      </c>
      <c r="D2281">
        <v>2</v>
      </c>
    </row>
    <row r="2282" spans="1:4" x14ac:dyDescent="0.25">
      <c r="A2282" t="s">
        <v>10</v>
      </c>
      <c r="B2282" t="s">
        <v>20</v>
      </c>
      <c r="C2282" s="1">
        <v>45871.729166666664</v>
      </c>
      <c r="D2282">
        <v>23</v>
      </c>
    </row>
    <row r="2283" spans="1:4" x14ac:dyDescent="0.25">
      <c r="A2283" t="s">
        <v>14</v>
      </c>
      <c r="B2283" t="s">
        <v>8</v>
      </c>
      <c r="C2283" s="1">
        <v>45871.1875</v>
      </c>
      <c r="D2283">
        <v>4</v>
      </c>
    </row>
    <row r="2284" spans="1:4" x14ac:dyDescent="0.25">
      <c r="A2284" t="s">
        <v>9</v>
      </c>
      <c r="B2284" t="s">
        <v>19</v>
      </c>
      <c r="C2284" s="1">
        <v>45866.958333333336</v>
      </c>
      <c r="D2284">
        <v>1</v>
      </c>
    </row>
    <row r="2285" spans="1:4" x14ac:dyDescent="0.25">
      <c r="A2285" t="s">
        <v>11</v>
      </c>
      <c r="B2285" t="s">
        <v>19</v>
      </c>
      <c r="C2285" s="1">
        <v>45871.125</v>
      </c>
      <c r="D2285">
        <v>74</v>
      </c>
    </row>
    <row r="2286" spans="1:4" x14ac:dyDescent="0.25">
      <c r="A2286" t="s">
        <v>78</v>
      </c>
      <c r="B2286" t="s">
        <v>4</v>
      </c>
      <c r="C2286" s="1">
        <v>45873.541666666664</v>
      </c>
      <c r="D2286">
        <v>27</v>
      </c>
    </row>
    <row r="2287" spans="1:4" x14ac:dyDescent="0.25">
      <c r="A2287" t="s">
        <v>23</v>
      </c>
      <c r="B2287" t="s">
        <v>19</v>
      </c>
      <c r="C2287" s="1">
        <v>45873.083333333336</v>
      </c>
      <c r="D2287">
        <v>39</v>
      </c>
    </row>
    <row r="2288" spans="1:4" x14ac:dyDescent="0.25">
      <c r="A2288" t="s">
        <v>23</v>
      </c>
      <c r="B2288" t="s">
        <v>8</v>
      </c>
      <c r="C2288" s="1">
        <v>45873.145833333336</v>
      </c>
      <c r="D2288">
        <v>10</v>
      </c>
    </row>
    <row r="2289" spans="1:4" x14ac:dyDescent="0.25">
      <c r="A2289" t="s">
        <v>12</v>
      </c>
      <c r="B2289" t="s">
        <v>1</v>
      </c>
      <c r="C2289" s="1">
        <v>45871.125</v>
      </c>
      <c r="D2289">
        <v>40</v>
      </c>
    </row>
    <row r="2290" spans="1:4" x14ac:dyDescent="0.25">
      <c r="A2290" t="s">
        <v>10</v>
      </c>
      <c r="B2290" t="s">
        <v>20</v>
      </c>
      <c r="C2290" s="1">
        <v>45871.1875</v>
      </c>
      <c r="D2290">
        <v>66</v>
      </c>
    </row>
    <row r="2291" spans="1:4" x14ac:dyDescent="0.25">
      <c r="A2291" t="s">
        <v>12</v>
      </c>
      <c r="B2291" t="s">
        <v>8</v>
      </c>
      <c r="C2291" s="1">
        <v>45871.885416666664</v>
      </c>
      <c r="D2291">
        <v>2</v>
      </c>
    </row>
    <row r="2292" spans="1:4" x14ac:dyDescent="0.25">
      <c r="A2292" t="s">
        <v>7</v>
      </c>
      <c r="B2292" t="s">
        <v>2</v>
      </c>
      <c r="C2292" s="1">
        <v>45872.947916666664</v>
      </c>
      <c r="D2292">
        <v>1</v>
      </c>
    </row>
    <row r="2293" spans="1:4" x14ac:dyDescent="0.25">
      <c r="A2293" t="s">
        <v>7</v>
      </c>
      <c r="B2293" t="s">
        <v>20</v>
      </c>
      <c r="C2293" s="1">
        <v>45873.1875</v>
      </c>
      <c r="D2293">
        <v>1</v>
      </c>
    </row>
    <row r="2294" spans="1:4" x14ac:dyDescent="0.25">
      <c r="A2294" t="s">
        <v>7</v>
      </c>
      <c r="B2294" t="s">
        <v>19</v>
      </c>
      <c r="C2294" s="1">
        <v>45871.885416666664</v>
      </c>
      <c r="D2294">
        <v>1556</v>
      </c>
    </row>
    <row r="2295" spans="1:4" x14ac:dyDescent="0.25">
      <c r="A2295" t="s">
        <v>9</v>
      </c>
      <c r="B2295" t="s">
        <v>2</v>
      </c>
      <c r="C2295" s="1">
        <v>45871.0625</v>
      </c>
      <c r="D2295">
        <v>1</v>
      </c>
    </row>
    <row r="2296" spans="1:4" x14ac:dyDescent="0.25">
      <c r="A2296" t="s">
        <v>88</v>
      </c>
      <c r="B2296" t="s">
        <v>57</v>
      </c>
      <c r="C2296" s="1">
        <v>45871.1875</v>
      </c>
      <c r="D2296">
        <v>5</v>
      </c>
    </row>
    <row r="2297" spans="1:4" x14ac:dyDescent="0.25">
      <c r="A2297" t="s">
        <v>9</v>
      </c>
      <c r="B2297" t="s">
        <v>8</v>
      </c>
      <c r="C2297" s="1">
        <v>45871.020833333336</v>
      </c>
      <c r="D2297">
        <v>2</v>
      </c>
    </row>
    <row r="2298" spans="1:4" x14ac:dyDescent="0.25">
      <c r="A2298" t="s">
        <v>7</v>
      </c>
      <c r="B2298" t="s">
        <v>1</v>
      </c>
      <c r="C2298" s="1">
        <v>45871.125</v>
      </c>
      <c r="D2298">
        <v>214</v>
      </c>
    </row>
    <row r="2299" spans="1:4" x14ac:dyDescent="0.25">
      <c r="A2299" t="s">
        <v>81</v>
      </c>
      <c r="B2299" t="s">
        <v>8</v>
      </c>
      <c r="C2299" s="1">
        <v>45873.458333333336</v>
      </c>
      <c r="D2299">
        <v>7</v>
      </c>
    </row>
    <row r="2300" spans="1:4" x14ac:dyDescent="0.25">
      <c r="A2300" t="s">
        <v>77</v>
      </c>
      <c r="B2300" t="s">
        <v>1</v>
      </c>
      <c r="C2300" s="1">
        <v>45871.604166666664</v>
      </c>
      <c r="D2300">
        <v>192</v>
      </c>
    </row>
    <row r="2301" spans="1:4" x14ac:dyDescent="0.25">
      <c r="A2301" t="s">
        <v>77</v>
      </c>
      <c r="B2301" t="s">
        <v>0</v>
      </c>
      <c r="C2301" s="1">
        <v>45871.729166666664</v>
      </c>
      <c r="D2301">
        <v>2</v>
      </c>
    </row>
    <row r="2302" spans="1:4" x14ac:dyDescent="0.25">
      <c r="A2302" t="s">
        <v>7</v>
      </c>
      <c r="B2302" t="s">
        <v>19</v>
      </c>
      <c r="C2302" s="1">
        <v>45873.020833333336</v>
      </c>
      <c r="D2302">
        <v>21</v>
      </c>
    </row>
    <row r="2303" spans="1:4" x14ac:dyDescent="0.25">
      <c r="A2303" t="s">
        <v>7</v>
      </c>
      <c r="B2303" t="s">
        <v>20</v>
      </c>
      <c r="C2303" s="1">
        <v>45876.458333333336</v>
      </c>
      <c r="D2303">
        <v>1</v>
      </c>
    </row>
    <row r="2304" spans="1:4" x14ac:dyDescent="0.25">
      <c r="A2304" t="s">
        <v>7</v>
      </c>
      <c r="B2304" t="s">
        <v>2</v>
      </c>
      <c r="C2304" s="1">
        <v>45871.666666666664</v>
      </c>
      <c r="D2304">
        <v>225</v>
      </c>
    </row>
    <row r="2305" spans="1:4" x14ac:dyDescent="0.25">
      <c r="A2305" t="s">
        <v>23</v>
      </c>
      <c r="B2305" t="s">
        <v>8</v>
      </c>
      <c r="C2305" s="1">
        <v>45878.125</v>
      </c>
      <c r="D2305">
        <v>137</v>
      </c>
    </row>
    <row r="2306" spans="1:4" x14ac:dyDescent="0.25">
      <c r="A2306" t="s">
        <v>23</v>
      </c>
      <c r="B2306" t="s">
        <v>0</v>
      </c>
      <c r="C2306" s="1">
        <v>45875.885416666664</v>
      </c>
      <c r="D2306">
        <v>2</v>
      </c>
    </row>
    <row r="2307" spans="1:4" x14ac:dyDescent="0.25">
      <c r="A2307" t="s">
        <v>9</v>
      </c>
      <c r="B2307" t="s">
        <v>85</v>
      </c>
      <c r="C2307" s="1">
        <v>45871.208333333336</v>
      </c>
      <c r="D2307">
        <v>1</v>
      </c>
    </row>
    <row r="2308" spans="1:4" x14ac:dyDescent="0.25">
      <c r="A2308" t="s">
        <v>23</v>
      </c>
      <c r="B2308" t="s">
        <v>20</v>
      </c>
      <c r="C2308" s="1">
        <v>45876.541666666664</v>
      </c>
      <c r="D2308">
        <v>5</v>
      </c>
    </row>
    <row r="2309" spans="1:4" x14ac:dyDescent="0.25">
      <c r="A2309" t="s">
        <v>23</v>
      </c>
      <c r="B2309" t="s">
        <v>0</v>
      </c>
      <c r="C2309" s="1">
        <v>45876.458333333336</v>
      </c>
      <c r="D2309">
        <v>4</v>
      </c>
    </row>
    <row r="2310" spans="1:4" x14ac:dyDescent="0.25">
      <c r="A2310" t="s">
        <v>23</v>
      </c>
      <c r="B2310" t="s">
        <v>1</v>
      </c>
      <c r="C2310" s="1">
        <v>45871.1875</v>
      </c>
      <c r="D2310">
        <v>4</v>
      </c>
    </row>
    <row r="2311" spans="1:4" x14ac:dyDescent="0.25">
      <c r="A2311" t="s">
        <v>83</v>
      </c>
      <c r="B2311" t="s">
        <v>8</v>
      </c>
      <c r="C2311" s="1">
        <v>45869.458333333336</v>
      </c>
      <c r="D2311">
        <v>1</v>
      </c>
    </row>
    <row r="2312" spans="1:4" x14ac:dyDescent="0.25">
      <c r="A2312" t="s">
        <v>23</v>
      </c>
      <c r="B2312" t="s">
        <v>19</v>
      </c>
      <c r="C2312" s="1">
        <v>45874.666666666664</v>
      </c>
      <c r="D2312">
        <v>12</v>
      </c>
    </row>
    <row r="2313" spans="1:4" x14ac:dyDescent="0.25">
      <c r="A2313" t="s">
        <v>23</v>
      </c>
      <c r="B2313" t="s">
        <v>57</v>
      </c>
      <c r="C2313" s="1">
        <v>45873.583333333336</v>
      </c>
      <c r="D2313">
        <v>3</v>
      </c>
    </row>
    <row r="2314" spans="1:4" x14ac:dyDescent="0.25">
      <c r="A2314" t="s">
        <v>10</v>
      </c>
      <c r="B2314" t="s">
        <v>8</v>
      </c>
      <c r="C2314" s="1">
        <v>45871.1875</v>
      </c>
      <c r="D2314">
        <v>11</v>
      </c>
    </row>
    <row r="2315" spans="1:4" x14ac:dyDescent="0.25">
      <c r="A2315" t="s">
        <v>77</v>
      </c>
      <c r="B2315" t="s">
        <v>1</v>
      </c>
      <c r="C2315" s="1">
        <v>45872.1875</v>
      </c>
      <c r="D2315">
        <v>1</v>
      </c>
    </row>
    <row r="2316" spans="1:4" x14ac:dyDescent="0.25">
      <c r="A2316" t="s">
        <v>7</v>
      </c>
      <c r="B2316" t="s">
        <v>20</v>
      </c>
      <c r="C2316" s="1">
        <v>45871.885416666664</v>
      </c>
      <c r="D2316">
        <v>112</v>
      </c>
    </row>
    <row r="2317" spans="1:4" x14ac:dyDescent="0.25">
      <c r="A2317" t="s">
        <v>88</v>
      </c>
      <c r="B2317" t="s">
        <v>19</v>
      </c>
      <c r="C2317" s="1">
        <v>45871.125</v>
      </c>
      <c r="D2317">
        <v>54</v>
      </c>
    </row>
    <row r="2318" spans="1:4" x14ac:dyDescent="0.25">
      <c r="A2318" t="s">
        <v>23</v>
      </c>
      <c r="B2318" t="s">
        <v>0</v>
      </c>
      <c r="C2318" s="1">
        <v>45873.604166666664</v>
      </c>
      <c r="D2318">
        <v>3</v>
      </c>
    </row>
    <row r="2319" spans="1:4" x14ac:dyDescent="0.25">
      <c r="A2319" t="s">
        <v>77</v>
      </c>
      <c r="B2319" t="s">
        <v>8</v>
      </c>
      <c r="C2319" s="1">
        <v>45872.947916666664</v>
      </c>
      <c r="D2319">
        <v>4</v>
      </c>
    </row>
    <row r="2320" spans="1:4" x14ac:dyDescent="0.25">
      <c r="A2320" t="s">
        <v>10</v>
      </c>
      <c r="B2320" t="s">
        <v>0</v>
      </c>
      <c r="C2320" s="1">
        <v>45871.666666666664</v>
      </c>
      <c r="D2320">
        <v>4</v>
      </c>
    </row>
    <row r="2321" spans="1:4" x14ac:dyDescent="0.25">
      <c r="A2321" t="s">
        <v>15</v>
      </c>
      <c r="B2321" t="s">
        <v>19</v>
      </c>
      <c r="C2321" s="1">
        <v>45871.458333333336</v>
      </c>
      <c r="D2321">
        <v>4</v>
      </c>
    </row>
    <row r="2322" spans="1:4" x14ac:dyDescent="0.25">
      <c r="A2322" t="s">
        <v>81</v>
      </c>
      <c r="B2322" t="s">
        <v>2</v>
      </c>
      <c r="C2322" s="1">
        <v>45873.916666666664</v>
      </c>
      <c r="D2322">
        <v>1</v>
      </c>
    </row>
    <row r="2323" spans="1:4" x14ac:dyDescent="0.25">
      <c r="A2323" t="s">
        <v>9</v>
      </c>
      <c r="B2323" t="s">
        <v>8</v>
      </c>
      <c r="C2323" s="1">
        <v>45871.604166666664</v>
      </c>
      <c r="D2323">
        <v>94</v>
      </c>
    </row>
    <row r="2324" spans="1:4" x14ac:dyDescent="0.25">
      <c r="A2324" t="s">
        <v>23</v>
      </c>
      <c r="B2324" t="s">
        <v>8</v>
      </c>
      <c r="C2324" s="1">
        <v>45874.666666666664</v>
      </c>
      <c r="D2324">
        <v>14</v>
      </c>
    </row>
    <row r="2325" spans="1:4" x14ac:dyDescent="0.25">
      <c r="A2325" t="s">
        <v>7</v>
      </c>
      <c r="B2325" t="s">
        <v>8</v>
      </c>
      <c r="C2325" s="1">
        <v>45871.885416666664</v>
      </c>
      <c r="D2325">
        <v>1698</v>
      </c>
    </row>
    <row r="2326" spans="1:4" x14ac:dyDescent="0.25">
      <c r="A2326" t="s">
        <v>7</v>
      </c>
      <c r="B2326" t="s">
        <v>20</v>
      </c>
      <c r="C2326" s="1">
        <v>45872.020833333336</v>
      </c>
      <c r="D2326">
        <v>9</v>
      </c>
    </row>
    <row r="2327" spans="1:4" x14ac:dyDescent="0.25">
      <c r="A2327" t="s">
        <v>77</v>
      </c>
      <c r="B2327" t="s">
        <v>84</v>
      </c>
      <c r="C2327" s="1">
        <v>45806.885416666664</v>
      </c>
      <c r="D2327">
        <v>3</v>
      </c>
    </row>
    <row r="2328" spans="1:4" x14ac:dyDescent="0.25">
      <c r="A2328" t="s">
        <v>14</v>
      </c>
      <c r="B2328" t="s">
        <v>294</v>
      </c>
      <c r="C2328" s="1">
        <v>45870.458333333336</v>
      </c>
      <c r="D2328">
        <v>1</v>
      </c>
    </row>
    <row r="2329" spans="1:4" x14ac:dyDescent="0.25">
      <c r="A2329" t="s">
        <v>77</v>
      </c>
      <c r="B2329" t="s">
        <v>1</v>
      </c>
      <c r="C2329" s="1">
        <v>45871.020833333336</v>
      </c>
      <c r="D2329">
        <v>1</v>
      </c>
    </row>
    <row r="2330" spans="1:4" x14ac:dyDescent="0.25">
      <c r="A2330" t="s">
        <v>23</v>
      </c>
      <c r="B2330" t="s">
        <v>19</v>
      </c>
      <c r="C2330" s="1">
        <v>45878.125</v>
      </c>
      <c r="D2330">
        <v>53</v>
      </c>
    </row>
    <row r="2331" spans="1:4" x14ac:dyDescent="0.25">
      <c r="A2331" t="s">
        <v>81</v>
      </c>
      <c r="B2331" t="s">
        <v>19</v>
      </c>
      <c r="C2331" s="1">
        <v>45871.854166666664</v>
      </c>
      <c r="D2331">
        <v>16</v>
      </c>
    </row>
    <row r="2332" spans="1:4" x14ac:dyDescent="0.25">
      <c r="A2332" t="s">
        <v>9</v>
      </c>
      <c r="B2332" t="s">
        <v>19</v>
      </c>
      <c r="C2332" s="1">
        <v>45868.125</v>
      </c>
      <c r="D2332">
        <v>2</v>
      </c>
    </row>
    <row r="2333" spans="1:4" x14ac:dyDescent="0.25">
      <c r="A2333" t="s">
        <v>10</v>
      </c>
      <c r="B2333" t="s">
        <v>20</v>
      </c>
      <c r="C2333" s="1">
        <v>45871.208333333336</v>
      </c>
      <c r="D2333">
        <v>214</v>
      </c>
    </row>
    <row r="2334" spans="1:4" x14ac:dyDescent="0.25">
      <c r="A2334" t="s">
        <v>7</v>
      </c>
      <c r="B2334" t="s">
        <v>0</v>
      </c>
      <c r="C2334" s="1">
        <v>45872.958333333336</v>
      </c>
      <c r="D2334">
        <v>2</v>
      </c>
    </row>
    <row r="2335" spans="1:4" x14ac:dyDescent="0.25">
      <c r="A2335" t="s">
        <v>14</v>
      </c>
      <c r="B2335" t="s">
        <v>2</v>
      </c>
      <c r="C2335" s="1">
        <v>45871.020833333336</v>
      </c>
      <c r="D2335">
        <v>1</v>
      </c>
    </row>
    <row r="2336" spans="1:4" x14ac:dyDescent="0.25">
      <c r="A2336" t="s">
        <v>14</v>
      </c>
      <c r="B2336" t="s">
        <v>2</v>
      </c>
      <c r="C2336" s="1">
        <v>45868.729166666664</v>
      </c>
      <c r="D2336">
        <v>1</v>
      </c>
    </row>
    <row r="2337" spans="1:4" x14ac:dyDescent="0.25">
      <c r="A2337" t="s">
        <v>10</v>
      </c>
      <c r="B2337" t="s">
        <v>53</v>
      </c>
      <c r="C2337" s="1">
        <v>45860.458333333336</v>
      </c>
      <c r="D2337">
        <v>39</v>
      </c>
    </row>
    <row r="2338" spans="1:4" x14ac:dyDescent="0.25">
      <c r="A2338" t="s">
        <v>23</v>
      </c>
      <c r="B2338" t="s">
        <v>2</v>
      </c>
      <c r="C2338" s="1">
        <v>45871.75</v>
      </c>
      <c r="D2338">
        <v>4</v>
      </c>
    </row>
    <row r="2339" spans="1:4" x14ac:dyDescent="0.25">
      <c r="A2339" t="s">
        <v>81</v>
      </c>
      <c r="B2339" t="s">
        <v>19</v>
      </c>
      <c r="C2339" s="1">
        <v>45874.145833333336</v>
      </c>
      <c r="D2339">
        <v>3</v>
      </c>
    </row>
    <row r="2340" spans="1:4" x14ac:dyDescent="0.25">
      <c r="A2340" t="s">
        <v>9</v>
      </c>
      <c r="B2340" t="s">
        <v>1</v>
      </c>
      <c r="C2340" s="1">
        <v>45871.958333333336</v>
      </c>
      <c r="D2340">
        <v>1</v>
      </c>
    </row>
    <row r="2341" spans="1:4" x14ac:dyDescent="0.25">
      <c r="A2341" t="s">
        <v>87</v>
      </c>
      <c r="B2341" t="s">
        <v>41</v>
      </c>
      <c r="C2341" s="1">
        <v>45873.458333333336</v>
      </c>
      <c r="D2341">
        <v>2</v>
      </c>
    </row>
    <row r="2342" spans="1:4" x14ac:dyDescent="0.25">
      <c r="A2342" t="s">
        <v>9</v>
      </c>
      <c r="B2342" t="s">
        <v>20</v>
      </c>
      <c r="C2342" s="1">
        <v>45871.145833333336</v>
      </c>
      <c r="D2342">
        <v>591</v>
      </c>
    </row>
    <row r="2343" spans="1:4" x14ac:dyDescent="0.25">
      <c r="A2343" t="s">
        <v>10</v>
      </c>
      <c r="B2343" t="s">
        <v>19</v>
      </c>
      <c r="C2343" s="1">
        <v>45871.1875</v>
      </c>
      <c r="D2343">
        <v>105</v>
      </c>
    </row>
    <row r="2344" spans="1:4" x14ac:dyDescent="0.25">
      <c r="A2344" t="s">
        <v>77</v>
      </c>
      <c r="B2344" t="s">
        <v>0</v>
      </c>
      <c r="C2344" s="1">
        <v>45871.166666666664</v>
      </c>
      <c r="D2344">
        <v>1</v>
      </c>
    </row>
    <row r="2345" spans="1:4" x14ac:dyDescent="0.25">
      <c r="A2345" t="s">
        <v>23</v>
      </c>
      <c r="B2345" t="s">
        <v>0</v>
      </c>
      <c r="C2345" s="1">
        <v>45873.020833333336</v>
      </c>
      <c r="D2345">
        <v>2</v>
      </c>
    </row>
    <row r="2346" spans="1:4" x14ac:dyDescent="0.25">
      <c r="A2346" t="s">
        <v>88</v>
      </c>
      <c r="B2346" t="s">
        <v>8</v>
      </c>
      <c r="C2346" s="1">
        <v>45871.125</v>
      </c>
      <c r="D2346">
        <v>81</v>
      </c>
    </row>
    <row r="2347" spans="1:4" x14ac:dyDescent="0.25">
      <c r="A2347" t="s">
        <v>10</v>
      </c>
      <c r="B2347" t="s">
        <v>0</v>
      </c>
      <c r="C2347" s="1">
        <v>45871.083333333336</v>
      </c>
      <c r="D2347">
        <v>91</v>
      </c>
    </row>
    <row r="2348" spans="1:4" x14ac:dyDescent="0.25">
      <c r="A2348" t="s">
        <v>81</v>
      </c>
      <c r="B2348" t="s">
        <v>8</v>
      </c>
      <c r="C2348" s="1">
        <v>45872.916666666664</v>
      </c>
      <c r="D2348">
        <v>44</v>
      </c>
    </row>
    <row r="2349" spans="1:4" x14ac:dyDescent="0.25">
      <c r="A2349" t="s">
        <v>77</v>
      </c>
      <c r="B2349" t="s">
        <v>19</v>
      </c>
      <c r="C2349" s="1">
        <v>45872.947916666664</v>
      </c>
      <c r="D2349">
        <v>2</v>
      </c>
    </row>
    <row r="2350" spans="1:4" x14ac:dyDescent="0.25">
      <c r="A2350" t="s">
        <v>10</v>
      </c>
      <c r="B2350" t="s">
        <v>41</v>
      </c>
      <c r="C2350" s="1">
        <v>45861.458333333336</v>
      </c>
      <c r="D2350">
        <v>11</v>
      </c>
    </row>
    <row r="2351" spans="1:4" x14ac:dyDescent="0.25">
      <c r="A2351" t="s">
        <v>23</v>
      </c>
      <c r="B2351" t="s">
        <v>2</v>
      </c>
      <c r="C2351" s="1">
        <v>45872.916666666664</v>
      </c>
      <c r="D2351">
        <v>1</v>
      </c>
    </row>
    <row r="2352" spans="1:4" x14ac:dyDescent="0.25">
      <c r="A2352" t="s">
        <v>23</v>
      </c>
      <c r="B2352" t="s">
        <v>20</v>
      </c>
      <c r="C2352" s="1">
        <v>45873.083333333336</v>
      </c>
      <c r="D2352">
        <v>5</v>
      </c>
    </row>
    <row r="2353" spans="1:4" x14ac:dyDescent="0.25">
      <c r="A2353" t="s">
        <v>23</v>
      </c>
      <c r="B2353" t="s">
        <v>8</v>
      </c>
      <c r="C2353" s="1">
        <v>45877.583333333336</v>
      </c>
      <c r="D2353">
        <v>197</v>
      </c>
    </row>
    <row r="2354" spans="1:4" x14ac:dyDescent="0.25">
      <c r="A2354" t="s">
        <v>81</v>
      </c>
      <c r="B2354" t="s">
        <v>57</v>
      </c>
      <c r="C2354" s="1">
        <v>45875.166666666664</v>
      </c>
      <c r="D2354">
        <v>1</v>
      </c>
    </row>
    <row r="2355" spans="1:4" x14ac:dyDescent="0.25">
      <c r="A2355" t="s">
        <v>9</v>
      </c>
      <c r="B2355" t="s">
        <v>41</v>
      </c>
      <c r="C2355" s="1">
        <v>45857.458333333336</v>
      </c>
      <c r="D2355">
        <v>52</v>
      </c>
    </row>
    <row r="2356" spans="1:4" x14ac:dyDescent="0.25">
      <c r="A2356" t="s">
        <v>14</v>
      </c>
      <c r="B2356" t="s">
        <v>8</v>
      </c>
      <c r="C2356" s="1">
        <v>45871.145833333336</v>
      </c>
      <c r="D2356">
        <v>10</v>
      </c>
    </row>
    <row r="2357" spans="1:4" x14ac:dyDescent="0.25">
      <c r="A2357" t="s">
        <v>7</v>
      </c>
      <c r="B2357" t="s">
        <v>2</v>
      </c>
      <c r="C2357" s="1">
        <v>45875.125</v>
      </c>
      <c r="D2357">
        <v>8</v>
      </c>
    </row>
    <row r="2358" spans="1:4" x14ac:dyDescent="0.25">
      <c r="A2358" t="s">
        <v>7</v>
      </c>
      <c r="B2358" t="s">
        <v>8</v>
      </c>
      <c r="C2358" s="1">
        <v>45874.083333333336</v>
      </c>
      <c r="D2358">
        <v>2</v>
      </c>
    </row>
    <row r="2359" spans="1:4" x14ac:dyDescent="0.25">
      <c r="A2359" t="s">
        <v>15</v>
      </c>
      <c r="B2359" t="s">
        <v>20</v>
      </c>
      <c r="C2359" s="1">
        <v>45871.020833333336</v>
      </c>
      <c r="D2359">
        <v>1</v>
      </c>
    </row>
    <row r="2360" spans="1:4" x14ac:dyDescent="0.25">
      <c r="A2360" t="s">
        <v>78</v>
      </c>
      <c r="B2360" t="s">
        <v>4</v>
      </c>
      <c r="C2360" s="1">
        <v>45872.458333333336</v>
      </c>
      <c r="D2360">
        <v>460</v>
      </c>
    </row>
    <row r="2361" spans="1:4" x14ac:dyDescent="0.25">
      <c r="A2361" t="s">
        <v>81</v>
      </c>
      <c r="B2361" t="s">
        <v>0</v>
      </c>
      <c r="C2361" s="1">
        <v>45871.75</v>
      </c>
      <c r="D2361">
        <v>45</v>
      </c>
    </row>
    <row r="2362" spans="1:4" x14ac:dyDescent="0.25">
      <c r="A2362" t="s">
        <v>77</v>
      </c>
      <c r="B2362" t="s">
        <v>39</v>
      </c>
      <c r="C2362" s="1">
        <v>45883.458333333336</v>
      </c>
      <c r="D2362">
        <v>4046</v>
      </c>
    </row>
    <row r="2363" spans="1:4" x14ac:dyDescent="0.25">
      <c r="A2363" t="s">
        <v>9</v>
      </c>
      <c r="B2363" t="s">
        <v>41</v>
      </c>
      <c r="C2363" s="1">
        <v>45873.458333333336</v>
      </c>
      <c r="D2363">
        <v>5</v>
      </c>
    </row>
    <row r="2364" spans="1:4" x14ac:dyDescent="0.25">
      <c r="A2364" t="s">
        <v>15</v>
      </c>
      <c r="B2364" t="s">
        <v>20</v>
      </c>
      <c r="C2364" s="1">
        <v>45871.604166666664</v>
      </c>
      <c r="D2364">
        <v>1</v>
      </c>
    </row>
    <row r="2365" spans="1:4" x14ac:dyDescent="0.25">
      <c r="A2365" t="s">
        <v>9</v>
      </c>
      <c r="B2365" t="s">
        <v>2</v>
      </c>
      <c r="C2365" s="1">
        <v>45871.020833333336</v>
      </c>
      <c r="D2365">
        <v>16</v>
      </c>
    </row>
    <row r="2366" spans="1:4" x14ac:dyDescent="0.25">
      <c r="A2366" t="s">
        <v>10</v>
      </c>
      <c r="B2366" t="s">
        <v>19</v>
      </c>
      <c r="C2366" s="1">
        <v>45871.625</v>
      </c>
      <c r="D2366">
        <v>3</v>
      </c>
    </row>
    <row r="2367" spans="1:4" x14ac:dyDescent="0.25">
      <c r="A2367" t="s">
        <v>81</v>
      </c>
      <c r="B2367" t="s">
        <v>0</v>
      </c>
      <c r="C2367" s="1">
        <v>45871.166666666664</v>
      </c>
      <c r="D2367">
        <v>405</v>
      </c>
    </row>
    <row r="2368" spans="1:4" x14ac:dyDescent="0.25">
      <c r="A2368" t="s">
        <v>9</v>
      </c>
      <c r="B2368" t="s">
        <v>294</v>
      </c>
      <c r="C2368" s="1">
        <v>45866.458333333336</v>
      </c>
      <c r="D2368">
        <v>12</v>
      </c>
    </row>
    <row r="2369" spans="1:4" x14ac:dyDescent="0.25">
      <c r="A2369" t="s">
        <v>9</v>
      </c>
      <c r="B2369" t="s">
        <v>20</v>
      </c>
      <c r="C2369" s="1">
        <v>45871.125</v>
      </c>
      <c r="D2369">
        <v>738</v>
      </c>
    </row>
    <row r="2370" spans="1:4" x14ac:dyDescent="0.25">
      <c r="A2370" t="s">
        <v>81</v>
      </c>
      <c r="B2370" t="s">
        <v>19</v>
      </c>
      <c r="C2370" s="1">
        <v>45872.916666666664</v>
      </c>
      <c r="D2370">
        <v>24</v>
      </c>
    </row>
    <row r="2371" spans="1:4" x14ac:dyDescent="0.25">
      <c r="A2371" t="s">
        <v>87</v>
      </c>
      <c r="B2371" t="s">
        <v>8</v>
      </c>
      <c r="C2371" s="1">
        <v>45871.083333333336</v>
      </c>
      <c r="D2371">
        <v>1</v>
      </c>
    </row>
    <row r="2372" spans="1:4" x14ac:dyDescent="0.25">
      <c r="A2372" t="s">
        <v>7</v>
      </c>
      <c r="B2372" t="s">
        <v>0</v>
      </c>
      <c r="C2372" s="1">
        <v>45872.916666666664</v>
      </c>
      <c r="D2372">
        <v>6</v>
      </c>
    </row>
    <row r="2373" spans="1:4" x14ac:dyDescent="0.25">
      <c r="A2373" t="s">
        <v>7</v>
      </c>
      <c r="B2373" t="s">
        <v>8</v>
      </c>
      <c r="C2373" s="1">
        <v>45874.666666666664</v>
      </c>
      <c r="D2373">
        <v>14</v>
      </c>
    </row>
    <row r="2374" spans="1:4" x14ac:dyDescent="0.25">
      <c r="A2374" t="s">
        <v>9</v>
      </c>
      <c r="B2374" t="s">
        <v>51</v>
      </c>
      <c r="C2374" s="1">
        <v>45865.458333333336</v>
      </c>
      <c r="D2374">
        <v>18</v>
      </c>
    </row>
    <row r="2375" spans="1:4" x14ac:dyDescent="0.25">
      <c r="A2375" t="s">
        <v>83</v>
      </c>
      <c r="B2375" t="s">
        <v>19</v>
      </c>
      <c r="C2375" s="1">
        <v>45866.041666666664</v>
      </c>
      <c r="D2375">
        <v>2</v>
      </c>
    </row>
    <row r="2376" spans="1:4" x14ac:dyDescent="0.25">
      <c r="A2376" t="s">
        <v>14</v>
      </c>
      <c r="B2376" t="s">
        <v>19</v>
      </c>
      <c r="C2376" s="1">
        <v>45871.145833333336</v>
      </c>
      <c r="D2376">
        <v>9</v>
      </c>
    </row>
    <row r="2377" spans="1:4" x14ac:dyDescent="0.25">
      <c r="A2377" t="s">
        <v>7</v>
      </c>
      <c r="B2377" t="s">
        <v>0</v>
      </c>
      <c r="C2377" s="1">
        <v>45874.145833333336</v>
      </c>
      <c r="D2377">
        <v>1</v>
      </c>
    </row>
    <row r="2378" spans="1:4" x14ac:dyDescent="0.25">
      <c r="A2378" t="s">
        <v>23</v>
      </c>
      <c r="B2378" t="s">
        <v>2</v>
      </c>
      <c r="C2378" s="1">
        <v>45874.145833333336</v>
      </c>
      <c r="D2378">
        <v>1</v>
      </c>
    </row>
    <row r="2379" spans="1:4" x14ac:dyDescent="0.25">
      <c r="A2379" t="s">
        <v>7</v>
      </c>
      <c r="B2379" t="s">
        <v>1</v>
      </c>
      <c r="C2379" s="1">
        <v>45871.145833333336</v>
      </c>
      <c r="D2379">
        <v>192</v>
      </c>
    </row>
    <row r="2380" spans="1:4" x14ac:dyDescent="0.25">
      <c r="A2380" t="s">
        <v>9</v>
      </c>
      <c r="B2380" t="s">
        <v>20</v>
      </c>
      <c r="C2380" s="1">
        <v>45871.1875</v>
      </c>
      <c r="D2380">
        <v>101</v>
      </c>
    </row>
    <row r="2381" spans="1:4" x14ac:dyDescent="0.25">
      <c r="A2381" t="s">
        <v>7</v>
      </c>
      <c r="B2381" t="s">
        <v>53</v>
      </c>
      <c r="C2381" s="1">
        <v>45875.458333333336</v>
      </c>
      <c r="D2381">
        <v>804</v>
      </c>
    </row>
    <row r="2382" spans="1:4" x14ac:dyDescent="0.25">
      <c r="A2382" t="s">
        <v>23</v>
      </c>
      <c r="B2382" t="s">
        <v>1</v>
      </c>
      <c r="C2382" s="1">
        <v>45872.885416666664</v>
      </c>
      <c r="D2382">
        <v>7</v>
      </c>
    </row>
    <row r="2383" spans="1:4" x14ac:dyDescent="0.25">
      <c r="A2383" t="s">
        <v>81</v>
      </c>
      <c r="B2383" t="s">
        <v>19</v>
      </c>
      <c r="C2383" s="1">
        <v>45873.458333333336</v>
      </c>
      <c r="D2383">
        <v>11</v>
      </c>
    </row>
    <row r="2384" spans="1:4" x14ac:dyDescent="0.25">
      <c r="A2384" t="s">
        <v>23</v>
      </c>
      <c r="B2384" t="s">
        <v>20</v>
      </c>
      <c r="C2384" s="1">
        <v>45872.604166666664</v>
      </c>
      <c r="D2384">
        <v>3</v>
      </c>
    </row>
    <row r="2385" spans="1:4" x14ac:dyDescent="0.25">
      <c r="A2385" t="s">
        <v>10</v>
      </c>
      <c r="B2385" t="s">
        <v>8</v>
      </c>
      <c r="C2385" s="1">
        <v>45871.625</v>
      </c>
      <c r="D2385">
        <v>2</v>
      </c>
    </row>
    <row r="2386" spans="1:4" x14ac:dyDescent="0.25">
      <c r="A2386" t="s">
        <v>77</v>
      </c>
      <c r="B2386" t="s">
        <v>1</v>
      </c>
      <c r="C2386" s="1">
        <v>45873.885416666664</v>
      </c>
      <c r="D2386">
        <v>3</v>
      </c>
    </row>
    <row r="2387" spans="1:4" x14ac:dyDescent="0.25">
      <c r="A2387" t="s">
        <v>23</v>
      </c>
      <c r="B2387" t="s">
        <v>20</v>
      </c>
      <c r="C2387" s="1">
        <v>45872.020833333336</v>
      </c>
      <c r="D2387">
        <v>9</v>
      </c>
    </row>
    <row r="2388" spans="1:4" x14ac:dyDescent="0.25">
      <c r="A2388" t="s">
        <v>14</v>
      </c>
      <c r="B2388" t="s">
        <v>0</v>
      </c>
      <c r="C2388" s="1">
        <v>45871.041666666664</v>
      </c>
      <c r="D2388">
        <v>1</v>
      </c>
    </row>
    <row r="2389" spans="1:4" x14ac:dyDescent="0.25">
      <c r="A2389" t="s">
        <v>81</v>
      </c>
      <c r="B2389" t="s">
        <v>20</v>
      </c>
      <c r="C2389" s="1">
        <v>45871.947916666664</v>
      </c>
      <c r="D2389">
        <v>4</v>
      </c>
    </row>
    <row r="2390" spans="1:4" x14ac:dyDescent="0.25">
      <c r="A2390" t="s">
        <v>23</v>
      </c>
      <c r="B2390" t="s">
        <v>57</v>
      </c>
      <c r="C2390" s="1">
        <v>45874.166666666664</v>
      </c>
      <c r="D2390">
        <v>1</v>
      </c>
    </row>
    <row r="2391" spans="1:4" x14ac:dyDescent="0.25">
      <c r="A2391" t="s">
        <v>12</v>
      </c>
      <c r="B2391" t="s">
        <v>8</v>
      </c>
      <c r="C2391" s="1">
        <v>45870.208333333336</v>
      </c>
      <c r="D2391">
        <v>1</v>
      </c>
    </row>
    <row r="2392" spans="1:4" x14ac:dyDescent="0.25">
      <c r="A2392" t="s">
        <v>81</v>
      </c>
      <c r="B2392" t="s">
        <v>2</v>
      </c>
      <c r="C2392" s="1">
        <v>45871.729166666664</v>
      </c>
      <c r="D2392">
        <v>238</v>
      </c>
    </row>
    <row r="2393" spans="1:4" x14ac:dyDescent="0.25">
      <c r="A2393" t="s">
        <v>23</v>
      </c>
      <c r="B2393" t="s">
        <v>19</v>
      </c>
      <c r="C2393" s="1">
        <v>45877.583333333336</v>
      </c>
      <c r="D2393">
        <v>176</v>
      </c>
    </row>
    <row r="2394" spans="1:4" x14ac:dyDescent="0.25">
      <c r="A2394" t="s">
        <v>87</v>
      </c>
      <c r="B2394" t="s">
        <v>19</v>
      </c>
      <c r="C2394" s="1">
        <v>45871.083333333336</v>
      </c>
      <c r="D2394">
        <v>6</v>
      </c>
    </row>
    <row r="2395" spans="1:4" x14ac:dyDescent="0.25">
      <c r="A2395" t="s">
        <v>7</v>
      </c>
      <c r="B2395" t="s">
        <v>8</v>
      </c>
      <c r="C2395" s="1">
        <v>45873.020833333336</v>
      </c>
      <c r="D2395">
        <v>24</v>
      </c>
    </row>
    <row r="2396" spans="1:4" x14ac:dyDescent="0.25">
      <c r="A2396" t="s">
        <v>9</v>
      </c>
      <c r="B2396" t="s">
        <v>39</v>
      </c>
      <c r="C2396" s="1">
        <v>45872.458333333336</v>
      </c>
      <c r="D2396">
        <v>1</v>
      </c>
    </row>
    <row r="2397" spans="1:4" x14ac:dyDescent="0.25">
      <c r="A2397" t="s">
        <v>81</v>
      </c>
      <c r="B2397" t="s">
        <v>1</v>
      </c>
      <c r="C2397" s="1">
        <v>45871.885416666664</v>
      </c>
      <c r="D2397">
        <v>83</v>
      </c>
    </row>
    <row r="2398" spans="1:4" x14ac:dyDescent="0.25">
      <c r="A2398" t="s">
        <v>77</v>
      </c>
      <c r="B2398" t="s">
        <v>8</v>
      </c>
      <c r="C2398" s="1">
        <v>45876.75</v>
      </c>
      <c r="D2398">
        <v>2</v>
      </c>
    </row>
    <row r="2399" spans="1:4" x14ac:dyDescent="0.25">
      <c r="A2399" t="s">
        <v>79</v>
      </c>
      <c r="B2399" t="s">
        <v>80</v>
      </c>
      <c r="C2399" s="1">
        <v>45882.458333333336</v>
      </c>
      <c r="D2399">
        <v>4</v>
      </c>
    </row>
    <row r="2400" spans="1:4" x14ac:dyDescent="0.25">
      <c r="A2400" t="s">
        <v>13</v>
      </c>
      <c r="B2400" t="s">
        <v>80</v>
      </c>
      <c r="C2400" s="1">
        <v>45877.458333333336</v>
      </c>
      <c r="D2400">
        <v>10</v>
      </c>
    </row>
    <row r="2401" spans="1:4" x14ac:dyDescent="0.25">
      <c r="A2401" t="s">
        <v>23</v>
      </c>
      <c r="B2401" t="s">
        <v>19</v>
      </c>
      <c r="C2401" s="1">
        <v>45875.75</v>
      </c>
      <c r="D2401">
        <v>25</v>
      </c>
    </row>
    <row r="2402" spans="1:4" x14ac:dyDescent="0.25">
      <c r="A2402" t="s">
        <v>81</v>
      </c>
      <c r="B2402" t="s">
        <v>8</v>
      </c>
      <c r="C2402" s="1">
        <v>45873.666666666664</v>
      </c>
      <c r="D2402">
        <v>16</v>
      </c>
    </row>
    <row r="2403" spans="1:4" x14ac:dyDescent="0.25">
      <c r="A2403" t="s">
        <v>88</v>
      </c>
      <c r="B2403" t="s">
        <v>2</v>
      </c>
      <c r="C2403" s="1">
        <v>45871.125</v>
      </c>
      <c r="D2403">
        <v>21</v>
      </c>
    </row>
    <row r="2404" spans="1:4" x14ac:dyDescent="0.25">
      <c r="A2404" t="s">
        <v>9</v>
      </c>
      <c r="B2404" t="s">
        <v>92</v>
      </c>
      <c r="C2404" s="1">
        <v>45862.458333333336</v>
      </c>
      <c r="D2404">
        <v>4</v>
      </c>
    </row>
    <row r="2405" spans="1:4" x14ac:dyDescent="0.25">
      <c r="A2405" t="s">
        <v>7</v>
      </c>
      <c r="B2405" t="s">
        <v>0</v>
      </c>
      <c r="C2405" s="1">
        <v>45872.729166666664</v>
      </c>
      <c r="D2405">
        <v>41</v>
      </c>
    </row>
    <row r="2406" spans="1:4" x14ac:dyDescent="0.25">
      <c r="A2406" t="s">
        <v>77</v>
      </c>
      <c r="B2406" t="s">
        <v>8</v>
      </c>
      <c r="C2406" s="1">
        <v>45873.458333333336</v>
      </c>
      <c r="D2406">
        <v>5</v>
      </c>
    </row>
    <row r="2407" spans="1:4" x14ac:dyDescent="0.25">
      <c r="A2407" t="s">
        <v>7</v>
      </c>
      <c r="B2407" t="s">
        <v>19</v>
      </c>
      <c r="C2407" s="1">
        <v>45874.666666666664</v>
      </c>
      <c r="D2407">
        <v>12</v>
      </c>
    </row>
    <row r="2408" spans="1:4" x14ac:dyDescent="0.25">
      <c r="A2408" t="s">
        <v>81</v>
      </c>
      <c r="B2408" t="s">
        <v>1</v>
      </c>
      <c r="C2408" s="1">
        <v>45873.604166666664</v>
      </c>
      <c r="D2408">
        <v>5</v>
      </c>
    </row>
    <row r="2409" spans="1:4" x14ac:dyDescent="0.25">
      <c r="A2409" t="s">
        <v>88</v>
      </c>
      <c r="B2409" t="s">
        <v>8</v>
      </c>
      <c r="C2409" s="1">
        <v>45871.5</v>
      </c>
      <c r="D2409">
        <v>8</v>
      </c>
    </row>
    <row r="2410" spans="1:4" x14ac:dyDescent="0.25">
      <c r="A2410" t="s">
        <v>23</v>
      </c>
      <c r="B2410" t="s">
        <v>8</v>
      </c>
      <c r="C2410" s="1">
        <v>45872.916666666664</v>
      </c>
      <c r="D2410">
        <v>21</v>
      </c>
    </row>
    <row r="2411" spans="1:4" x14ac:dyDescent="0.25">
      <c r="A2411" t="s">
        <v>7</v>
      </c>
      <c r="B2411" t="s">
        <v>19</v>
      </c>
      <c r="C2411" s="1">
        <v>45873.947916666664</v>
      </c>
      <c r="D2411">
        <v>15</v>
      </c>
    </row>
    <row r="2412" spans="1:4" x14ac:dyDescent="0.25">
      <c r="A2412" t="s">
        <v>81</v>
      </c>
      <c r="B2412" t="s">
        <v>57</v>
      </c>
      <c r="C2412" s="1">
        <v>45873.145833333336</v>
      </c>
      <c r="D2412">
        <v>1</v>
      </c>
    </row>
    <row r="2413" spans="1:4" x14ac:dyDescent="0.25">
      <c r="A2413" t="s">
        <v>7</v>
      </c>
      <c r="B2413" t="s">
        <v>1</v>
      </c>
      <c r="C2413" s="1">
        <v>45875.625</v>
      </c>
      <c r="D2413">
        <v>5</v>
      </c>
    </row>
    <row r="2414" spans="1:4" x14ac:dyDescent="0.25">
      <c r="A2414" t="s">
        <v>7</v>
      </c>
      <c r="B2414" t="s">
        <v>2</v>
      </c>
      <c r="C2414" s="1">
        <v>45871.458333333336</v>
      </c>
      <c r="D2414">
        <v>115</v>
      </c>
    </row>
    <row r="2415" spans="1:4" x14ac:dyDescent="0.25">
      <c r="A2415" t="s">
        <v>15</v>
      </c>
      <c r="B2415" t="s">
        <v>1</v>
      </c>
      <c r="C2415" s="1">
        <v>45871.208333333336</v>
      </c>
      <c r="D2415">
        <v>3</v>
      </c>
    </row>
    <row r="2416" spans="1:4" x14ac:dyDescent="0.25">
      <c r="A2416" t="s">
        <v>7</v>
      </c>
      <c r="B2416" t="s">
        <v>2</v>
      </c>
      <c r="C2416" s="1">
        <v>45881.885416666664</v>
      </c>
      <c r="D2416">
        <v>1</v>
      </c>
    </row>
    <row r="2417" spans="1:4" x14ac:dyDescent="0.25">
      <c r="A2417" t="s">
        <v>23</v>
      </c>
      <c r="B2417" t="s">
        <v>19</v>
      </c>
      <c r="C2417" s="1">
        <v>45872.458333333336</v>
      </c>
      <c r="D2417">
        <v>2</v>
      </c>
    </row>
    <row r="2418" spans="1:4" x14ac:dyDescent="0.25">
      <c r="A2418" t="s">
        <v>7</v>
      </c>
      <c r="B2418" t="s">
        <v>57</v>
      </c>
      <c r="C2418" s="1">
        <v>45874.145833333336</v>
      </c>
      <c r="D2418">
        <v>1</v>
      </c>
    </row>
    <row r="2419" spans="1:4" x14ac:dyDescent="0.25">
      <c r="A2419" t="s">
        <v>23</v>
      </c>
      <c r="B2419" t="s">
        <v>8</v>
      </c>
      <c r="C2419" s="1">
        <v>45872.458333333336</v>
      </c>
      <c r="D2419">
        <v>4</v>
      </c>
    </row>
    <row r="2420" spans="1:4" x14ac:dyDescent="0.25">
      <c r="A2420" t="s">
        <v>15</v>
      </c>
      <c r="B2420" t="s">
        <v>19</v>
      </c>
      <c r="C2420" s="1">
        <v>45866.958333333336</v>
      </c>
      <c r="D2420">
        <v>1</v>
      </c>
    </row>
    <row r="2421" spans="1:4" x14ac:dyDescent="0.25">
      <c r="A2421" t="s">
        <v>7</v>
      </c>
      <c r="B2421" t="s">
        <v>19</v>
      </c>
      <c r="C2421" s="1">
        <v>45876.083333333336</v>
      </c>
      <c r="D2421">
        <v>23</v>
      </c>
    </row>
    <row r="2422" spans="1:4" x14ac:dyDescent="0.25">
      <c r="A2422" t="s">
        <v>86</v>
      </c>
      <c r="B2422" t="s">
        <v>19</v>
      </c>
      <c r="C2422" s="1">
        <v>45871.208333333336</v>
      </c>
      <c r="D2422">
        <v>264</v>
      </c>
    </row>
    <row r="2423" spans="1:4" x14ac:dyDescent="0.25">
      <c r="A2423" t="s">
        <v>81</v>
      </c>
      <c r="B2423" t="s">
        <v>57</v>
      </c>
      <c r="C2423" s="1">
        <v>45871.729166666664</v>
      </c>
      <c r="D2423">
        <v>96</v>
      </c>
    </row>
    <row r="2424" spans="1:4" x14ac:dyDescent="0.25">
      <c r="A2424" t="s">
        <v>11</v>
      </c>
      <c r="B2424" t="s">
        <v>51</v>
      </c>
      <c r="C2424" s="1">
        <v>45872.458333333336</v>
      </c>
      <c r="D2424">
        <v>8</v>
      </c>
    </row>
    <row r="2425" spans="1:4" x14ac:dyDescent="0.25">
      <c r="A2425" t="s">
        <v>14</v>
      </c>
      <c r="B2425" t="s">
        <v>53</v>
      </c>
      <c r="C2425" s="1">
        <v>45864.458333333336</v>
      </c>
      <c r="D2425">
        <v>1</v>
      </c>
    </row>
    <row r="2426" spans="1:4" x14ac:dyDescent="0.25">
      <c r="A2426" t="s">
        <v>23</v>
      </c>
      <c r="B2426" t="s">
        <v>2</v>
      </c>
      <c r="C2426" s="1">
        <v>45872.541666666664</v>
      </c>
      <c r="D2426">
        <v>2</v>
      </c>
    </row>
    <row r="2427" spans="1:4" x14ac:dyDescent="0.25">
      <c r="A2427" t="s">
        <v>23</v>
      </c>
      <c r="B2427" t="s">
        <v>19</v>
      </c>
      <c r="C2427" s="1">
        <v>45872.916666666664</v>
      </c>
      <c r="D2427">
        <v>25</v>
      </c>
    </row>
    <row r="2428" spans="1:4" x14ac:dyDescent="0.25">
      <c r="A2428" t="s">
        <v>12</v>
      </c>
      <c r="B2428" t="s">
        <v>19</v>
      </c>
      <c r="C2428" s="1">
        <v>45871.395833333336</v>
      </c>
      <c r="D2428">
        <v>2</v>
      </c>
    </row>
    <row r="2429" spans="1:4" x14ac:dyDescent="0.25">
      <c r="A2429" t="s">
        <v>87</v>
      </c>
      <c r="B2429" t="s">
        <v>4</v>
      </c>
      <c r="C2429" s="1">
        <v>45856.458333333336</v>
      </c>
      <c r="D2429">
        <v>1</v>
      </c>
    </row>
    <row r="2430" spans="1:4" x14ac:dyDescent="0.25">
      <c r="A2430" t="s">
        <v>7</v>
      </c>
      <c r="B2430" t="s">
        <v>8</v>
      </c>
      <c r="C2430" s="1">
        <v>45863.125</v>
      </c>
      <c r="D2430">
        <v>6</v>
      </c>
    </row>
    <row r="2431" spans="1:4" x14ac:dyDescent="0.25">
      <c r="A2431" t="s">
        <v>7</v>
      </c>
      <c r="B2431" t="s">
        <v>1</v>
      </c>
      <c r="C2431" s="1">
        <v>45873.1875</v>
      </c>
      <c r="D2431">
        <v>7</v>
      </c>
    </row>
    <row r="2432" spans="1:4" x14ac:dyDescent="0.25">
      <c r="A2432" t="s">
        <v>23</v>
      </c>
      <c r="B2432" t="s">
        <v>8</v>
      </c>
      <c r="C2432" s="1">
        <v>45875.75</v>
      </c>
      <c r="D2432">
        <v>12</v>
      </c>
    </row>
    <row r="2433" spans="1:4" x14ac:dyDescent="0.25">
      <c r="A2433" t="s">
        <v>77</v>
      </c>
      <c r="B2433" t="s">
        <v>20</v>
      </c>
      <c r="C2433" s="1">
        <v>45871.885416666664</v>
      </c>
      <c r="D2433">
        <v>1</v>
      </c>
    </row>
    <row r="2434" spans="1:4" x14ac:dyDescent="0.25">
      <c r="A2434" t="s">
        <v>7</v>
      </c>
      <c r="B2434" t="s">
        <v>8</v>
      </c>
      <c r="C2434" s="1">
        <v>45873.947916666664</v>
      </c>
      <c r="D2434">
        <v>3</v>
      </c>
    </row>
    <row r="2435" spans="1:4" x14ac:dyDescent="0.25">
      <c r="A2435" t="s">
        <v>81</v>
      </c>
      <c r="B2435" t="s">
        <v>2</v>
      </c>
      <c r="C2435" s="1">
        <v>45872.125</v>
      </c>
      <c r="D2435">
        <v>209</v>
      </c>
    </row>
    <row r="2436" spans="1:4" x14ac:dyDescent="0.25">
      <c r="A2436" t="s">
        <v>9</v>
      </c>
      <c r="B2436" t="s">
        <v>53</v>
      </c>
      <c r="C2436" s="1">
        <v>45873.458333333336</v>
      </c>
      <c r="D2436">
        <v>17</v>
      </c>
    </row>
    <row r="2437" spans="1:4" x14ac:dyDescent="0.25">
      <c r="A2437" t="s">
        <v>7</v>
      </c>
      <c r="B2437" t="s">
        <v>0</v>
      </c>
      <c r="C2437" s="1">
        <v>45872.125</v>
      </c>
      <c r="D2437">
        <v>164</v>
      </c>
    </row>
    <row r="2438" spans="1:4" x14ac:dyDescent="0.25">
      <c r="A2438" t="s">
        <v>14</v>
      </c>
      <c r="B2438" t="s">
        <v>19</v>
      </c>
      <c r="C2438" s="1">
        <v>45871.125</v>
      </c>
      <c r="D2438">
        <v>4</v>
      </c>
    </row>
    <row r="2439" spans="1:4" x14ac:dyDescent="0.25">
      <c r="A2439" t="s">
        <v>23</v>
      </c>
      <c r="B2439" t="s">
        <v>19</v>
      </c>
      <c r="C2439" s="1">
        <v>45876.145833333336</v>
      </c>
      <c r="D2439">
        <v>15</v>
      </c>
    </row>
    <row r="2440" spans="1:4" x14ac:dyDescent="0.25">
      <c r="A2440" t="s">
        <v>10</v>
      </c>
      <c r="B2440" t="s">
        <v>1</v>
      </c>
      <c r="C2440" s="1">
        <v>45871.729166666664</v>
      </c>
      <c r="D2440">
        <v>1</v>
      </c>
    </row>
    <row r="2441" spans="1:4" x14ac:dyDescent="0.25">
      <c r="A2441" t="s">
        <v>23</v>
      </c>
      <c r="B2441" t="s">
        <v>2</v>
      </c>
      <c r="C2441" s="1">
        <v>45871.125</v>
      </c>
      <c r="D2441">
        <v>1</v>
      </c>
    </row>
    <row r="2442" spans="1:4" x14ac:dyDescent="0.25">
      <c r="A2442" t="s">
        <v>12</v>
      </c>
      <c r="B2442" t="s">
        <v>19</v>
      </c>
      <c r="C2442" s="1">
        <v>45869.125</v>
      </c>
      <c r="D2442">
        <v>1</v>
      </c>
    </row>
    <row r="2443" spans="1:4" x14ac:dyDescent="0.25">
      <c r="A2443" t="s">
        <v>86</v>
      </c>
      <c r="B2443" t="s">
        <v>8</v>
      </c>
      <c r="C2443" s="1">
        <v>45871.208333333336</v>
      </c>
      <c r="D2443">
        <v>360</v>
      </c>
    </row>
    <row r="2444" spans="1:4" x14ac:dyDescent="0.25">
      <c r="A2444" t="s">
        <v>7</v>
      </c>
      <c r="B2444" t="s">
        <v>19</v>
      </c>
      <c r="C2444" s="1">
        <v>45870.208333333336</v>
      </c>
      <c r="D2444">
        <v>1</v>
      </c>
    </row>
    <row r="2445" spans="1:4" x14ac:dyDescent="0.25">
      <c r="A2445" t="s">
        <v>7</v>
      </c>
      <c r="B2445" t="s">
        <v>2</v>
      </c>
      <c r="C2445" s="1">
        <v>45875.916666666664</v>
      </c>
      <c r="D2445">
        <v>1</v>
      </c>
    </row>
    <row r="2446" spans="1:4" x14ac:dyDescent="0.25">
      <c r="A2446" t="s">
        <v>7</v>
      </c>
      <c r="B2446" t="s">
        <v>39</v>
      </c>
      <c r="C2446" s="1">
        <v>45874.458333333336</v>
      </c>
      <c r="D2446">
        <v>27</v>
      </c>
    </row>
    <row r="2447" spans="1:4" x14ac:dyDescent="0.25">
      <c r="A2447" t="s">
        <v>23</v>
      </c>
      <c r="B2447" t="s">
        <v>0</v>
      </c>
      <c r="C2447" s="1">
        <v>45873.208333333336</v>
      </c>
      <c r="D2447">
        <v>3</v>
      </c>
    </row>
    <row r="2448" spans="1:4" x14ac:dyDescent="0.25">
      <c r="A2448" t="s">
        <v>12</v>
      </c>
      <c r="B2448" t="s">
        <v>20</v>
      </c>
      <c r="C2448" s="1">
        <v>45871.145833333336</v>
      </c>
      <c r="D2448">
        <v>75</v>
      </c>
    </row>
    <row r="2449" spans="1:4" x14ac:dyDescent="0.25">
      <c r="A2449" t="s">
        <v>23</v>
      </c>
      <c r="B2449" t="s">
        <v>2</v>
      </c>
      <c r="C2449" s="1">
        <v>45877.1875</v>
      </c>
      <c r="D2449">
        <v>2</v>
      </c>
    </row>
    <row r="2450" spans="1:4" x14ac:dyDescent="0.25">
      <c r="A2450" t="s">
        <v>7</v>
      </c>
      <c r="B2450" t="s">
        <v>2</v>
      </c>
      <c r="C2450" s="1">
        <v>45871.854166666664</v>
      </c>
      <c r="D2450">
        <v>11</v>
      </c>
    </row>
    <row r="2451" spans="1:4" x14ac:dyDescent="0.25">
      <c r="A2451" t="s">
        <v>10</v>
      </c>
      <c r="B2451" t="s">
        <v>51</v>
      </c>
      <c r="C2451" s="1">
        <v>45868.458333333336</v>
      </c>
      <c r="D2451">
        <v>3</v>
      </c>
    </row>
    <row r="2452" spans="1:4" x14ac:dyDescent="0.25">
      <c r="A2452" t="s">
        <v>81</v>
      </c>
      <c r="B2452" t="s">
        <v>2</v>
      </c>
      <c r="C2452" s="1">
        <v>45880.885416666664</v>
      </c>
      <c r="D2452">
        <v>1</v>
      </c>
    </row>
    <row r="2453" spans="1:4" x14ac:dyDescent="0.25">
      <c r="A2453" t="s">
        <v>23</v>
      </c>
      <c r="B2453" t="s">
        <v>8</v>
      </c>
      <c r="C2453" s="1">
        <v>45874.729166666664</v>
      </c>
      <c r="D2453">
        <v>36</v>
      </c>
    </row>
    <row r="2454" spans="1:4" x14ac:dyDescent="0.25">
      <c r="A2454" t="s">
        <v>12</v>
      </c>
      <c r="B2454" t="s">
        <v>20</v>
      </c>
      <c r="C2454" s="1">
        <v>45871.5</v>
      </c>
      <c r="D2454">
        <v>1</v>
      </c>
    </row>
    <row r="2455" spans="1:4" x14ac:dyDescent="0.25">
      <c r="A2455" t="s">
        <v>9</v>
      </c>
      <c r="B2455" t="s">
        <v>19</v>
      </c>
      <c r="C2455" s="1">
        <v>45869.1875</v>
      </c>
      <c r="D2455">
        <v>1</v>
      </c>
    </row>
    <row r="2456" spans="1:4" x14ac:dyDescent="0.25">
      <c r="A2456" t="s">
        <v>9</v>
      </c>
      <c r="B2456" t="s">
        <v>8</v>
      </c>
      <c r="C2456" s="1">
        <v>45870.208333333336</v>
      </c>
      <c r="D2456">
        <v>1</v>
      </c>
    </row>
    <row r="2457" spans="1:4" x14ac:dyDescent="0.25">
      <c r="A2457" t="s">
        <v>81</v>
      </c>
      <c r="B2457" t="s">
        <v>57</v>
      </c>
      <c r="C2457" s="1">
        <v>45872.541666666664</v>
      </c>
      <c r="D2457">
        <v>4</v>
      </c>
    </row>
    <row r="2458" spans="1:4" x14ac:dyDescent="0.25">
      <c r="A2458" t="s">
        <v>11</v>
      </c>
      <c r="B2458" t="s">
        <v>92</v>
      </c>
      <c r="C2458" s="1">
        <v>45869.458333333336</v>
      </c>
      <c r="D2458">
        <v>10</v>
      </c>
    </row>
    <row r="2459" spans="1:4" x14ac:dyDescent="0.25">
      <c r="A2459" t="s">
        <v>7</v>
      </c>
      <c r="B2459" t="s">
        <v>19</v>
      </c>
      <c r="C2459" s="1">
        <v>45871.625</v>
      </c>
      <c r="D2459">
        <v>722</v>
      </c>
    </row>
    <row r="2460" spans="1:4" x14ac:dyDescent="0.25">
      <c r="A2460" t="s">
        <v>81</v>
      </c>
      <c r="B2460" t="s">
        <v>8</v>
      </c>
      <c r="C2460" s="1">
        <v>45871.083333333336</v>
      </c>
      <c r="D2460">
        <v>11</v>
      </c>
    </row>
    <row r="2461" spans="1:4" x14ac:dyDescent="0.25">
      <c r="A2461" t="s">
        <v>7</v>
      </c>
      <c r="B2461" t="s">
        <v>2</v>
      </c>
      <c r="C2461" s="1">
        <v>45875.145833333336</v>
      </c>
      <c r="D2461">
        <v>1</v>
      </c>
    </row>
    <row r="2462" spans="1:4" x14ac:dyDescent="0.25">
      <c r="A2462" t="s">
        <v>77</v>
      </c>
      <c r="B2462" t="s">
        <v>57</v>
      </c>
      <c r="C2462" s="1">
        <v>45871.125</v>
      </c>
      <c r="D2462">
        <v>282</v>
      </c>
    </row>
    <row r="2463" spans="1:4" x14ac:dyDescent="0.25">
      <c r="A2463" t="s">
        <v>23</v>
      </c>
      <c r="B2463" t="s">
        <v>19</v>
      </c>
      <c r="C2463" s="1">
        <v>45874.729166666664</v>
      </c>
      <c r="D2463">
        <v>41</v>
      </c>
    </row>
    <row r="2464" spans="1:4" x14ac:dyDescent="0.25">
      <c r="A2464" t="s">
        <v>81</v>
      </c>
      <c r="B2464" t="s">
        <v>19</v>
      </c>
      <c r="C2464" s="1">
        <v>45873.666666666664</v>
      </c>
      <c r="D2464">
        <v>19</v>
      </c>
    </row>
    <row r="2465" spans="1:4" x14ac:dyDescent="0.25">
      <c r="A2465" t="s">
        <v>23</v>
      </c>
      <c r="B2465" t="s">
        <v>20</v>
      </c>
      <c r="C2465" s="1">
        <v>45872.458333333336</v>
      </c>
      <c r="D2465">
        <v>1</v>
      </c>
    </row>
    <row r="2466" spans="1:4" x14ac:dyDescent="0.25">
      <c r="A2466" t="s">
        <v>14</v>
      </c>
      <c r="B2466" t="s">
        <v>8</v>
      </c>
      <c r="C2466" s="1">
        <v>45871.125</v>
      </c>
      <c r="D2466">
        <v>15</v>
      </c>
    </row>
    <row r="2467" spans="1:4" x14ac:dyDescent="0.25">
      <c r="A2467" t="s">
        <v>7</v>
      </c>
      <c r="B2467" t="s">
        <v>8</v>
      </c>
      <c r="C2467" s="1">
        <v>45873.458333333336</v>
      </c>
      <c r="D2467">
        <v>14</v>
      </c>
    </row>
    <row r="2468" spans="1:4" x14ac:dyDescent="0.25">
      <c r="A2468" t="s">
        <v>9</v>
      </c>
      <c r="B2468" t="s">
        <v>0</v>
      </c>
      <c r="C2468" s="1">
        <v>45870.916666666664</v>
      </c>
      <c r="D2468">
        <v>1</v>
      </c>
    </row>
    <row r="2469" spans="1:4" x14ac:dyDescent="0.25">
      <c r="A2469" t="s">
        <v>7</v>
      </c>
      <c r="B2469" t="s">
        <v>1</v>
      </c>
      <c r="C2469" s="1">
        <v>45876.885416666664</v>
      </c>
      <c r="D2469">
        <v>2</v>
      </c>
    </row>
    <row r="2470" spans="1:4" x14ac:dyDescent="0.25">
      <c r="A2470" t="s">
        <v>10</v>
      </c>
      <c r="B2470" t="s">
        <v>1</v>
      </c>
      <c r="C2470" s="1">
        <v>45871.541666666664</v>
      </c>
      <c r="D2470">
        <v>6</v>
      </c>
    </row>
    <row r="2471" spans="1:4" x14ac:dyDescent="0.25">
      <c r="A2471" t="s">
        <v>7</v>
      </c>
      <c r="B2471" t="s">
        <v>0</v>
      </c>
      <c r="C2471" s="1">
        <v>45876.583333333336</v>
      </c>
      <c r="D2471">
        <v>2</v>
      </c>
    </row>
    <row r="2472" spans="1:4" x14ac:dyDescent="0.25">
      <c r="A2472" t="s">
        <v>81</v>
      </c>
      <c r="B2472" t="s">
        <v>57</v>
      </c>
      <c r="C2472" s="1">
        <v>45871.125</v>
      </c>
      <c r="D2472">
        <v>32</v>
      </c>
    </row>
    <row r="2473" spans="1:4" x14ac:dyDescent="0.25">
      <c r="A2473" t="s">
        <v>11</v>
      </c>
      <c r="B2473" t="s">
        <v>53</v>
      </c>
      <c r="C2473" s="1">
        <v>45867.458333333336</v>
      </c>
      <c r="D2473">
        <v>1</v>
      </c>
    </row>
    <row r="2474" spans="1:4" x14ac:dyDescent="0.25">
      <c r="A2474" t="s">
        <v>77</v>
      </c>
      <c r="B2474" t="s">
        <v>8</v>
      </c>
      <c r="C2474" s="1">
        <v>45871.083333333336</v>
      </c>
      <c r="D2474">
        <v>102</v>
      </c>
    </row>
    <row r="2475" spans="1:4" x14ac:dyDescent="0.25">
      <c r="A2475" t="s">
        <v>79</v>
      </c>
      <c r="B2475" t="s">
        <v>82</v>
      </c>
      <c r="C2475" s="1">
        <v>45875.458333333336</v>
      </c>
      <c r="D2475">
        <v>20</v>
      </c>
    </row>
    <row r="2476" spans="1:4" x14ac:dyDescent="0.25">
      <c r="A2476" t="s">
        <v>86</v>
      </c>
      <c r="B2476" t="s">
        <v>19</v>
      </c>
      <c r="C2476" s="1">
        <v>45871.604166666664</v>
      </c>
      <c r="D2476">
        <v>3</v>
      </c>
    </row>
    <row r="2477" spans="1:4" x14ac:dyDescent="0.25">
      <c r="A2477" t="s">
        <v>23</v>
      </c>
      <c r="B2477" t="s">
        <v>2</v>
      </c>
      <c r="C2477" s="1">
        <v>45876.885416666664</v>
      </c>
      <c r="D2477">
        <v>4</v>
      </c>
    </row>
    <row r="2478" spans="1:4" x14ac:dyDescent="0.25">
      <c r="A2478" t="s">
        <v>7</v>
      </c>
      <c r="B2478" t="s">
        <v>2</v>
      </c>
      <c r="C2478" s="1">
        <v>45873.083333333336</v>
      </c>
      <c r="D2478">
        <v>38</v>
      </c>
    </row>
    <row r="2479" spans="1:4" x14ac:dyDescent="0.25">
      <c r="A2479" t="s">
        <v>23</v>
      </c>
      <c r="B2479" t="s">
        <v>8</v>
      </c>
      <c r="C2479" s="1">
        <v>45876.145833333336</v>
      </c>
      <c r="D2479">
        <v>10</v>
      </c>
    </row>
    <row r="2480" spans="1:4" x14ac:dyDescent="0.25">
      <c r="A2480" t="s">
        <v>23</v>
      </c>
      <c r="B2480" t="s">
        <v>0</v>
      </c>
      <c r="C2480" s="1">
        <v>45874.625</v>
      </c>
      <c r="D2480">
        <v>2</v>
      </c>
    </row>
    <row r="2481" spans="1:4" x14ac:dyDescent="0.25">
      <c r="A2481" t="s">
        <v>23</v>
      </c>
      <c r="B2481" t="s">
        <v>1</v>
      </c>
      <c r="C2481" s="1">
        <v>45874.625</v>
      </c>
      <c r="D2481">
        <v>1</v>
      </c>
    </row>
    <row r="2482" spans="1:4" x14ac:dyDescent="0.25">
      <c r="A2482" t="s">
        <v>12</v>
      </c>
      <c r="B2482" t="s">
        <v>19</v>
      </c>
      <c r="C2482" s="1">
        <v>45869.583333333336</v>
      </c>
      <c r="D2482">
        <v>1</v>
      </c>
    </row>
    <row r="2483" spans="1:4" x14ac:dyDescent="0.25">
      <c r="A2483" t="s">
        <v>7</v>
      </c>
      <c r="B2483" t="s">
        <v>57</v>
      </c>
      <c r="C2483" s="1">
        <v>45873.083333333336</v>
      </c>
      <c r="D2483">
        <v>6</v>
      </c>
    </row>
    <row r="2484" spans="1:4" x14ac:dyDescent="0.25">
      <c r="A2484" t="s">
        <v>7</v>
      </c>
      <c r="B2484" t="s">
        <v>19</v>
      </c>
      <c r="C2484" s="1">
        <v>45873.458333333336</v>
      </c>
      <c r="D2484">
        <v>13</v>
      </c>
    </row>
    <row r="2485" spans="1:4" x14ac:dyDescent="0.25">
      <c r="A2485" t="s">
        <v>7</v>
      </c>
      <c r="B2485" t="s">
        <v>2</v>
      </c>
      <c r="C2485" s="1">
        <v>45871.947916666664</v>
      </c>
      <c r="D2485">
        <v>18</v>
      </c>
    </row>
    <row r="2486" spans="1:4" x14ac:dyDescent="0.25">
      <c r="A2486" t="s">
        <v>7</v>
      </c>
      <c r="B2486" t="s">
        <v>20</v>
      </c>
      <c r="C2486" s="1">
        <v>45872.1875</v>
      </c>
      <c r="D2486">
        <v>8</v>
      </c>
    </row>
    <row r="2487" spans="1:4" x14ac:dyDescent="0.25">
      <c r="A2487" t="s">
        <v>86</v>
      </c>
      <c r="B2487" t="s">
        <v>8</v>
      </c>
      <c r="C2487" s="1">
        <v>45871.166666666664</v>
      </c>
      <c r="D2487">
        <v>59</v>
      </c>
    </row>
    <row r="2488" spans="1:4" x14ac:dyDescent="0.25">
      <c r="A2488" t="s">
        <v>23</v>
      </c>
      <c r="B2488" t="s">
        <v>19</v>
      </c>
      <c r="C2488" s="1">
        <v>45874.541666666664</v>
      </c>
      <c r="D2488">
        <v>52</v>
      </c>
    </row>
    <row r="2489" spans="1:4" x14ac:dyDescent="0.25">
      <c r="A2489" t="s">
        <v>81</v>
      </c>
      <c r="B2489" t="s">
        <v>8</v>
      </c>
      <c r="C2489" s="1">
        <v>45872.458333333336</v>
      </c>
      <c r="D2489">
        <v>20</v>
      </c>
    </row>
    <row r="2490" spans="1:4" x14ac:dyDescent="0.25">
      <c r="A2490" t="s">
        <v>10</v>
      </c>
      <c r="B2490" t="s">
        <v>19</v>
      </c>
      <c r="C2490" s="1">
        <v>45871.885416666664</v>
      </c>
      <c r="D2490">
        <v>1</v>
      </c>
    </row>
    <row r="2491" spans="1:4" x14ac:dyDescent="0.25">
      <c r="A2491" t="s">
        <v>23</v>
      </c>
      <c r="B2491" t="s">
        <v>0</v>
      </c>
      <c r="C2491" s="1">
        <v>45873.166666666664</v>
      </c>
      <c r="D2491">
        <v>1</v>
      </c>
    </row>
    <row r="2492" spans="1:4" x14ac:dyDescent="0.25">
      <c r="A2492" t="s">
        <v>7</v>
      </c>
      <c r="B2492" t="s">
        <v>2</v>
      </c>
      <c r="C2492" s="1">
        <v>45872.666666666664</v>
      </c>
      <c r="D2492">
        <v>23</v>
      </c>
    </row>
    <row r="2493" spans="1:4" x14ac:dyDescent="0.25">
      <c r="A2493" t="s">
        <v>7</v>
      </c>
      <c r="B2493" t="s">
        <v>19</v>
      </c>
      <c r="C2493" s="1">
        <v>45872.020833333336</v>
      </c>
      <c r="D2493">
        <v>65</v>
      </c>
    </row>
    <row r="2494" spans="1:4" x14ac:dyDescent="0.25">
      <c r="A2494" t="s">
        <v>81</v>
      </c>
      <c r="B2494" t="s">
        <v>20</v>
      </c>
      <c r="C2494" s="1">
        <v>45872.604166666664</v>
      </c>
      <c r="D2494">
        <v>91</v>
      </c>
    </row>
    <row r="2495" spans="1:4" x14ac:dyDescent="0.25">
      <c r="A2495" t="s">
        <v>77</v>
      </c>
      <c r="B2495" t="s">
        <v>19</v>
      </c>
      <c r="C2495" s="1">
        <v>45871.083333333336</v>
      </c>
      <c r="D2495">
        <v>110</v>
      </c>
    </row>
    <row r="2496" spans="1:4" x14ac:dyDescent="0.25">
      <c r="A2496" t="s">
        <v>7</v>
      </c>
      <c r="B2496" t="s">
        <v>20</v>
      </c>
      <c r="C2496" s="1">
        <v>45873.604166666664</v>
      </c>
      <c r="D2496">
        <v>2</v>
      </c>
    </row>
    <row r="2497" spans="1:4" x14ac:dyDescent="0.25">
      <c r="A2497" t="s">
        <v>23</v>
      </c>
      <c r="B2497" t="s">
        <v>8</v>
      </c>
      <c r="C2497" s="1">
        <v>45877.125</v>
      </c>
      <c r="D2497">
        <v>381</v>
      </c>
    </row>
    <row r="2498" spans="1:4" x14ac:dyDescent="0.25">
      <c r="A2498" t="s">
        <v>23</v>
      </c>
      <c r="B2498" t="s">
        <v>0</v>
      </c>
      <c r="C2498" s="1">
        <v>45874.885416666664</v>
      </c>
      <c r="D2498">
        <v>2</v>
      </c>
    </row>
    <row r="2499" spans="1:4" x14ac:dyDescent="0.25">
      <c r="A2499" t="s">
        <v>81</v>
      </c>
      <c r="B2499" t="s">
        <v>8</v>
      </c>
      <c r="C2499" s="1">
        <v>45876.75</v>
      </c>
      <c r="D2499">
        <v>7</v>
      </c>
    </row>
    <row r="2500" spans="1:4" x14ac:dyDescent="0.25">
      <c r="A2500" t="s">
        <v>23</v>
      </c>
      <c r="B2500" t="s">
        <v>19</v>
      </c>
      <c r="C2500" s="1">
        <v>45873.666666666664</v>
      </c>
      <c r="D2500">
        <v>35</v>
      </c>
    </row>
    <row r="2501" spans="1:4" x14ac:dyDescent="0.25">
      <c r="A2501" t="s">
        <v>87</v>
      </c>
      <c r="B2501" t="s">
        <v>2</v>
      </c>
      <c r="C2501" s="1">
        <v>45871.083333333336</v>
      </c>
      <c r="D2501">
        <v>3</v>
      </c>
    </row>
    <row r="2502" spans="1:4" x14ac:dyDescent="0.25">
      <c r="A2502" t="s">
        <v>23</v>
      </c>
      <c r="B2502" t="s">
        <v>57</v>
      </c>
      <c r="C2502" s="1">
        <v>45874.583333333336</v>
      </c>
      <c r="D2502">
        <v>2</v>
      </c>
    </row>
    <row r="2503" spans="1:4" x14ac:dyDescent="0.25">
      <c r="A2503" t="s">
        <v>7</v>
      </c>
      <c r="B2503" t="s">
        <v>20</v>
      </c>
      <c r="C2503" s="1">
        <v>45872.885416666664</v>
      </c>
      <c r="D2503">
        <v>12</v>
      </c>
    </row>
    <row r="2504" spans="1:4" x14ac:dyDescent="0.25">
      <c r="A2504" t="s">
        <v>23</v>
      </c>
      <c r="B2504" t="s">
        <v>2</v>
      </c>
      <c r="C2504" s="1">
        <v>45875.583333333336</v>
      </c>
      <c r="D2504">
        <v>13</v>
      </c>
    </row>
    <row r="2505" spans="1:4" x14ac:dyDescent="0.25">
      <c r="A2505" t="s">
        <v>9</v>
      </c>
      <c r="B2505" t="s">
        <v>8</v>
      </c>
      <c r="C2505" s="1">
        <v>45871.166666666664</v>
      </c>
      <c r="D2505">
        <v>103</v>
      </c>
    </row>
    <row r="2506" spans="1:4" x14ac:dyDescent="0.25">
      <c r="A2506" t="s">
        <v>83</v>
      </c>
      <c r="B2506" t="s">
        <v>19</v>
      </c>
      <c r="C2506" s="1">
        <v>45871.145833333336</v>
      </c>
      <c r="D2506">
        <v>1385</v>
      </c>
    </row>
    <row r="2507" spans="1:4" x14ac:dyDescent="0.25">
      <c r="A2507" t="s">
        <v>7</v>
      </c>
      <c r="B2507" t="s">
        <v>0</v>
      </c>
      <c r="C2507" s="1">
        <v>45872.541666666664</v>
      </c>
      <c r="D2507">
        <v>11</v>
      </c>
    </row>
    <row r="2508" spans="1:4" x14ac:dyDescent="0.25">
      <c r="A2508" t="s">
        <v>23</v>
      </c>
      <c r="B2508" t="s">
        <v>1</v>
      </c>
      <c r="C2508" s="1">
        <v>45876.458333333336</v>
      </c>
      <c r="D2508">
        <v>2</v>
      </c>
    </row>
    <row r="2509" spans="1:4" x14ac:dyDescent="0.25">
      <c r="A2509" t="s">
        <v>10</v>
      </c>
      <c r="B2509" t="s">
        <v>40</v>
      </c>
      <c r="C2509" s="1">
        <v>45880.458333333336</v>
      </c>
      <c r="D2509">
        <v>2</v>
      </c>
    </row>
    <row r="2510" spans="1:4" x14ac:dyDescent="0.25">
      <c r="A2510" t="s">
        <v>23</v>
      </c>
      <c r="B2510" t="s">
        <v>57</v>
      </c>
      <c r="C2510" s="1">
        <v>45872.145833333336</v>
      </c>
      <c r="D2510">
        <v>2</v>
      </c>
    </row>
    <row r="2511" spans="1:4" x14ac:dyDescent="0.25">
      <c r="A2511" t="s">
        <v>7</v>
      </c>
      <c r="B2511" t="s">
        <v>20</v>
      </c>
      <c r="C2511" s="1">
        <v>45871.166666666664</v>
      </c>
      <c r="D2511">
        <v>138</v>
      </c>
    </row>
    <row r="2512" spans="1:4" x14ac:dyDescent="0.25">
      <c r="A2512" t="s">
        <v>12</v>
      </c>
      <c r="B2512" t="s">
        <v>19</v>
      </c>
      <c r="C2512" s="1">
        <v>45867.75</v>
      </c>
      <c r="D2512">
        <v>1</v>
      </c>
    </row>
    <row r="2513" spans="1:4" x14ac:dyDescent="0.25">
      <c r="A2513" t="s">
        <v>10</v>
      </c>
      <c r="B2513" t="s">
        <v>41</v>
      </c>
      <c r="C2513" s="1">
        <v>45876.458333333336</v>
      </c>
      <c r="D2513">
        <v>27</v>
      </c>
    </row>
    <row r="2514" spans="1:4" x14ac:dyDescent="0.25">
      <c r="A2514" t="s">
        <v>10</v>
      </c>
      <c r="B2514" t="s">
        <v>53</v>
      </c>
      <c r="C2514" s="1">
        <v>45875.458333333336</v>
      </c>
      <c r="D2514">
        <v>247</v>
      </c>
    </row>
    <row r="2515" spans="1:4" x14ac:dyDescent="0.25">
      <c r="A2515" t="s">
        <v>23</v>
      </c>
      <c r="B2515" t="s">
        <v>8</v>
      </c>
      <c r="C2515" s="1">
        <v>45873.666666666664</v>
      </c>
      <c r="D2515">
        <v>46</v>
      </c>
    </row>
    <row r="2516" spans="1:4" x14ac:dyDescent="0.25">
      <c r="A2516" t="s">
        <v>83</v>
      </c>
      <c r="B2516" t="s">
        <v>8</v>
      </c>
      <c r="C2516" s="1">
        <v>45871.916666666664</v>
      </c>
      <c r="D2516">
        <v>1</v>
      </c>
    </row>
    <row r="2517" spans="1:4" x14ac:dyDescent="0.25">
      <c r="A2517" t="s">
        <v>23</v>
      </c>
      <c r="B2517" t="s">
        <v>19</v>
      </c>
      <c r="C2517" s="1">
        <v>45877.125</v>
      </c>
      <c r="D2517">
        <v>308</v>
      </c>
    </row>
    <row r="2518" spans="1:4" x14ac:dyDescent="0.25">
      <c r="A2518" t="s">
        <v>77</v>
      </c>
      <c r="B2518" t="s">
        <v>1</v>
      </c>
      <c r="C2518" s="1">
        <v>45872.020833333336</v>
      </c>
      <c r="D2518">
        <v>5</v>
      </c>
    </row>
    <row r="2519" spans="1:4" x14ac:dyDescent="0.25">
      <c r="A2519" t="s">
        <v>7</v>
      </c>
      <c r="B2519" t="s">
        <v>57</v>
      </c>
      <c r="C2519" s="1">
        <v>45871.666666666664</v>
      </c>
      <c r="D2519">
        <v>214</v>
      </c>
    </row>
    <row r="2520" spans="1:4" x14ac:dyDescent="0.25">
      <c r="A2520" t="s">
        <v>7</v>
      </c>
      <c r="B2520" t="s">
        <v>19</v>
      </c>
      <c r="C2520" s="1">
        <v>45868.583333333336</v>
      </c>
      <c r="D2520">
        <v>1</v>
      </c>
    </row>
    <row r="2521" spans="1:4" x14ac:dyDescent="0.25">
      <c r="A2521" t="s">
        <v>9</v>
      </c>
      <c r="B2521" t="s">
        <v>20</v>
      </c>
      <c r="C2521" s="1">
        <v>45871.583333333336</v>
      </c>
      <c r="D2521">
        <v>1</v>
      </c>
    </row>
    <row r="2522" spans="1:4" x14ac:dyDescent="0.25">
      <c r="A2522" t="s">
        <v>9</v>
      </c>
      <c r="B2522" t="s">
        <v>19</v>
      </c>
      <c r="C2522" s="1">
        <v>45867.125</v>
      </c>
      <c r="D2522">
        <v>1</v>
      </c>
    </row>
    <row r="2523" spans="1:4" x14ac:dyDescent="0.25">
      <c r="A2523" t="s">
        <v>23</v>
      </c>
      <c r="B2523" t="s">
        <v>20</v>
      </c>
      <c r="C2523" s="1">
        <v>45878.125</v>
      </c>
      <c r="D2523">
        <v>1</v>
      </c>
    </row>
    <row r="2524" spans="1:4" x14ac:dyDescent="0.25">
      <c r="A2524" t="s">
        <v>7</v>
      </c>
      <c r="B2524" t="s">
        <v>8</v>
      </c>
      <c r="C2524" s="1">
        <v>45871.625</v>
      </c>
      <c r="D2524">
        <v>711</v>
      </c>
    </row>
    <row r="2525" spans="1:4" x14ac:dyDescent="0.25">
      <c r="A2525" t="s">
        <v>9</v>
      </c>
      <c r="B2525" t="s">
        <v>0</v>
      </c>
      <c r="C2525" s="1">
        <v>45871.666666666664</v>
      </c>
      <c r="D2525">
        <v>5</v>
      </c>
    </row>
    <row r="2526" spans="1:4" x14ac:dyDescent="0.25">
      <c r="A2526" t="s">
        <v>23</v>
      </c>
      <c r="B2526" t="s">
        <v>8</v>
      </c>
      <c r="C2526" s="1">
        <v>45874.541666666664</v>
      </c>
      <c r="D2526">
        <v>80</v>
      </c>
    </row>
    <row r="2527" spans="1:4" x14ac:dyDescent="0.25">
      <c r="A2527" t="s">
        <v>9</v>
      </c>
      <c r="B2527" t="s">
        <v>2</v>
      </c>
      <c r="C2527" s="1">
        <v>45871.041666666664</v>
      </c>
      <c r="D2527">
        <v>2</v>
      </c>
    </row>
    <row r="2528" spans="1:4" x14ac:dyDescent="0.25">
      <c r="A2528" t="s">
        <v>81</v>
      </c>
      <c r="B2528" t="s">
        <v>8</v>
      </c>
      <c r="C2528" s="1">
        <v>45873.916666666664</v>
      </c>
      <c r="D2528">
        <v>5</v>
      </c>
    </row>
    <row r="2529" spans="1:4" x14ac:dyDescent="0.25">
      <c r="A2529" t="s">
        <v>13</v>
      </c>
      <c r="B2529" t="s">
        <v>4</v>
      </c>
      <c r="C2529" s="1">
        <v>45870.458333333336</v>
      </c>
      <c r="D2529">
        <v>98</v>
      </c>
    </row>
    <row r="2530" spans="1:4" x14ac:dyDescent="0.25">
      <c r="A2530" t="s">
        <v>81</v>
      </c>
      <c r="B2530" t="s">
        <v>0</v>
      </c>
      <c r="C2530" s="1">
        <v>45872.1875</v>
      </c>
      <c r="D2530">
        <v>11</v>
      </c>
    </row>
    <row r="2531" spans="1:4" x14ac:dyDescent="0.25">
      <c r="A2531" t="s">
        <v>10</v>
      </c>
      <c r="B2531" t="s">
        <v>41</v>
      </c>
      <c r="C2531" s="1">
        <v>45860.458333333336</v>
      </c>
      <c r="D2531">
        <v>1</v>
      </c>
    </row>
    <row r="2532" spans="1:4" x14ac:dyDescent="0.25">
      <c r="A2532" t="s">
        <v>77</v>
      </c>
      <c r="B2532" t="s">
        <v>1</v>
      </c>
      <c r="C2532" s="1">
        <v>45871.166666666664</v>
      </c>
      <c r="D2532">
        <v>160</v>
      </c>
    </row>
    <row r="2533" spans="1:4" x14ac:dyDescent="0.25">
      <c r="A2533" t="s">
        <v>15</v>
      </c>
      <c r="B2533" t="s">
        <v>19</v>
      </c>
      <c r="C2533" s="1">
        <v>45871.604166666664</v>
      </c>
      <c r="D2533">
        <v>1</v>
      </c>
    </row>
    <row r="2534" spans="1:4" x14ac:dyDescent="0.25">
      <c r="A2534" t="s">
        <v>9</v>
      </c>
      <c r="B2534" t="s">
        <v>40</v>
      </c>
      <c r="C2534" s="1">
        <v>45880.458333333336</v>
      </c>
      <c r="D2534">
        <v>2</v>
      </c>
    </row>
    <row r="2535" spans="1:4" x14ac:dyDescent="0.25">
      <c r="A2535" t="s">
        <v>9</v>
      </c>
      <c r="B2535" t="s">
        <v>41</v>
      </c>
      <c r="C2535" s="1">
        <v>45858.458333333336</v>
      </c>
      <c r="D2535">
        <v>13</v>
      </c>
    </row>
    <row r="2536" spans="1:4" x14ac:dyDescent="0.25">
      <c r="A2536" t="s">
        <v>7</v>
      </c>
      <c r="B2536" t="s">
        <v>2</v>
      </c>
      <c r="C2536" s="1">
        <v>45876.125</v>
      </c>
      <c r="D2536">
        <v>9</v>
      </c>
    </row>
    <row r="2537" spans="1:4" x14ac:dyDescent="0.25">
      <c r="A2537" t="s">
        <v>77</v>
      </c>
      <c r="B2537" t="s">
        <v>39</v>
      </c>
      <c r="C2537" s="1">
        <v>45870.458333333336</v>
      </c>
      <c r="D2537">
        <v>185</v>
      </c>
    </row>
    <row r="2538" spans="1:4" x14ac:dyDescent="0.25">
      <c r="A2538" t="s">
        <v>10</v>
      </c>
      <c r="B2538" t="s">
        <v>20</v>
      </c>
      <c r="C2538" s="1">
        <v>45871.583333333336</v>
      </c>
      <c r="D2538">
        <v>1</v>
      </c>
    </row>
    <row r="2539" spans="1:4" x14ac:dyDescent="0.25">
      <c r="A2539" t="s">
        <v>7</v>
      </c>
      <c r="B2539" t="s">
        <v>8</v>
      </c>
      <c r="C2539" s="1">
        <v>45875.083333333336</v>
      </c>
      <c r="D2539">
        <v>7</v>
      </c>
    </row>
    <row r="2540" spans="1:4" x14ac:dyDescent="0.25">
      <c r="A2540" t="s">
        <v>87</v>
      </c>
      <c r="B2540" t="s">
        <v>4</v>
      </c>
      <c r="C2540" s="1">
        <v>45845.458333333336</v>
      </c>
      <c r="D2540">
        <v>2</v>
      </c>
    </row>
    <row r="2541" spans="1:4" x14ac:dyDescent="0.25">
      <c r="A2541" t="s">
        <v>88</v>
      </c>
      <c r="B2541" t="s">
        <v>8</v>
      </c>
      <c r="C2541" s="1">
        <v>45871.541666666664</v>
      </c>
      <c r="D2541">
        <v>37</v>
      </c>
    </row>
    <row r="2542" spans="1:4" x14ac:dyDescent="0.25">
      <c r="A2542" t="s">
        <v>7</v>
      </c>
      <c r="B2542" t="s">
        <v>57</v>
      </c>
      <c r="C2542" s="1">
        <v>45876.541666666664</v>
      </c>
      <c r="D2542">
        <v>1</v>
      </c>
    </row>
    <row r="2543" spans="1:4" x14ac:dyDescent="0.25">
      <c r="A2543" t="s">
        <v>9</v>
      </c>
      <c r="B2543" t="s">
        <v>57</v>
      </c>
      <c r="C2543" s="1">
        <v>45871.458333333336</v>
      </c>
      <c r="D2543">
        <v>2</v>
      </c>
    </row>
    <row r="2544" spans="1:4" x14ac:dyDescent="0.25">
      <c r="A2544" t="s">
        <v>88</v>
      </c>
      <c r="B2544" t="s">
        <v>0</v>
      </c>
      <c r="C2544" s="1">
        <v>45871.020833333336</v>
      </c>
      <c r="D2544">
        <v>1</v>
      </c>
    </row>
    <row r="2545" spans="1:4" x14ac:dyDescent="0.25">
      <c r="A2545" t="s">
        <v>81</v>
      </c>
      <c r="B2545" t="s">
        <v>19</v>
      </c>
      <c r="C2545" s="1">
        <v>45873.916666666664</v>
      </c>
      <c r="D2545">
        <v>13</v>
      </c>
    </row>
    <row r="2546" spans="1:4" x14ac:dyDescent="0.25">
      <c r="A2546" t="s">
        <v>7</v>
      </c>
      <c r="B2546" t="s">
        <v>85</v>
      </c>
      <c r="C2546" s="1">
        <v>45871.604166666664</v>
      </c>
      <c r="D2546">
        <v>4</v>
      </c>
    </row>
    <row r="2547" spans="1:4" x14ac:dyDescent="0.25">
      <c r="A2547" t="s">
        <v>12</v>
      </c>
      <c r="B2547" t="s">
        <v>19</v>
      </c>
      <c r="C2547" s="1">
        <v>45871.208333333336</v>
      </c>
      <c r="D2547">
        <v>233</v>
      </c>
    </row>
    <row r="2548" spans="1:4" x14ac:dyDescent="0.25">
      <c r="A2548" t="s">
        <v>12</v>
      </c>
      <c r="B2548" t="s">
        <v>1</v>
      </c>
      <c r="C2548" s="1">
        <v>45871.145833333336</v>
      </c>
      <c r="D2548">
        <v>32</v>
      </c>
    </row>
    <row r="2549" spans="1:4" x14ac:dyDescent="0.25">
      <c r="A2549" t="s">
        <v>7</v>
      </c>
      <c r="B2549" t="s">
        <v>0</v>
      </c>
      <c r="C2549" s="1">
        <v>45871.916666666664</v>
      </c>
      <c r="D2549">
        <v>79</v>
      </c>
    </row>
    <row r="2550" spans="1:4" x14ac:dyDescent="0.25">
      <c r="A2550" t="s">
        <v>23</v>
      </c>
      <c r="B2550" t="s">
        <v>20</v>
      </c>
      <c r="C2550" s="1">
        <v>45876.666666666664</v>
      </c>
      <c r="D2550">
        <v>1</v>
      </c>
    </row>
    <row r="2551" spans="1:4" x14ac:dyDescent="0.25">
      <c r="A2551" t="s">
        <v>23</v>
      </c>
      <c r="B2551" t="s">
        <v>0</v>
      </c>
      <c r="C2551" s="1">
        <v>45871.1875</v>
      </c>
      <c r="D2551">
        <v>8</v>
      </c>
    </row>
    <row r="2552" spans="1:4" x14ac:dyDescent="0.25">
      <c r="A2552" t="s">
        <v>7</v>
      </c>
      <c r="B2552" t="s">
        <v>20</v>
      </c>
      <c r="C2552" s="1">
        <v>45873.208333333336</v>
      </c>
      <c r="D2552">
        <v>1</v>
      </c>
    </row>
    <row r="2553" spans="1:4" x14ac:dyDescent="0.25">
      <c r="A2553" t="s">
        <v>86</v>
      </c>
      <c r="B2553" t="s">
        <v>19</v>
      </c>
      <c r="C2553" s="1">
        <v>45871.166666666664</v>
      </c>
      <c r="D2553">
        <v>100</v>
      </c>
    </row>
    <row r="2554" spans="1:4" x14ac:dyDescent="0.25">
      <c r="A2554" t="s">
        <v>7</v>
      </c>
      <c r="B2554" t="s">
        <v>0</v>
      </c>
      <c r="C2554" s="1">
        <v>45873.145833333336</v>
      </c>
      <c r="D2554">
        <v>11</v>
      </c>
    </row>
    <row r="2555" spans="1:4" x14ac:dyDescent="0.25">
      <c r="A2555" t="s">
        <v>23</v>
      </c>
      <c r="B2555" t="s">
        <v>2</v>
      </c>
      <c r="C2555" s="1">
        <v>45873.145833333336</v>
      </c>
      <c r="D2555">
        <v>7</v>
      </c>
    </row>
    <row r="2556" spans="1:4" x14ac:dyDescent="0.25">
      <c r="A2556" t="s">
        <v>23</v>
      </c>
      <c r="B2556" t="s">
        <v>1</v>
      </c>
      <c r="C2556" s="1">
        <v>45871.885416666664</v>
      </c>
      <c r="D2556">
        <v>1</v>
      </c>
    </row>
    <row r="2557" spans="1:4" x14ac:dyDescent="0.25">
      <c r="A2557" t="s">
        <v>77</v>
      </c>
      <c r="B2557" t="s">
        <v>1</v>
      </c>
      <c r="C2557" s="1">
        <v>45872.885416666664</v>
      </c>
      <c r="D2557">
        <v>6</v>
      </c>
    </row>
    <row r="2558" spans="1:4" x14ac:dyDescent="0.25">
      <c r="A2558" t="s">
        <v>88</v>
      </c>
      <c r="B2558" t="s">
        <v>19</v>
      </c>
      <c r="C2558" s="1">
        <v>45871.541666666664</v>
      </c>
      <c r="D2558">
        <v>3</v>
      </c>
    </row>
    <row r="2559" spans="1:4" x14ac:dyDescent="0.25">
      <c r="A2559" t="s">
        <v>7</v>
      </c>
      <c r="B2559" t="s">
        <v>57</v>
      </c>
      <c r="C2559" s="1">
        <v>45875.125</v>
      </c>
      <c r="D2559">
        <v>1</v>
      </c>
    </row>
    <row r="2560" spans="1:4" x14ac:dyDescent="0.25">
      <c r="A2560" t="s">
        <v>81</v>
      </c>
      <c r="B2560" t="s">
        <v>2</v>
      </c>
      <c r="C2560" s="1">
        <v>45872.729166666664</v>
      </c>
      <c r="D2560">
        <v>26</v>
      </c>
    </row>
    <row r="2561" spans="1:4" x14ac:dyDescent="0.25">
      <c r="A2561" t="s">
        <v>81</v>
      </c>
      <c r="B2561" t="s">
        <v>0</v>
      </c>
      <c r="C2561" s="1">
        <v>45871.583333333336</v>
      </c>
      <c r="D2561">
        <v>6</v>
      </c>
    </row>
    <row r="2562" spans="1:4" x14ac:dyDescent="0.25">
      <c r="A2562" t="s">
        <v>12</v>
      </c>
      <c r="B2562" t="s">
        <v>8</v>
      </c>
      <c r="C2562" s="1">
        <v>45871.208333333336</v>
      </c>
      <c r="D2562">
        <v>414</v>
      </c>
    </row>
    <row r="2563" spans="1:4" x14ac:dyDescent="0.25">
      <c r="A2563" t="s">
        <v>9</v>
      </c>
      <c r="B2563" t="s">
        <v>39</v>
      </c>
      <c r="C2563" s="1">
        <v>45873.458333333336</v>
      </c>
      <c r="D2563">
        <v>4</v>
      </c>
    </row>
    <row r="2564" spans="1:4" x14ac:dyDescent="0.25">
      <c r="A2564" t="s">
        <v>9</v>
      </c>
      <c r="B2564" t="s">
        <v>19</v>
      </c>
      <c r="C2564" s="1">
        <v>45871.166666666664</v>
      </c>
      <c r="D2564">
        <v>271</v>
      </c>
    </row>
    <row r="2565" spans="1:4" x14ac:dyDescent="0.25">
      <c r="A2565" t="s">
        <v>7</v>
      </c>
      <c r="B2565" t="s">
        <v>8</v>
      </c>
      <c r="C2565" s="1">
        <v>45872.020833333336</v>
      </c>
      <c r="D2565">
        <v>115</v>
      </c>
    </row>
    <row r="2566" spans="1:4" x14ac:dyDescent="0.25">
      <c r="A2566" t="s">
        <v>10</v>
      </c>
      <c r="B2566" t="s">
        <v>2</v>
      </c>
      <c r="C2566" s="1">
        <v>45870.947916666664</v>
      </c>
      <c r="D2566">
        <v>1</v>
      </c>
    </row>
    <row r="2567" spans="1:4" x14ac:dyDescent="0.25">
      <c r="A2567" t="s">
        <v>7</v>
      </c>
      <c r="B2567" t="s">
        <v>19</v>
      </c>
      <c r="C2567" s="1">
        <v>45875.666666666664</v>
      </c>
      <c r="D2567">
        <v>18</v>
      </c>
    </row>
    <row r="2568" spans="1:4" x14ac:dyDescent="0.25">
      <c r="A2568" t="s">
        <v>7</v>
      </c>
      <c r="B2568" t="s">
        <v>84</v>
      </c>
      <c r="C2568" s="1">
        <v>45795.885416666664</v>
      </c>
      <c r="D2568">
        <v>1</v>
      </c>
    </row>
    <row r="2569" spans="1:4" x14ac:dyDescent="0.25">
      <c r="A2569" t="s">
        <v>7</v>
      </c>
      <c r="B2569" t="s">
        <v>2</v>
      </c>
      <c r="C2569" s="1">
        <v>45876.729166666664</v>
      </c>
      <c r="D2569">
        <v>4</v>
      </c>
    </row>
    <row r="2570" spans="1:4" x14ac:dyDescent="0.25">
      <c r="A2570" t="s">
        <v>81</v>
      </c>
      <c r="B2570" t="s">
        <v>19</v>
      </c>
      <c r="C2570" s="1">
        <v>45872.083333333336</v>
      </c>
      <c r="D2570">
        <v>252</v>
      </c>
    </row>
    <row r="2571" spans="1:4" x14ac:dyDescent="0.25">
      <c r="A2571" t="s">
        <v>11</v>
      </c>
      <c r="B2571" t="s">
        <v>19</v>
      </c>
      <c r="C2571" s="1">
        <v>45857.125</v>
      </c>
      <c r="D2571">
        <v>2</v>
      </c>
    </row>
    <row r="2572" spans="1:4" x14ac:dyDescent="0.25">
      <c r="A2572" t="s">
        <v>23</v>
      </c>
      <c r="B2572" t="s">
        <v>19</v>
      </c>
      <c r="C2572" s="1">
        <v>45876.75</v>
      </c>
      <c r="D2572">
        <v>35</v>
      </c>
    </row>
    <row r="2573" spans="1:4" x14ac:dyDescent="0.25">
      <c r="A2573" t="s">
        <v>81</v>
      </c>
      <c r="B2573" t="s">
        <v>8</v>
      </c>
      <c r="C2573" s="1">
        <v>45872.666666666664</v>
      </c>
      <c r="D2573">
        <v>53</v>
      </c>
    </row>
    <row r="2574" spans="1:4" x14ac:dyDescent="0.25">
      <c r="A2574" t="s">
        <v>81</v>
      </c>
      <c r="B2574" t="s">
        <v>1</v>
      </c>
      <c r="C2574" s="1">
        <v>45872.604166666664</v>
      </c>
      <c r="D2574">
        <v>131</v>
      </c>
    </row>
    <row r="2575" spans="1:4" x14ac:dyDescent="0.25">
      <c r="A2575" t="s">
        <v>7</v>
      </c>
      <c r="B2575" t="s">
        <v>57</v>
      </c>
      <c r="C2575" s="1">
        <v>45875.145833333336</v>
      </c>
      <c r="D2575">
        <v>1</v>
      </c>
    </row>
    <row r="2576" spans="1:4" x14ac:dyDescent="0.25">
      <c r="A2576" t="s">
        <v>9</v>
      </c>
      <c r="B2576" t="s">
        <v>1</v>
      </c>
      <c r="C2576" s="1">
        <v>45871.729166666664</v>
      </c>
      <c r="D2576">
        <v>6</v>
      </c>
    </row>
    <row r="2577" spans="1:4" x14ac:dyDescent="0.25">
      <c r="A2577" t="s">
        <v>7</v>
      </c>
      <c r="B2577" t="s">
        <v>19</v>
      </c>
      <c r="C2577" s="1">
        <v>45874.947916666664</v>
      </c>
      <c r="D2577">
        <v>5</v>
      </c>
    </row>
    <row r="2578" spans="1:4" x14ac:dyDescent="0.25">
      <c r="A2578" t="s">
        <v>13</v>
      </c>
      <c r="B2578" t="s">
        <v>4</v>
      </c>
      <c r="C2578" s="1">
        <v>45877.125</v>
      </c>
      <c r="D2578">
        <v>5</v>
      </c>
    </row>
    <row r="2579" spans="1:4" x14ac:dyDescent="0.25">
      <c r="A2579" t="s">
        <v>81</v>
      </c>
      <c r="B2579" t="s">
        <v>57</v>
      </c>
      <c r="C2579" s="1">
        <v>45872.145833333336</v>
      </c>
      <c r="D2579">
        <v>6</v>
      </c>
    </row>
    <row r="2580" spans="1:4" x14ac:dyDescent="0.25">
      <c r="A2580" t="s">
        <v>10</v>
      </c>
      <c r="B2580" t="s">
        <v>20</v>
      </c>
      <c r="C2580" s="1">
        <v>45871.958333333336</v>
      </c>
      <c r="D2580">
        <v>2</v>
      </c>
    </row>
    <row r="2581" spans="1:4" x14ac:dyDescent="0.25">
      <c r="A2581" t="s">
        <v>81</v>
      </c>
      <c r="B2581" t="s">
        <v>1</v>
      </c>
      <c r="C2581" s="1">
        <v>45871.166666666664</v>
      </c>
      <c r="D2581">
        <v>2</v>
      </c>
    </row>
    <row r="2582" spans="1:4" x14ac:dyDescent="0.25">
      <c r="A2582" t="s">
        <v>7</v>
      </c>
      <c r="B2582" t="s">
        <v>2</v>
      </c>
      <c r="C2582" s="1">
        <v>45872.458333333336</v>
      </c>
      <c r="D2582">
        <v>5</v>
      </c>
    </row>
    <row r="2583" spans="1:4" x14ac:dyDescent="0.25">
      <c r="A2583" t="s">
        <v>7</v>
      </c>
      <c r="B2583" t="s">
        <v>1</v>
      </c>
      <c r="C2583" s="1">
        <v>45873.208333333336</v>
      </c>
      <c r="D2583">
        <v>5</v>
      </c>
    </row>
    <row r="2584" spans="1:4" x14ac:dyDescent="0.25">
      <c r="A2584" t="s">
        <v>81</v>
      </c>
      <c r="B2584" t="s">
        <v>2</v>
      </c>
      <c r="C2584" s="1">
        <v>45873.145833333336</v>
      </c>
      <c r="D2584">
        <v>19</v>
      </c>
    </row>
    <row r="2585" spans="1:4" x14ac:dyDescent="0.25">
      <c r="A2585" t="s">
        <v>77</v>
      </c>
      <c r="B2585" t="s">
        <v>53</v>
      </c>
      <c r="C2585" s="1">
        <v>45853.458333333336</v>
      </c>
      <c r="D2585">
        <v>2</v>
      </c>
    </row>
    <row r="2586" spans="1:4" x14ac:dyDescent="0.25">
      <c r="A2586" t="s">
        <v>81</v>
      </c>
      <c r="B2586" t="s">
        <v>2</v>
      </c>
      <c r="C2586" s="1">
        <v>45873.125</v>
      </c>
      <c r="D2586">
        <v>37</v>
      </c>
    </row>
    <row r="2587" spans="1:4" x14ac:dyDescent="0.25">
      <c r="A2587" t="s">
        <v>83</v>
      </c>
      <c r="B2587" t="s">
        <v>8</v>
      </c>
      <c r="C2587" s="1">
        <v>45865.947916666664</v>
      </c>
      <c r="D2587">
        <v>2</v>
      </c>
    </row>
    <row r="2588" spans="1:4" x14ac:dyDescent="0.25">
      <c r="A2588" t="s">
        <v>7</v>
      </c>
      <c r="B2588" t="s">
        <v>1</v>
      </c>
      <c r="C2588" s="1">
        <v>45874.166666666664</v>
      </c>
      <c r="D2588">
        <v>1</v>
      </c>
    </row>
    <row r="2589" spans="1:4" x14ac:dyDescent="0.25">
      <c r="A2589" t="s">
        <v>7</v>
      </c>
      <c r="B2589" t="s">
        <v>57</v>
      </c>
      <c r="C2589" s="1">
        <v>45871.458333333336</v>
      </c>
      <c r="D2589">
        <v>98</v>
      </c>
    </row>
    <row r="2590" spans="1:4" x14ac:dyDescent="0.25">
      <c r="A2590" t="s">
        <v>11</v>
      </c>
      <c r="B2590" t="s">
        <v>51</v>
      </c>
      <c r="C2590" s="1">
        <v>45873.458333333336</v>
      </c>
      <c r="D2590">
        <v>252</v>
      </c>
    </row>
    <row r="2591" spans="1:4" x14ac:dyDescent="0.25">
      <c r="A2591" t="s">
        <v>23</v>
      </c>
      <c r="B2591" t="s">
        <v>19</v>
      </c>
      <c r="C2591" s="1">
        <v>45873.916666666664</v>
      </c>
      <c r="D2591">
        <v>6</v>
      </c>
    </row>
    <row r="2592" spans="1:4" x14ac:dyDescent="0.25">
      <c r="A2592" t="s">
        <v>77</v>
      </c>
      <c r="B2592" t="s">
        <v>19</v>
      </c>
      <c r="C2592" s="1">
        <v>45866.885416666664</v>
      </c>
      <c r="D2592">
        <v>2</v>
      </c>
    </row>
    <row r="2593" spans="1:4" x14ac:dyDescent="0.25">
      <c r="A2593" t="s">
        <v>11</v>
      </c>
      <c r="B2593" t="s">
        <v>1</v>
      </c>
      <c r="C2593" s="1">
        <v>45866.208333333336</v>
      </c>
      <c r="D2593">
        <v>1</v>
      </c>
    </row>
    <row r="2594" spans="1:4" x14ac:dyDescent="0.25">
      <c r="A2594" t="s">
        <v>87</v>
      </c>
      <c r="B2594" t="s">
        <v>4</v>
      </c>
      <c r="C2594" s="1">
        <v>45857.458333333336</v>
      </c>
      <c r="D2594">
        <v>1</v>
      </c>
    </row>
    <row r="2595" spans="1:4" x14ac:dyDescent="0.25">
      <c r="A2595" t="s">
        <v>79</v>
      </c>
      <c r="B2595" t="s">
        <v>80</v>
      </c>
      <c r="C2595" s="1">
        <v>45807.458333333336</v>
      </c>
      <c r="D2595">
        <v>2</v>
      </c>
    </row>
    <row r="2596" spans="1:4" x14ac:dyDescent="0.25">
      <c r="A2596" t="s">
        <v>81</v>
      </c>
      <c r="B2596" t="s">
        <v>57</v>
      </c>
      <c r="C2596" s="1">
        <v>45872.729166666664</v>
      </c>
      <c r="D2596">
        <v>3</v>
      </c>
    </row>
    <row r="2597" spans="1:4" x14ac:dyDescent="0.25">
      <c r="A2597" t="s">
        <v>77</v>
      </c>
      <c r="B2597" t="s">
        <v>20</v>
      </c>
      <c r="C2597" s="1">
        <v>45870.885416666664</v>
      </c>
      <c r="D2597">
        <v>1</v>
      </c>
    </row>
    <row r="2598" spans="1:4" x14ac:dyDescent="0.25">
      <c r="A2598" t="s">
        <v>23</v>
      </c>
      <c r="B2598" t="s">
        <v>8</v>
      </c>
      <c r="C2598" s="1">
        <v>45876.75</v>
      </c>
      <c r="D2598">
        <v>17</v>
      </c>
    </row>
    <row r="2599" spans="1:4" x14ac:dyDescent="0.25">
      <c r="A2599" t="s">
        <v>7</v>
      </c>
      <c r="B2599" t="s">
        <v>8</v>
      </c>
      <c r="C2599" s="1">
        <v>45874.947916666664</v>
      </c>
      <c r="D2599">
        <v>8</v>
      </c>
    </row>
    <row r="2600" spans="1:4" x14ac:dyDescent="0.25">
      <c r="A2600" t="s">
        <v>79</v>
      </c>
      <c r="B2600" t="s">
        <v>80</v>
      </c>
      <c r="C2600" s="1">
        <v>45883.458333333336</v>
      </c>
      <c r="D2600">
        <v>16</v>
      </c>
    </row>
    <row r="2601" spans="1:4" x14ac:dyDescent="0.25">
      <c r="A2601" t="s">
        <v>10</v>
      </c>
      <c r="B2601" t="s">
        <v>19</v>
      </c>
      <c r="C2601" s="1">
        <v>45871.395833333336</v>
      </c>
      <c r="D2601">
        <v>2</v>
      </c>
    </row>
    <row r="2602" spans="1:4" x14ac:dyDescent="0.25">
      <c r="A2602" t="s">
        <v>9</v>
      </c>
      <c r="B2602" t="s">
        <v>19</v>
      </c>
      <c r="C2602" s="1">
        <v>45871.208333333336</v>
      </c>
      <c r="D2602">
        <v>1251</v>
      </c>
    </row>
    <row r="2603" spans="1:4" x14ac:dyDescent="0.25">
      <c r="A2603" t="s">
        <v>7</v>
      </c>
      <c r="B2603" t="s">
        <v>8</v>
      </c>
      <c r="C2603" s="1">
        <v>45868.583333333336</v>
      </c>
      <c r="D2603">
        <v>18</v>
      </c>
    </row>
    <row r="2604" spans="1:4" x14ac:dyDescent="0.25">
      <c r="A2604" t="s">
        <v>77</v>
      </c>
      <c r="B2604" t="s">
        <v>19</v>
      </c>
      <c r="C2604" s="1">
        <v>45876.125</v>
      </c>
      <c r="D2604">
        <v>1</v>
      </c>
    </row>
    <row r="2605" spans="1:4" x14ac:dyDescent="0.25">
      <c r="A2605" t="s">
        <v>23</v>
      </c>
      <c r="B2605" t="s">
        <v>0</v>
      </c>
      <c r="C2605" s="1">
        <v>45872.208333333336</v>
      </c>
      <c r="D2605">
        <v>38</v>
      </c>
    </row>
    <row r="2606" spans="1:4" x14ac:dyDescent="0.25">
      <c r="A2606" t="s">
        <v>9</v>
      </c>
      <c r="B2606" t="s">
        <v>53</v>
      </c>
      <c r="C2606" s="1">
        <v>45874.458333333336</v>
      </c>
      <c r="D2606">
        <v>12</v>
      </c>
    </row>
    <row r="2607" spans="1:4" x14ac:dyDescent="0.25">
      <c r="A2607" t="s">
        <v>7</v>
      </c>
      <c r="B2607" t="s">
        <v>0</v>
      </c>
      <c r="C2607" s="1">
        <v>45873.125</v>
      </c>
      <c r="D2607">
        <v>56</v>
      </c>
    </row>
    <row r="2608" spans="1:4" x14ac:dyDescent="0.25">
      <c r="A2608" t="s">
        <v>23</v>
      </c>
      <c r="B2608" t="s">
        <v>19</v>
      </c>
      <c r="C2608" s="1">
        <v>45875.145833333336</v>
      </c>
      <c r="D2608">
        <v>2</v>
      </c>
    </row>
    <row r="2609" spans="1:4" x14ac:dyDescent="0.25">
      <c r="A2609" t="s">
        <v>7</v>
      </c>
      <c r="B2609" t="s">
        <v>1</v>
      </c>
      <c r="C2609" s="1">
        <v>45873.583333333336</v>
      </c>
      <c r="D2609">
        <v>31</v>
      </c>
    </row>
    <row r="2610" spans="1:4" x14ac:dyDescent="0.25">
      <c r="A2610" t="s">
        <v>23</v>
      </c>
      <c r="B2610" t="s">
        <v>8</v>
      </c>
      <c r="C2610" s="1">
        <v>45871.083333333336</v>
      </c>
      <c r="D2610">
        <v>41</v>
      </c>
    </row>
    <row r="2611" spans="1:4" x14ac:dyDescent="0.25">
      <c r="A2611" t="s">
        <v>23</v>
      </c>
      <c r="B2611" t="s">
        <v>57</v>
      </c>
      <c r="C2611" s="1">
        <v>45871.125</v>
      </c>
      <c r="D2611">
        <v>31</v>
      </c>
    </row>
    <row r="2612" spans="1:4" x14ac:dyDescent="0.25">
      <c r="A2612" t="s">
        <v>23</v>
      </c>
      <c r="B2612" t="s">
        <v>2</v>
      </c>
      <c r="C2612" s="1">
        <v>45872.125</v>
      </c>
      <c r="D2612">
        <v>115</v>
      </c>
    </row>
    <row r="2613" spans="1:4" x14ac:dyDescent="0.25">
      <c r="A2613" t="s">
        <v>7</v>
      </c>
      <c r="B2613" t="s">
        <v>19</v>
      </c>
      <c r="C2613" s="1">
        <v>45869.208333333336</v>
      </c>
      <c r="D2613">
        <v>2</v>
      </c>
    </row>
    <row r="2614" spans="1:4" x14ac:dyDescent="0.25">
      <c r="A2614" t="s">
        <v>12</v>
      </c>
      <c r="B2614" t="s">
        <v>19</v>
      </c>
      <c r="C2614" s="1">
        <v>45868.125</v>
      </c>
      <c r="D2614">
        <v>2</v>
      </c>
    </row>
    <row r="2615" spans="1:4" x14ac:dyDescent="0.25">
      <c r="A2615" t="s">
        <v>7</v>
      </c>
      <c r="B2615" t="s">
        <v>39</v>
      </c>
      <c r="C2615" s="1">
        <v>45873.458333333336</v>
      </c>
      <c r="D2615">
        <v>20</v>
      </c>
    </row>
    <row r="2616" spans="1:4" x14ac:dyDescent="0.25">
      <c r="A2616" t="s">
        <v>7</v>
      </c>
      <c r="B2616" t="s">
        <v>19</v>
      </c>
      <c r="C2616" s="1">
        <v>45872.625</v>
      </c>
      <c r="D2616">
        <v>77</v>
      </c>
    </row>
    <row r="2617" spans="1:4" x14ac:dyDescent="0.25">
      <c r="A2617" t="s">
        <v>81</v>
      </c>
      <c r="B2617" t="s">
        <v>57</v>
      </c>
      <c r="C2617" s="1">
        <v>45871.541666666664</v>
      </c>
      <c r="D2617">
        <v>180</v>
      </c>
    </row>
    <row r="2618" spans="1:4" x14ac:dyDescent="0.25">
      <c r="A2618" t="s">
        <v>9</v>
      </c>
      <c r="B2618" t="s">
        <v>53</v>
      </c>
      <c r="C2618" s="1">
        <v>45858.458333333336</v>
      </c>
      <c r="D2618">
        <v>17</v>
      </c>
    </row>
    <row r="2619" spans="1:4" x14ac:dyDescent="0.25">
      <c r="A2619" t="s">
        <v>14</v>
      </c>
      <c r="B2619" t="s">
        <v>51</v>
      </c>
      <c r="C2619" s="1">
        <v>45854.458333333336</v>
      </c>
      <c r="D2619">
        <v>4</v>
      </c>
    </row>
    <row r="2620" spans="1:4" x14ac:dyDescent="0.25">
      <c r="A2620" t="s">
        <v>12</v>
      </c>
      <c r="B2620" t="s">
        <v>8</v>
      </c>
      <c r="C2620" s="1">
        <v>45870.583333333336</v>
      </c>
      <c r="D2620">
        <v>1</v>
      </c>
    </row>
    <row r="2621" spans="1:4" x14ac:dyDescent="0.25">
      <c r="A2621" t="s">
        <v>9</v>
      </c>
      <c r="B2621" t="s">
        <v>8</v>
      </c>
      <c r="C2621" s="1">
        <v>45871.208333333336</v>
      </c>
      <c r="D2621">
        <v>760</v>
      </c>
    </row>
    <row r="2622" spans="1:4" x14ac:dyDescent="0.25">
      <c r="A2622" t="s">
        <v>81</v>
      </c>
      <c r="B2622" t="s">
        <v>8</v>
      </c>
      <c r="C2622" s="1">
        <v>45872.083333333336</v>
      </c>
      <c r="D2622">
        <v>283</v>
      </c>
    </row>
    <row r="2623" spans="1:4" x14ac:dyDescent="0.25">
      <c r="A2623" t="s">
        <v>81</v>
      </c>
      <c r="B2623" t="s">
        <v>19</v>
      </c>
      <c r="C2623" s="1">
        <v>45872.666666666664</v>
      </c>
      <c r="D2623">
        <v>61</v>
      </c>
    </row>
    <row r="2624" spans="1:4" x14ac:dyDescent="0.25">
      <c r="A2624" t="s">
        <v>7</v>
      </c>
      <c r="B2624" t="s">
        <v>57</v>
      </c>
      <c r="C2624" s="1">
        <v>45873.916666666664</v>
      </c>
      <c r="D2624">
        <v>1</v>
      </c>
    </row>
    <row r="2625" spans="1:4" x14ac:dyDescent="0.25">
      <c r="A2625" t="s">
        <v>7</v>
      </c>
      <c r="B2625" t="s">
        <v>8</v>
      </c>
      <c r="C2625" s="1">
        <v>45874.458333333336</v>
      </c>
      <c r="D2625">
        <v>11</v>
      </c>
    </row>
    <row r="2626" spans="1:4" x14ac:dyDescent="0.25">
      <c r="A2626" t="s">
        <v>9</v>
      </c>
      <c r="B2626" t="s">
        <v>0</v>
      </c>
      <c r="C2626" s="1">
        <v>45871.916666666664</v>
      </c>
      <c r="D2626">
        <v>1</v>
      </c>
    </row>
    <row r="2627" spans="1:4" x14ac:dyDescent="0.25">
      <c r="A2627" t="s">
        <v>7</v>
      </c>
      <c r="B2627" t="s">
        <v>1</v>
      </c>
      <c r="C2627" s="1">
        <v>45875.885416666664</v>
      </c>
      <c r="D2627">
        <v>3</v>
      </c>
    </row>
    <row r="2628" spans="1:4" x14ac:dyDescent="0.25">
      <c r="A2628" t="s">
        <v>81</v>
      </c>
      <c r="B2628" t="s">
        <v>1</v>
      </c>
      <c r="C2628" s="1">
        <v>45872.020833333336</v>
      </c>
      <c r="D2628">
        <v>5</v>
      </c>
    </row>
    <row r="2629" spans="1:4" x14ac:dyDescent="0.25">
      <c r="A2629" t="s">
        <v>77</v>
      </c>
      <c r="B2629" t="s">
        <v>8</v>
      </c>
      <c r="C2629" s="1">
        <v>45872.083333333336</v>
      </c>
      <c r="D2629">
        <v>22</v>
      </c>
    </row>
    <row r="2630" spans="1:4" x14ac:dyDescent="0.25">
      <c r="A2630" t="s">
        <v>7</v>
      </c>
      <c r="B2630" t="s">
        <v>0</v>
      </c>
      <c r="C2630" s="1">
        <v>45875.583333333336</v>
      </c>
      <c r="D2630">
        <v>6</v>
      </c>
    </row>
    <row r="2631" spans="1:4" x14ac:dyDescent="0.25">
      <c r="A2631" t="s">
        <v>9</v>
      </c>
      <c r="B2631" t="s">
        <v>1</v>
      </c>
      <c r="C2631" s="1">
        <v>45871.145833333336</v>
      </c>
      <c r="D2631">
        <v>175</v>
      </c>
    </row>
    <row r="2632" spans="1:4" x14ac:dyDescent="0.25">
      <c r="A2632" t="s">
        <v>77</v>
      </c>
      <c r="B2632" t="s">
        <v>19</v>
      </c>
      <c r="C2632" s="1">
        <v>45873.666666666664</v>
      </c>
      <c r="D2632">
        <v>5</v>
      </c>
    </row>
    <row r="2633" spans="1:4" x14ac:dyDescent="0.25">
      <c r="A2633" t="s">
        <v>81</v>
      </c>
      <c r="B2633" t="s">
        <v>57</v>
      </c>
      <c r="C2633" s="1">
        <v>45872.125</v>
      </c>
      <c r="D2633">
        <v>13</v>
      </c>
    </row>
    <row r="2634" spans="1:4" x14ac:dyDescent="0.25">
      <c r="A2634" t="s">
        <v>77</v>
      </c>
      <c r="B2634" t="s">
        <v>1</v>
      </c>
      <c r="C2634" s="1">
        <v>45866.145833333336</v>
      </c>
      <c r="D2634">
        <v>1</v>
      </c>
    </row>
    <row r="2635" spans="1:4" x14ac:dyDescent="0.25">
      <c r="A2635" t="s">
        <v>81</v>
      </c>
      <c r="B2635" t="s">
        <v>20</v>
      </c>
      <c r="C2635" s="1">
        <v>45871.625</v>
      </c>
      <c r="D2635">
        <v>111</v>
      </c>
    </row>
    <row r="2636" spans="1:4" x14ac:dyDescent="0.25">
      <c r="A2636" t="s">
        <v>23</v>
      </c>
      <c r="B2636" t="s">
        <v>2</v>
      </c>
      <c r="C2636" s="1">
        <v>45877.885416666664</v>
      </c>
      <c r="D2636">
        <v>1</v>
      </c>
    </row>
    <row r="2637" spans="1:4" x14ac:dyDescent="0.25">
      <c r="A2637" t="s">
        <v>7</v>
      </c>
      <c r="B2637" t="s">
        <v>2</v>
      </c>
      <c r="C2637" s="1">
        <v>45872.083333333336</v>
      </c>
      <c r="D2637">
        <v>203</v>
      </c>
    </row>
    <row r="2638" spans="1:4" x14ac:dyDescent="0.25">
      <c r="A2638" t="s">
        <v>23</v>
      </c>
      <c r="B2638" t="s">
        <v>8</v>
      </c>
      <c r="C2638" s="1">
        <v>45875.145833333336</v>
      </c>
      <c r="D2638">
        <v>2</v>
      </c>
    </row>
    <row r="2639" spans="1:4" x14ac:dyDescent="0.25">
      <c r="A2639" t="s">
        <v>23</v>
      </c>
      <c r="B2639" t="s">
        <v>19</v>
      </c>
      <c r="C2639" s="1">
        <v>45871.083333333336</v>
      </c>
      <c r="D2639">
        <v>15</v>
      </c>
    </row>
    <row r="2640" spans="1:4" x14ac:dyDescent="0.25">
      <c r="A2640" t="s">
        <v>23</v>
      </c>
      <c r="B2640" t="s">
        <v>0</v>
      </c>
      <c r="C2640" s="1">
        <v>45875.625</v>
      </c>
      <c r="D2640">
        <v>3</v>
      </c>
    </row>
    <row r="2641" spans="1:4" x14ac:dyDescent="0.25">
      <c r="A2641" t="s">
        <v>23</v>
      </c>
      <c r="B2641" t="s">
        <v>1</v>
      </c>
      <c r="C2641" s="1">
        <v>45873.625</v>
      </c>
      <c r="D2641">
        <v>8</v>
      </c>
    </row>
    <row r="2642" spans="1:4" x14ac:dyDescent="0.25">
      <c r="A2642" t="s">
        <v>77</v>
      </c>
      <c r="B2642" t="s">
        <v>1</v>
      </c>
      <c r="C2642" s="1">
        <v>45871.208333333336</v>
      </c>
      <c r="D2642">
        <v>479</v>
      </c>
    </row>
    <row r="2643" spans="1:4" x14ac:dyDescent="0.25">
      <c r="A2643" t="s">
        <v>7</v>
      </c>
      <c r="B2643" t="s">
        <v>85</v>
      </c>
      <c r="C2643" s="1">
        <v>45700.458333333336</v>
      </c>
      <c r="D2643">
        <v>1</v>
      </c>
    </row>
    <row r="2644" spans="1:4" x14ac:dyDescent="0.25">
      <c r="A2644" t="s">
        <v>7</v>
      </c>
      <c r="B2644" t="s">
        <v>20</v>
      </c>
      <c r="C2644" s="1">
        <v>45871.1875</v>
      </c>
      <c r="D2644">
        <v>97</v>
      </c>
    </row>
    <row r="2645" spans="1:4" x14ac:dyDescent="0.25">
      <c r="A2645" t="s">
        <v>15</v>
      </c>
      <c r="B2645" t="s">
        <v>20</v>
      </c>
      <c r="C2645" s="1">
        <v>45871.208333333336</v>
      </c>
      <c r="D2645">
        <v>2</v>
      </c>
    </row>
    <row r="2646" spans="1:4" x14ac:dyDescent="0.25">
      <c r="A2646" t="s">
        <v>12</v>
      </c>
      <c r="B2646" t="s">
        <v>85</v>
      </c>
      <c r="C2646" s="1">
        <v>45871.208333333336</v>
      </c>
      <c r="D2646">
        <v>1</v>
      </c>
    </row>
    <row r="2647" spans="1:4" x14ac:dyDescent="0.25">
      <c r="A2647" t="s">
        <v>7</v>
      </c>
      <c r="B2647" t="s">
        <v>57</v>
      </c>
      <c r="C2647" s="1">
        <v>45872.083333333336</v>
      </c>
      <c r="D2647">
        <v>53</v>
      </c>
    </row>
    <row r="2648" spans="1:4" x14ac:dyDescent="0.25">
      <c r="A2648" t="s">
        <v>77</v>
      </c>
      <c r="B2648" t="s">
        <v>1</v>
      </c>
      <c r="C2648" s="1">
        <v>45873.604166666664</v>
      </c>
      <c r="D2648">
        <v>1</v>
      </c>
    </row>
    <row r="2649" spans="1:4" x14ac:dyDescent="0.25">
      <c r="A2649" t="s">
        <v>10</v>
      </c>
      <c r="B2649" t="s">
        <v>1</v>
      </c>
      <c r="C2649" s="1">
        <v>45871.125</v>
      </c>
      <c r="D2649">
        <v>114</v>
      </c>
    </row>
    <row r="2650" spans="1:4" x14ac:dyDescent="0.25">
      <c r="A2650" t="s">
        <v>7</v>
      </c>
      <c r="B2650" t="s">
        <v>19</v>
      </c>
      <c r="C2650" s="1">
        <v>45868.166666666664</v>
      </c>
      <c r="D2650">
        <v>1</v>
      </c>
    </row>
    <row r="2651" spans="1:4" x14ac:dyDescent="0.25">
      <c r="A2651" t="s">
        <v>23</v>
      </c>
      <c r="B2651" t="s">
        <v>19</v>
      </c>
      <c r="C2651" s="1">
        <v>45875.541666666664</v>
      </c>
      <c r="D2651">
        <v>145</v>
      </c>
    </row>
    <row r="2652" spans="1:4" x14ac:dyDescent="0.25">
      <c r="A2652" t="s">
        <v>81</v>
      </c>
      <c r="B2652" t="s">
        <v>8</v>
      </c>
      <c r="C2652" s="1">
        <v>45871.458333333336</v>
      </c>
      <c r="D2652">
        <v>15</v>
      </c>
    </row>
    <row r="2653" spans="1:4" x14ac:dyDescent="0.25">
      <c r="A2653" t="s">
        <v>11</v>
      </c>
      <c r="B2653" t="s">
        <v>41</v>
      </c>
      <c r="C2653" s="1">
        <v>45866.458333333336</v>
      </c>
      <c r="D2653">
        <v>3</v>
      </c>
    </row>
    <row r="2654" spans="1:4" x14ac:dyDescent="0.25">
      <c r="A2654" t="s">
        <v>23</v>
      </c>
      <c r="B2654" t="s">
        <v>0</v>
      </c>
      <c r="C2654" s="1">
        <v>45872.166666666664</v>
      </c>
      <c r="D2654">
        <v>1</v>
      </c>
    </row>
    <row r="2655" spans="1:4" x14ac:dyDescent="0.25">
      <c r="A2655" t="s">
        <v>7</v>
      </c>
      <c r="B2655" t="s">
        <v>2</v>
      </c>
      <c r="C2655" s="1">
        <v>45873.666666666664</v>
      </c>
      <c r="D2655">
        <v>13</v>
      </c>
    </row>
    <row r="2656" spans="1:4" x14ac:dyDescent="0.25">
      <c r="A2656" t="s">
        <v>7</v>
      </c>
      <c r="B2656" t="s">
        <v>19</v>
      </c>
      <c r="C2656" s="1">
        <v>45871.020833333336</v>
      </c>
      <c r="D2656">
        <v>8</v>
      </c>
    </row>
    <row r="2657" spans="1:4" x14ac:dyDescent="0.25">
      <c r="A2657" t="s">
        <v>9</v>
      </c>
      <c r="B2657" t="s">
        <v>8</v>
      </c>
      <c r="C2657" s="1">
        <v>45871.885416666664</v>
      </c>
      <c r="D2657">
        <v>2</v>
      </c>
    </row>
    <row r="2658" spans="1:4" x14ac:dyDescent="0.25">
      <c r="A2658" t="s">
        <v>11</v>
      </c>
      <c r="B2658" t="s">
        <v>8</v>
      </c>
      <c r="C2658" s="1">
        <v>45870.916666666664</v>
      </c>
      <c r="D2658">
        <v>2</v>
      </c>
    </row>
    <row r="2659" spans="1:4" x14ac:dyDescent="0.25">
      <c r="A2659" t="s">
        <v>81</v>
      </c>
      <c r="B2659" t="s">
        <v>8</v>
      </c>
      <c r="C2659" s="1">
        <v>45877.75</v>
      </c>
      <c r="D2659">
        <v>2</v>
      </c>
    </row>
    <row r="2660" spans="1:4" x14ac:dyDescent="0.25">
      <c r="A2660" t="s">
        <v>77</v>
      </c>
      <c r="B2660" t="s">
        <v>19</v>
      </c>
      <c r="C2660" s="1">
        <v>45872.083333333336</v>
      </c>
      <c r="D2660">
        <v>5</v>
      </c>
    </row>
    <row r="2661" spans="1:4" x14ac:dyDescent="0.25">
      <c r="A2661" t="s">
        <v>7</v>
      </c>
      <c r="B2661" t="s">
        <v>8</v>
      </c>
      <c r="C2661" s="1">
        <v>45871.604166666664</v>
      </c>
      <c r="D2661">
        <v>1128</v>
      </c>
    </row>
    <row r="2662" spans="1:4" x14ac:dyDescent="0.25">
      <c r="A2662" t="s">
        <v>77</v>
      </c>
      <c r="B2662" t="s">
        <v>8</v>
      </c>
      <c r="C2662" s="1">
        <v>45873.666666666664</v>
      </c>
      <c r="D2662">
        <v>13</v>
      </c>
    </row>
    <row r="2663" spans="1:4" x14ac:dyDescent="0.25">
      <c r="A2663" t="s">
        <v>86</v>
      </c>
      <c r="B2663" t="s">
        <v>8</v>
      </c>
      <c r="C2663" s="1">
        <v>45871.885416666664</v>
      </c>
      <c r="D2663">
        <v>1</v>
      </c>
    </row>
    <row r="2664" spans="1:4" x14ac:dyDescent="0.25">
      <c r="A2664" t="s">
        <v>81</v>
      </c>
      <c r="B2664" t="s">
        <v>20</v>
      </c>
      <c r="C2664" s="1">
        <v>45871.604166666664</v>
      </c>
      <c r="D2664">
        <v>104</v>
      </c>
    </row>
    <row r="2665" spans="1:4" x14ac:dyDescent="0.25">
      <c r="A2665" t="s">
        <v>23</v>
      </c>
      <c r="B2665" t="s">
        <v>8</v>
      </c>
      <c r="C2665" s="1">
        <v>45876.125</v>
      </c>
      <c r="D2665">
        <v>248</v>
      </c>
    </row>
    <row r="2666" spans="1:4" x14ac:dyDescent="0.25">
      <c r="A2666" t="s">
        <v>23</v>
      </c>
      <c r="B2666" t="s">
        <v>0</v>
      </c>
      <c r="C2666" s="1">
        <v>45873.885416666664</v>
      </c>
      <c r="D2666">
        <v>2</v>
      </c>
    </row>
    <row r="2667" spans="1:4" x14ac:dyDescent="0.25">
      <c r="A2667" t="s">
        <v>23</v>
      </c>
      <c r="B2667" t="s">
        <v>19</v>
      </c>
      <c r="C2667" s="1">
        <v>45872.666666666664</v>
      </c>
      <c r="D2667">
        <v>4</v>
      </c>
    </row>
    <row r="2668" spans="1:4" x14ac:dyDescent="0.25">
      <c r="A2668" t="s">
        <v>12</v>
      </c>
      <c r="B2668" t="s">
        <v>1</v>
      </c>
      <c r="C2668" s="1">
        <v>45871.541666666664</v>
      </c>
      <c r="D2668">
        <v>5</v>
      </c>
    </row>
    <row r="2669" spans="1:4" x14ac:dyDescent="0.25">
      <c r="A2669" t="s">
        <v>23</v>
      </c>
      <c r="B2669" t="s">
        <v>2</v>
      </c>
      <c r="C2669" s="1">
        <v>45872.729166666664</v>
      </c>
      <c r="D2669">
        <v>13</v>
      </c>
    </row>
    <row r="2670" spans="1:4" x14ac:dyDescent="0.25">
      <c r="A2670" t="s">
        <v>9</v>
      </c>
      <c r="B2670" t="s">
        <v>19</v>
      </c>
      <c r="C2670" s="1">
        <v>45869.583333333336</v>
      </c>
      <c r="D2670">
        <v>1</v>
      </c>
    </row>
    <row r="2671" spans="1:4" x14ac:dyDescent="0.25">
      <c r="A2671" t="s">
        <v>81</v>
      </c>
      <c r="B2671" t="s">
        <v>0</v>
      </c>
      <c r="C2671" s="1">
        <v>45873.208333333336</v>
      </c>
      <c r="D2671">
        <v>1</v>
      </c>
    </row>
    <row r="2672" spans="1:4" x14ac:dyDescent="0.25">
      <c r="A2672" t="s">
        <v>12</v>
      </c>
      <c r="B2672" t="s">
        <v>8</v>
      </c>
      <c r="C2672" s="1">
        <v>45871.1875</v>
      </c>
      <c r="D2672">
        <v>68</v>
      </c>
    </row>
    <row r="2673" spans="1:4" x14ac:dyDescent="0.25">
      <c r="A2673" t="s">
        <v>15</v>
      </c>
      <c r="B2673" t="s">
        <v>0</v>
      </c>
      <c r="C2673" s="1">
        <v>45871.125</v>
      </c>
      <c r="D2673">
        <v>15</v>
      </c>
    </row>
    <row r="2674" spans="1:4" x14ac:dyDescent="0.25">
      <c r="A2674" t="s">
        <v>7</v>
      </c>
      <c r="B2674" t="s">
        <v>20</v>
      </c>
      <c r="C2674" s="1">
        <v>45873.885416666664</v>
      </c>
      <c r="D2674">
        <v>3</v>
      </c>
    </row>
    <row r="2675" spans="1:4" x14ac:dyDescent="0.25">
      <c r="A2675" t="s">
        <v>23</v>
      </c>
      <c r="B2675" t="s">
        <v>2</v>
      </c>
      <c r="C2675" s="1">
        <v>45876.583333333336</v>
      </c>
      <c r="D2675">
        <v>11</v>
      </c>
    </row>
    <row r="2676" spans="1:4" x14ac:dyDescent="0.25">
      <c r="A2676" t="s">
        <v>81</v>
      </c>
      <c r="B2676" t="s">
        <v>57</v>
      </c>
      <c r="C2676" s="1">
        <v>45871.5</v>
      </c>
      <c r="D2676">
        <v>1</v>
      </c>
    </row>
    <row r="2677" spans="1:4" x14ac:dyDescent="0.25">
      <c r="A2677" t="s">
        <v>7</v>
      </c>
      <c r="B2677" t="s">
        <v>1</v>
      </c>
      <c r="C2677" s="1">
        <v>45871.958333333336</v>
      </c>
      <c r="D2677">
        <v>14</v>
      </c>
    </row>
    <row r="2678" spans="1:4" x14ac:dyDescent="0.25">
      <c r="A2678" t="s">
        <v>87</v>
      </c>
      <c r="B2678" t="s">
        <v>53</v>
      </c>
      <c r="C2678" s="1">
        <v>45854.458333333336</v>
      </c>
      <c r="D2678">
        <v>1</v>
      </c>
    </row>
    <row r="2679" spans="1:4" x14ac:dyDescent="0.25">
      <c r="A2679" t="s">
        <v>7</v>
      </c>
      <c r="B2679" t="s">
        <v>0</v>
      </c>
      <c r="C2679" s="1">
        <v>45871.541666666664</v>
      </c>
      <c r="D2679">
        <v>234</v>
      </c>
    </row>
    <row r="2680" spans="1:4" x14ac:dyDescent="0.25">
      <c r="A2680" t="s">
        <v>23</v>
      </c>
      <c r="B2680" t="s">
        <v>1</v>
      </c>
      <c r="C2680" s="1">
        <v>45872.604166666664</v>
      </c>
      <c r="D2680">
        <v>4</v>
      </c>
    </row>
    <row r="2681" spans="1:4" x14ac:dyDescent="0.25">
      <c r="A2681" t="s">
        <v>7</v>
      </c>
      <c r="B2681" t="s">
        <v>20</v>
      </c>
      <c r="C2681" s="1">
        <v>45872.166666666664</v>
      </c>
      <c r="D2681">
        <v>6</v>
      </c>
    </row>
    <row r="2682" spans="1:4" x14ac:dyDescent="0.25">
      <c r="A2682" t="s">
        <v>23</v>
      </c>
      <c r="B2682" t="s">
        <v>57</v>
      </c>
      <c r="C2682" s="1">
        <v>45871.145833333336</v>
      </c>
      <c r="D2682">
        <v>11</v>
      </c>
    </row>
    <row r="2683" spans="1:4" x14ac:dyDescent="0.25">
      <c r="A2683" t="s">
        <v>10</v>
      </c>
      <c r="B2683" t="s">
        <v>41</v>
      </c>
      <c r="C2683" s="1">
        <v>45875.458333333336</v>
      </c>
      <c r="D2683">
        <v>237</v>
      </c>
    </row>
    <row r="2684" spans="1:4" x14ac:dyDescent="0.25">
      <c r="A2684" t="s">
        <v>81</v>
      </c>
      <c r="B2684" t="s">
        <v>2</v>
      </c>
      <c r="C2684" s="1">
        <v>45871.916666666664</v>
      </c>
      <c r="D2684">
        <v>80</v>
      </c>
    </row>
    <row r="2685" spans="1:4" x14ac:dyDescent="0.25">
      <c r="A2685" t="s">
        <v>10</v>
      </c>
      <c r="B2685" t="s">
        <v>53</v>
      </c>
      <c r="C2685" s="1">
        <v>45874.458333333336</v>
      </c>
      <c r="D2685">
        <v>12</v>
      </c>
    </row>
    <row r="2686" spans="1:4" x14ac:dyDescent="0.25">
      <c r="A2686" t="s">
        <v>23</v>
      </c>
      <c r="B2686" t="s">
        <v>8</v>
      </c>
      <c r="C2686" s="1">
        <v>45872.666666666664</v>
      </c>
      <c r="D2686">
        <v>16</v>
      </c>
    </row>
    <row r="2687" spans="1:4" x14ac:dyDescent="0.25">
      <c r="A2687" t="s">
        <v>23</v>
      </c>
      <c r="B2687" t="s">
        <v>19</v>
      </c>
      <c r="C2687" s="1">
        <v>45876.125</v>
      </c>
      <c r="D2687">
        <v>186</v>
      </c>
    </row>
    <row r="2688" spans="1:4" x14ac:dyDescent="0.25">
      <c r="A2688" t="s">
        <v>7</v>
      </c>
      <c r="B2688" t="s">
        <v>2</v>
      </c>
      <c r="C2688" s="1">
        <v>45876.541666666664</v>
      </c>
      <c r="D2688">
        <v>6</v>
      </c>
    </row>
    <row r="2689" spans="1:4" x14ac:dyDescent="0.25">
      <c r="A2689" t="s">
        <v>77</v>
      </c>
      <c r="B2689" t="s">
        <v>294</v>
      </c>
      <c r="C2689" s="1">
        <v>45875.458333333336</v>
      </c>
      <c r="D2689">
        <v>24</v>
      </c>
    </row>
    <row r="2690" spans="1:4" x14ac:dyDescent="0.25">
      <c r="A2690" t="s">
        <v>7</v>
      </c>
      <c r="B2690" t="s">
        <v>57</v>
      </c>
      <c r="C2690" s="1">
        <v>45872.666666666664</v>
      </c>
      <c r="D2690">
        <v>3</v>
      </c>
    </row>
    <row r="2691" spans="1:4" x14ac:dyDescent="0.25">
      <c r="A2691" t="s">
        <v>9</v>
      </c>
      <c r="B2691" t="s">
        <v>19</v>
      </c>
      <c r="C2691" s="1">
        <v>45871.885416666664</v>
      </c>
      <c r="D2691">
        <v>2</v>
      </c>
    </row>
    <row r="2692" spans="1:4" x14ac:dyDescent="0.25">
      <c r="A2692" t="s">
        <v>23</v>
      </c>
      <c r="B2692" t="s">
        <v>20</v>
      </c>
      <c r="C2692" s="1">
        <v>45872.947916666664</v>
      </c>
      <c r="D2692">
        <v>1</v>
      </c>
    </row>
    <row r="2693" spans="1:4" x14ac:dyDescent="0.25">
      <c r="A2693" t="s">
        <v>23</v>
      </c>
      <c r="B2693" t="s">
        <v>8</v>
      </c>
      <c r="C2693" s="1">
        <v>45875.541666666664</v>
      </c>
      <c r="D2693">
        <v>156</v>
      </c>
    </row>
    <row r="2694" spans="1:4" x14ac:dyDescent="0.25">
      <c r="A2694" t="s">
        <v>15</v>
      </c>
      <c r="B2694" t="s">
        <v>0</v>
      </c>
      <c r="C2694" s="1">
        <v>45871.145833333336</v>
      </c>
      <c r="D2694">
        <v>8</v>
      </c>
    </row>
    <row r="2695" spans="1:4" x14ac:dyDescent="0.25">
      <c r="A2695" t="s">
        <v>81</v>
      </c>
      <c r="B2695" t="s">
        <v>8</v>
      </c>
      <c r="C2695" s="1">
        <v>45874.916666666664</v>
      </c>
      <c r="D2695">
        <v>8</v>
      </c>
    </row>
    <row r="2696" spans="1:4" x14ac:dyDescent="0.25">
      <c r="A2696" t="s">
        <v>12</v>
      </c>
      <c r="B2696" t="s">
        <v>0</v>
      </c>
      <c r="C2696" s="1">
        <v>45871.083333333336</v>
      </c>
      <c r="D2696">
        <v>21</v>
      </c>
    </row>
    <row r="2697" spans="1:4" x14ac:dyDescent="0.25">
      <c r="A2697" t="s">
        <v>7</v>
      </c>
      <c r="B2697" t="s">
        <v>85</v>
      </c>
      <c r="C2697" s="1">
        <v>45871.625</v>
      </c>
      <c r="D2697">
        <v>4</v>
      </c>
    </row>
    <row r="2698" spans="1:4" x14ac:dyDescent="0.25">
      <c r="A2698" t="s">
        <v>12</v>
      </c>
      <c r="B2698" t="s">
        <v>19</v>
      </c>
      <c r="C2698" s="1">
        <v>45871.1875</v>
      </c>
      <c r="D2698">
        <v>48</v>
      </c>
    </row>
    <row r="2699" spans="1:4" x14ac:dyDescent="0.25">
      <c r="A2699" t="s">
        <v>7</v>
      </c>
      <c r="B2699" t="s">
        <v>20</v>
      </c>
      <c r="C2699" s="1">
        <v>45871.583333333336</v>
      </c>
      <c r="D2699">
        <v>1</v>
      </c>
    </row>
    <row r="2700" spans="1:4" x14ac:dyDescent="0.25">
      <c r="A2700" t="s">
        <v>13</v>
      </c>
      <c r="B2700" t="s">
        <v>4</v>
      </c>
      <c r="C2700" s="1">
        <v>45871.458333333336</v>
      </c>
      <c r="D2700">
        <v>1241</v>
      </c>
    </row>
    <row r="2701" spans="1:4" x14ac:dyDescent="0.25">
      <c r="A2701" t="s">
        <v>10</v>
      </c>
      <c r="B2701" t="s">
        <v>19</v>
      </c>
      <c r="C2701" s="1">
        <v>45869.1875</v>
      </c>
      <c r="D2701">
        <v>1</v>
      </c>
    </row>
    <row r="2702" spans="1:4" x14ac:dyDescent="0.25">
      <c r="A2702" t="s">
        <v>79</v>
      </c>
      <c r="B2702" t="s">
        <v>4</v>
      </c>
      <c r="C2702" s="1">
        <v>45873.885416666664</v>
      </c>
      <c r="D2702">
        <v>1</v>
      </c>
    </row>
    <row r="2703" spans="1:4" x14ac:dyDescent="0.25">
      <c r="A2703" t="s">
        <v>23</v>
      </c>
      <c r="B2703" t="s">
        <v>1</v>
      </c>
      <c r="C2703" s="1">
        <v>45872.020833333336</v>
      </c>
      <c r="D2703">
        <v>9</v>
      </c>
    </row>
    <row r="2704" spans="1:4" x14ac:dyDescent="0.25">
      <c r="A2704" t="s">
        <v>81</v>
      </c>
      <c r="B2704" t="s">
        <v>0</v>
      </c>
      <c r="C2704" s="1">
        <v>45873.1875</v>
      </c>
      <c r="D2704">
        <v>6</v>
      </c>
    </row>
    <row r="2705" spans="1:4" x14ac:dyDescent="0.25">
      <c r="A2705" t="s">
        <v>10</v>
      </c>
      <c r="B2705" t="s">
        <v>53</v>
      </c>
      <c r="C2705" s="1">
        <v>45858.458333333336</v>
      </c>
      <c r="D2705">
        <v>17</v>
      </c>
    </row>
    <row r="2706" spans="1:4" x14ac:dyDescent="0.25">
      <c r="A2706" t="s">
        <v>7</v>
      </c>
      <c r="B2706" t="s">
        <v>8</v>
      </c>
      <c r="C2706" s="1">
        <v>45872.625</v>
      </c>
      <c r="D2706">
        <v>74</v>
      </c>
    </row>
    <row r="2707" spans="1:4" x14ac:dyDescent="0.25">
      <c r="A2707" t="s">
        <v>81</v>
      </c>
      <c r="B2707" t="s">
        <v>2</v>
      </c>
      <c r="C2707" s="1">
        <v>45872.541666666664</v>
      </c>
      <c r="D2707">
        <v>13</v>
      </c>
    </row>
    <row r="2708" spans="1:4" x14ac:dyDescent="0.25">
      <c r="A2708" t="s">
        <v>7</v>
      </c>
      <c r="B2708" t="s">
        <v>2</v>
      </c>
      <c r="C2708" s="1">
        <v>45877.125</v>
      </c>
      <c r="D2708">
        <v>8</v>
      </c>
    </row>
    <row r="2709" spans="1:4" x14ac:dyDescent="0.25">
      <c r="A2709" t="s">
        <v>81</v>
      </c>
      <c r="B2709" t="s">
        <v>41</v>
      </c>
      <c r="C2709" s="1">
        <v>45870.458333333336</v>
      </c>
      <c r="D2709">
        <v>48</v>
      </c>
    </row>
    <row r="2710" spans="1:4" x14ac:dyDescent="0.25">
      <c r="A2710" t="s">
        <v>9</v>
      </c>
      <c r="B2710" t="s">
        <v>19</v>
      </c>
      <c r="C2710" s="1">
        <v>45871.395833333336</v>
      </c>
      <c r="D2710">
        <v>5</v>
      </c>
    </row>
    <row r="2711" spans="1:4" x14ac:dyDescent="0.25">
      <c r="A2711" t="s">
        <v>10</v>
      </c>
      <c r="B2711" t="s">
        <v>0</v>
      </c>
      <c r="C2711" s="1">
        <v>45871.916666666664</v>
      </c>
      <c r="D2711">
        <v>1</v>
      </c>
    </row>
    <row r="2712" spans="1:4" x14ac:dyDescent="0.25">
      <c r="A2712" t="s">
        <v>83</v>
      </c>
      <c r="B2712" t="s">
        <v>19</v>
      </c>
      <c r="C2712" s="1">
        <v>45870.916666666664</v>
      </c>
      <c r="D2712">
        <v>3</v>
      </c>
    </row>
    <row r="2713" spans="1:4" x14ac:dyDescent="0.25">
      <c r="A2713" t="s">
        <v>78</v>
      </c>
      <c r="B2713" t="s">
        <v>4</v>
      </c>
      <c r="C2713" s="1">
        <v>45870.458333333336</v>
      </c>
      <c r="D2713">
        <v>98</v>
      </c>
    </row>
    <row r="2714" spans="1:4" x14ac:dyDescent="0.25">
      <c r="A2714" t="s">
        <v>12</v>
      </c>
      <c r="B2714" t="s">
        <v>2</v>
      </c>
      <c r="C2714" s="1">
        <v>45871.604166666664</v>
      </c>
      <c r="D2714">
        <v>1</v>
      </c>
    </row>
    <row r="2715" spans="1:4" x14ac:dyDescent="0.25">
      <c r="A2715" t="s">
        <v>9</v>
      </c>
      <c r="B2715" t="s">
        <v>41</v>
      </c>
      <c r="C2715" s="1">
        <v>45875.458333333336</v>
      </c>
      <c r="D2715">
        <v>237</v>
      </c>
    </row>
    <row r="2716" spans="1:4" x14ac:dyDescent="0.25">
      <c r="A2716" t="s">
        <v>7</v>
      </c>
      <c r="B2716" t="s">
        <v>1</v>
      </c>
      <c r="C2716" s="1">
        <v>45876.020833333336</v>
      </c>
      <c r="D2716">
        <v>1</v>
      </c>
    </row>
    <row r="2717" spans="1:4" x14ac:dyDescent="0.25">
      <c r="A2717" t="s">
        <v>12</v>
      </c>
      <c r="B2717" t="s">
        <v>1</v>
      </c>
      <c r="C2717" s="1">
        <v>45871.5</v>
      </c>
      <c r="D2717">
        <v>2</v>
      </c>
    </row>
    <row r="2718" spans="1:4" x14ac:dyDescent="0.25">
      <c r="A2718" t="s">
        <v>9</v>
      </c>
      <c r="B2718" t="s">
        <v>1</v>
      </c>
      <c r="C2718" s="1">
        <v>45871.125</v>
      </c>
      <c r="D2718">
        <v>174</v>
      </c>
    </row>
    <row r="2719" spans="1:4" x14ac:dyDescent="0.25">
      <c r="A2719" t="s">
        <v>81</v>
      </c>
      <c r="B2719" t="s">
        <v>0</v>
      </c>
      <c r="C2719" s="1">
        <v>45873.166666666664</v>
      </c>
      <c r="D2719">
        <v>1</v>
      </c>
    </row>
    <row r="2720" spans="1:4" x14ac:dyDescent="0.25">
      <c r="A2720" t="s">
        <v>88</v>
      </c>
      <c r="B2720" t="s">
        <v>20</v>
      </c>
      <c r="C2720" s="1">
        <v>45871.458333333336</v>
      </c>
      <c r="D2720">
        <v>10</v>
      </c>
    </row>
    <row r="2721" spans="1:4" x14ac:dyDescent="0.25">
      <c r="A2721" t="s">
        <v>81</v>
      </c>
      <c r="B2721" t="s">
        <v>19</v>
      </c>
      <c r="C2721" s="1">
        <v>45874.916666666664</v>
      </c>
      <c r="D2721">
        <v>3</v>
      </c>
    </row>
    <row r="2722" spans="1:4" x14ac:dyDescent="0.25">
      <c r="A2722" t="s">
        <v>7</v>
      </c>
      <c r="B2722" t="s">
        <v>2</v>
      </c>
      <c r="C2722" s="1">
        <v>45882.885416666664</v>
      </c>
      <c r="D2722">
        <v>1</v>
      </c>
    </row>
    <row r="2723" spans="1:4" x14ac:dyDescent="0.25">
      <c r="A2723" t="s">
        <v>7</v>
      </c>
      <c r="B2723" t="s">
        <v>0</v>
      </c>
      <c r="C2723" s="1">
        <v>45871.5</v>
      </c>
      <c r="D2723">
        <v>3</v>
      </c>
    </row>
    <row r="2724" spans="1:4" x14ac:dyDescent="0.25">
      <c r="A2724" t="s">
        <v>23</v>
      </c>
      <c r="B2724" t="s">
        <v>20</v>
      </c>
      <c r="C2724" s="1">
        <v>45875.666666666664</v>
      </c>
      <c r="D2724">
        <v>1</v>
      </c>
    </row>
    <row r="2725" spans="1:4" x14ac:dyDescent="0.25">
      <c r="A2725" t="s">
        <v>7</v>
      </c>
      <c r="B2725" t="s">
        <v>20</v>
      </c>
      <c r="C2725" s="1">
        <v>45872.208333333336</v>
      </c>
      <c r="D2725">
        <v>31</v>
      </c>
    </row>
    <row r="2726" spans="1:4" x14ac:dyDescent="0.25">
      <c r="A2726" t="s">
        <v>7</v>
      </c>
      <c r="B2726" t="s">
        <v>0</v>
      </c>
      <c r="C2726" s="1">
        <v>45872.145833333336</v>
      </c>
      <c r="D2726">
        <v>37</v>
      </c>
    </row>
    <row r="2727" spans="1:4" x14ac:dyDescent="0.25">
      <c r="A2727" t="s">
        <v>7</v>
      </c>
      <c r="B2727" t="s">
        <v>20</v>
      </c>
      <c r="C2727" s="1">
        <v>45875.625</v>
      </c>
      <c r="D2727">
        <v>3</v>
      </c>
    </row>
    <row r="2728" spans="1:4" x14ac:dyDescent="0.25">
      <c r="A2728" t="s">
        <v>10</v>
      </c>
      <c r="B2728" t="s">
        <v>1</v>
      </c>
      <c r="C2728" s="1">
        <v>45871.75</v>
      </c>
      <c r="D2728">
        <v>2</v>
      </c>
    </row>
    <row r="2729" spans="1:4" x14ac:dyDescent="0.25">
      <c r="A2729" t="s">
        <v>23</v>
      </c>
      <c r="B2729" t="s">
        <v>2</v>
      </c>
      <c r="C2729" s="1">
        <v>45872.145833333336</v>
      </c>
      <c r="D2729">
        <v>6</v>
      </c>
    </row>
    <row r="2730" spans="1:4" x14ac:dyDescent="0.25">
      <c r="A2730" t="s">
        <v>7</v>
      </c>
      <c r="B2730" t="s">
        <v>8</v>
      </c>
      <c r="C2730" s="1">
        <v>45876.666666666664</v>
      </c>
      <c r="D2730">
        <v>7</v>
      </c>
    </row>
    <row r="2731" spans="1:4" x14ac:dyDescent="0.25">
      <c r="A2731" t="s">
        <v>77</v>
      </c>
      <c r="B2731" t="s">
        <v>19</v>
      </c>
      <c r="C2731" s="1">
        <v>45871.458333333336</v>
      </c>
      <c r="D2731">
        <v>416</v>
      </c>
    </row>
    <row r="2732" spans="1:4" x14ac:dyDescent="0.25">
      <c r="A2732" t="s">
        <v>81</v>
      </c>
      <c r="B2732" t="s">
        <v>19</v>
      </c>
      <c r="C2732" s="1">
        <v>45871.458333333336</v>
      </c>
      <c r="D2732">
        <v>41</v>
      </c>
    </row>
    <row r="2733" spans="1:4" x14ac:dyDescent="0.25">
      <c r="A2733" t="s">
        <v>9</v>
      </c>
      <c r="B2733" t="s">
        <v>20</v>
      </c>
      <c r="C2733" s="1">
        <v>45871.958333333336</v>
      </c>
      <c r="D2733">
        <v>5</v>
      </c>
    </row>
    <row r="2734" spans="1:4" x14ac:dyDescent="0.25">
      <c r="A2734" t="s">
        <v>78</v>
      </c>
      <c r="B2734" t="s">
        <v>4</v>
      </c>
      <c r="C2734" s="1">
        <v>45876.75</v>
      </c>
      <c r="D2734">
        <v>1</v>
      </c>
    </row>
    <row r="2735" spans="1:4" x14ac:dyDescent="0.25">
      <c r="A2735" t="s">
        <v>77</v>
      </c>
      <c r="B2735" t="s">
        <v>1</v>
      </c>
      <c r="C2735" s="1">
        <v>45871.885416666664</v>
      </c>
      <c r="D2735">
        <v>188</v>
      </c>
    </row>
    <row r="2736" spans="1:4" x14ac:dyDescent="0.25">
      <c r="A2736" t="s">
        <v>7</v>
      </c>
      <c r="B2736" t="s">
        <v>2</v>
      </c>
      <c r="C2736" s="1">
        <v>45880.583333333336</v>
      </c>
      <c r="D2736">
        <v>1</v>
      </c>
    </row>
    <row r="2737" spans="1:4" x14ac:dyDescent="0.25">
      <c r="A2737" t="s">
        <v>23</v>
      </c>
      <c r="B2737" t="s">
        <v>8</v>
      </c>
      <c r="C2737" s="1">
        <v>45881.885416666664</v>
      </c>
      <c r="D2737">
        <v>8</v>
      </c>
    </row>
    <row r="2738" spans="1:4" x14ac:dyDescent="0.25">
      <c r="A2738" t="s">
        <v>81</v>
      </c>
      <c r="B2738" t="s">
        <v>2</v>
      </c>
      <c r="C2738" s="1">
        <v>45873.729166666664</v>
      </c>
      <c r="D2738">
        <v>1</v>
      </c>
    </row>
    <row r="2739" spans="1:4" x14ac:dyDescent="0.25">
      <c r="A2739" t="s">
        <v>7</v>
      </c>
      <c r="B2739" t="s">
        <v>19</v>
      </c>
      <c r="C2739" s="1">
        <v>45871.604166666664</v>
      </c>
      <c r="D2739">
        <v>1497</v>
      </c>
    </row>
    <row r="2740" spans="1:4" x14ac:dyDescent="0.25">
      <c r="A2740" t="s">
        <v>7</v>
      </c>
      <c r="B2740" t="s">
        <v>8</v>
      </c>
      <c r="C2740" s="1">
        <v>45871.020833333336</v>
      </c>
      <c r="D2740">
        <v>8</v>
      </c>
    </row>
    <row r="2741" spans="1:4" x14ac:dyDescent="0.25">
      <c r="A2741" t="s">
        <v>90</v>
      </c>
      <c r="B2741" t="s">
        <v>85</v>
      </c>
      <c r="C2741" s="1">
        <v>45795</v>
      </c>
      <c r="D2741">
        <v>1</v>
      </c>
    </row>
    <row r="2742" spans="1:4" x14ac:dyDescent="0.25">
      <c r="A2742" t="s">
        <v>9</v>
      </c>
      <c r="B2742" t="s">
        <v>187</v>
      </c>
      <c r="C2742" s="1">
        <v>45801.458333333336</v>
      </c>
      <c r="D2742">
        <v>1</v>
      </c>
    </row>
    <row r="2743" spans="1:4" x14ac:dyDescent="0.25">
      <c r="A2743" t="s">
        <v>9</v>
      </c>
      <c r="B2743" t="s">
        <v>28</v>
      </c>
      <c r="C2743" s="1">
        <v>45786.541666666664</v>
      </c>
      <c r="D2743">
        <v>11</v>
      </c>
    </row>
    <row r="2744" spans="1:4" x14ac:dyDescent="0.25">
      <c r="A2744" t="s">
        <v>90</v>
      </c>
      <c r="B2744" t="s">
        <v>85</v>
      </c>
      <c r="C2744" s="1">
        <v>45799</v>
      </c>
      <c r="D2744">
        <v>1</v>
      </c>
    </row>
    <row r="2745" spans="1:4" x14ac:dyDescent="0.25">
      <c r="A2745" t="s">
        <v>9</v>
      </c>
      <c r="B2745" t="s">
        <v>334</v>
      </c>
      <c r="C2745" s="1">
        <v>45799.458333333336</v>
      </c>
      <c r="D2745">
        <v>6</v>
      </c>
    </row>
    <row r="2746" spans="1:4" x14ac:dyDescent="0.25">
      <c r="A2746" t="s">
        <v>15</v>
      </c>
      <c r="B2746" t="s">
        <v>30</v>
      </c>
      <c r="C2746" s="1">
        <v>45871.59375</v>
      </c>
      <c r="D2746">
        <v>1</v>
      </c>
    </row>
    <row r="2747" spans="1:4" x14ac:dyDescent="0.25">
      <c r="A2747" t="s">
        <v>9</v>
      </c>
      <c r="B2747" t="s">
        <v>54</v>
      </c>
      <c r="C2747" s="1">
        <v>45866.083333333336</v>
      </c>
      <c r="D2747">
        <v>5</v>
      </c>
    </row>
    <row r="2748" spans="1:4" x14ac:dyDescent="0.25">
      <c r="A2748" t="s">
        <v>9</v>
      </c>
      <c r="B2748" t="s">
        <v>52</v>
      </c>
      <c r="C2748" s="1">
        <v>45788</v>
      </c>
      <c r="D2748">
        <v>1</v>
      </c>
    </row>
    <row r="2749" spans="1:4" x14ac:dyDescent="0.25">
      <c r="A2749" t="s">
        <v>15</v>
      </c>
      <c r="B2749" t="s">
        <v>332</v>
      </c>
      <c r="C2749" s="1">
        <v>45858.833333333336</v>
      </c>
      <c r="D2749">
        <v>1</v>
      </c>
    </row>
    <row r="2750" spans="1:4" x14ac:dyDescent="0.25">
      <c r="A2750" t="s">
        <v>77</v>
      </c>
      <c r="B2750" t="s">
        <v>50</v>
      </c>
      <c r="C2750" s="1">
        <v>45871.479166666664</v>
      </c>
      <c r="D2750">
        <v>68</v>
      </c>
    </row>
    <row r="2751" spans="1:4" x14ac:dyDescent="0.25">
      <c r="A2751" t="s">
        <v>12</v>
      </c>
      <c r="B2751" t="s">
        <v>24</v>
      </c>
      <c r="C2751" s="1">
        <v>45847.916666666664</v>
      </c>
      <c r="D2751">
        <v>12</v>
      </c>
    </row>
    <row r="2752" spans="1:4" x14ac:dyDescent="0.25">
      <c r="A2752" t="s">
        <v>90</v>
      </c>
      <c r="B2752" t="s">
        <v>85</v>
      </c>
      <c r="C2752" s="1">
        <v>45674.5</v>
      </c>
      <c r="D2752">
        <v>2</v>
      </c>
    </row>
    <row r="2753" spans="1:4" x14ac:dyDescent="0.25">
      <c r="A2753" t="s">
        <v>89</v>
      </c>
      <c r="B2753" t="s">
        <v>50</v>
      </c>
      <c r="C2753" s="1">
        <v>45871.479166666664</v>
      </c>
      <c r="D2753">
        <v>2961</v>
      </c>
    </row>
    <row r="2754" spans="1:4" x14ac:dyDescent="0.25">
      <c r="A2754" t="s">
        <v>10</v>
      </c>
      <c r="B2754" t="s">
        <v>24</v>
      </c>
      <c r="C2754" s="1">
        <v>45832.916666666664</v>
      </c>
      <c r="D2754">
        <v>2</v>
      </c>
    </row>
    <row r="2755" spans="1:4" x14ac:dyDescent="0.25">
      <c r="A2755" t="s">
        <v>10</v>
      </c>
      <c r="B2755" t="s">
        <v>30</v>
      </c>
      <c r="C2755" s="1">
        <v>45865.59375</v>
      </c>
      <c r="D2755">
        <v>1</v>
      </c>
    </row>
    <row r="2756" spans="1:4" x14ac:dyDescent="0.25">
      <c r="A2756" t="s">
        <v>9</v>
      </c>
      <c r="B2756" t="s">
        <v>24</v>
      </c>
      <c r="C2756" s="1">
        <v>45801.916666666664</v>
      </c>
      <c r="D2756">
        <v>1</v>
      </c>
    </row>
    <row r="2757" spans="1:4" x14ac:dyDescent="0.25">
      <c r="A2757" t="s">
        <v>90</v>
      </c>
      <c r="B2757" t="s">
        <v>85</v>
      </c>
      <c r="C2757" s="1">
        <v>45843</v>
      </c>
      <c r="D2757">
        <v>6</v>
      </c>
    </row>
    <row r="2758" spans="1:4" x14ac:dyDescent="0.25">
      <c r="A2758" t="s">
        <v>10</v>
      </c>
      <c r="B2758" t="s">
        <v>28</v>
      </c>
      <c r="C2758" s="1">
        <v>45797.541666666664</v>
      </c>
      <c r="D2758">
        <v>1</v>
      </c>
    </row>
    <row r="2759" spans="1:4" x14ac:dyDescent="0.25">
      <c r="A2759" t="s">
        <v>90</v>
      </c>
      <c r="B2759" t="s">
        <v>85</v>
      </c>
      <c r="C2759" s="1">
        <v>45839</v>
      </c>
      <c r="D2759">
        <v>83</v>
      </c>
    </row>
    <row r="2760" spans="1:4" x14ac:dyDescent="0.25">
      <c r="A2760" t="s">
        <v>90</v>
      </c>
      <c r="B2760" t="s">
        <v>85</v>
      </c>
      <c r="C2760" s="1">
        <v>45847</v>
      </c>
      <c r="D2760">
        <v>126</v>
      </c>
    </row>
    <row r="2761" spans="1:4" x14ac:dyDescent="0.25">
      <c r="A2761" t="s">
        <v>9</v>
      </c>
      <c r="B2761" t="s">
        <v>333</v>
      </c>
      <c r="C2761" s="1">
        <v>45861.833333333336</v>
      </c>
      <c r="D2761">
        <v>2</v>
      </c>
    </row>
    <row r="2762" spans="1:4" x14ac:dyDescent="0.25">
      <c r="A2762" t="s">
        <v>90</v>
      </c>
      <c r="B2762" t="s">
        <v>85</v>
      </c>
      <c r="C2762" s="1">
        <v>45835</v>
      </c>
      <c r="D2762">
        <v>169</v>
      </c>
    </row>
    <row r="2763" spans="1:4" x14ac:dyDescent="0.25">
      <c r="A2763" t="s">
        <v>15</v>
      </c>
      <c r="B2763" t="s">
        <v>187</v>
      </c>
      <c r="C2763" s="1">
        <v>45794.458333333336</v>
      </c>
      <c r="D2763">
        <v>4</v>
      </c>
    </row>
    <row r="2764" spans="1:4" x14ac:dyDescent="0.25">
      <c r="A2764" t="s">
        <v>12</v>
      </c>
      <c r="B2764" t="s">
        <v>30</v>
      </c>
      <c r="C2764" s="1">
        <v>45860.59375</v>
      </c>
      <c r="D2764">
        <v>1</v>
      </c>
    </row>
    <row r="2765" spans="1:4" x14ac:dyDescent="0.25">
      <c r="A2765" t="s">
        <v>9</v>
      </c>
      <c r="B2765" t="s">
        <v>335</v>
      </c>
      <c r="C2765" s="1">
        <v>45817.458333333336</v>
      </c>
      <c r="D2765">
        <v>1</v>
      </c>
    </row>
    <row r="2766" spans="1:4" x14ac:dyDescent="0.25">
      <c r="A2766" t="s">
        <v>10</v>
      </c>
      <c r="B2766" t="s">
        <v>52</v>
      </c>
      <c r="C2766" s="1">
        <v>45850.958333333336</v>
      </c>
      <c r="D2766">
        <v>1</v>
      </c>
    </row>
    <row r="2767" spans="1:4" x14ac:dyDescent="0.25">
      <c r="A2767" t="s">
        <v>90</v>
      </c>
      <c r="B2767" t="s">
        <v>85</v>
      </c>
      <c r="C2767" s="1">
        <v>45839.708333333336</v>
      </c>
      <c r="D2767">
        <v>28</v>
      </c>
    </row>
    <row r="2768" spans="1:4" x14ac:dyDescent="0.25">
      <c r="A2768" t="s">
        <v>10</v>
      </c>
      <c r="B2768" t="s">
        <v>24</v>
      </c>
      <c r="C2768" s="1">
        <v>45780.916666666664</v>
      </c>
      <c r="D2768">
        <v>1</v>
      </c>
    </row>
    <row r="2769" spans="1:4" x14ac:dyDescent="0.25">
      <c r="A2769" t="s">
        <v>9</v>
      </c>
      <c r="B2769" t="s">
        <v>24</v>
      </c>
      <c r="C2769" s="1">
        <v>45861.916666666664</v>
      </c>
      <c r="D2769">
        <v>1</v>
      </c>
    </row>
    <row r="2770" spans="1:4" x14ac:dyDescent="0.25">
      <c r="A2770" t="s">
        <v>9</v>
      </c>
      <c r="B2770" t="s">
        <v>24</v>
      </c>
      <c r="C2770" s="1">
        <v>45857.916666666664</v>
      </c>
      <c r="D2770">
        <v>3</v>
      </c>
    </row>
    <row r="2771" spans="1:4" x14ac:dyDescent="0.25">
      <c r="A2771" t="s">
        <v>9</v>
      </c>
      <c r="B2771" t="s">
        <v>52</v>
      </c>
      <c r="C2771" s="1">
        <v>45768</v>
      </c>
      <c r="D2771">
        <v>1</v>
      </c>
    </row>
    <row r="2772" spans="1:4" x14ac:dyDescent="0.25">
      <c r="A2772" t="s">
        <v>15</v>
      </c>
      <c r="B2772" t="s">
        <v>27</v>
      </c>
      <c r="C2772" s="1">
        <v>45807.375</v>
      </c>
      <c r="D2772">
        <v>1</v>
      </c>
    </row>
    <row r="2773" spans="1:4" x14ac:dyDescent="0.25">
      <c r="A2773" t="s">
        <v>10</v>
      </c>
      <c r="B2773" t="s">
        <v>44</v>
      </c>
      <c r="C2773" s="1">
        <v>45796.166666666664</v>
      </c>
      <c r="D2773">
        <v>1</v>
      </c>
    </row>
    <row r="2774" spans="1:4" x14ac:dyDescent="0.25">
      <c r="A2774" t="s">
        <v>9</v>
      </c>
      <c r="B2774" t="s">
        <v>30</v>
      </c>
      <c r="C2774" s="1">
        <v>45866.59375</v>
      </c>
      <c r="D2774">
        <v>2</v>
      </c>
    </row>
    <row r="2775" spans="1:4" x14ac:dyDescent="0.25">
      <c r="A2775" t="s">
        <v>10</v>
      </c>
      <c r="B2775" t="s">
        <v>26</v>
      </c>
      <c r="C2775" s="1">
        <v>45785.666666666664</v>
      </c>
      <c r="D2775">
        <v>1</v>
      </c>
    </row>
    <row r="2776" spans="1:4" x14ac:dyDescent="0.25">
      <c r="A2776" t="s">
        <v>10</v>
      </c>
      <c r="B2776" t="s">
        <v>64</v>
      </c>
      <c r="C2776" s="1">
        <v>45814.145833333336</v>
      </c>
      <c r="D2776">
        <v>1</v>
      </c>
    </row>
    <row r="2777" spans="1:4" x14ac:dyDescent="0.25">
      <c r="A2777" t="s">
        <v>9</v>
      </c>
      <c r="B2777" t="s">
        <v>30</v>
      </c>
      <c r="C2777" s="1">
        <v>45850.59375</v>
      </c>
      <c r="D2777">
        <v>2</v>
      </c>
    </row>
    <row r="2778" spans="1:4" x14ac:dyDescent="0.25">
      <c r="A2778" t="s">
        <v>90</v>
      </c>
      <c r="B2778" t="s">
        <v>85</v>
      </c>
      <c r="C2778" s="1">
        <v>45875</v>
      </c>
      <c r="D2778">
        <v>126</v>
      </c>
    </row>
    <row r="2779" spans="1:4" x14ac:dyDescent="0.25">
      <c r="A2779" t="s">
        <v>10</v>
      </c>
      <c r="B2779" t="s">
        <v>64</v>
      </c>
      <c r="C2779" s="1">
        <v>45806.145833333336</v>
      </c>
      <c r="D2779">
        <v>15</v>
      </c>
    </row>
    <row r="2780" spans="1:4" x14ac:dyDescent="0.25">
      <c r="A2780" t="s">
        <v>12</v>
      </c>
      <c r="B2780" t="s">
        <v>30</v>
      </c>
      <c r="C2780" s="1">
        <v>45872.59375</v>
      </c>
      <c r="D2780">
        <v>75</v>
      </c>
    </row>
    <row r="2781" spans="1:4" x14ac:dyDescent="0.25">
      <c r="A2781" t="s">
        <v>10</v>
      </c>
      <c r="B2781" t="s">
        <v>64</v>
      </c>
      <c r="C2781" s="1">
        <v>45855.875</v>
      </c>
      <c r="D2781">
        <v>2</v>
      </c>
    </row>
    <row r="2782" spans="1:4" x14ac:dyDescent="0.25">
      <c r="A2782" t="s">
        <v>81</v>
      </c>
      <c r="B2782" t="s">
        <v>332</v>
      </c>
      <c r="C2782" s="1">
        <v>45872.833333333336</v>
      </c>
      <c r="D2782">
        <v>281</v>
      </c>
    </row>
    <row r="2783" spans="1:4" x14ac:dyDescent="0.25">
      <c r="A2783" t="s">
        <v>10</v>
      </c>
      <c r="B2783" t="s">
        <v>25</v>
      </c>
      <c r="C2783" s="1">
        <v>45792.083333333336</v>
      </c>
      <c r="D2783">
        <v>1</v>
      </c>
    </row>
    <row r="2784" spans="1:4" x14ac:dyDescent="0.25">
      <c r="A2784" t="s">
        <v>90</v>
      </c>
      <c r="B2784" t="s">
        <v>85</v>
      </c>
      <c r="C2784" s="1">
        <v>45827.916666666664</v>
      </c>
      <c r="D2784">
        <v>84</v>
      </c>
    </row>
    <row r="2785" spans="1:4" x14ac:dyDescent="0.25">
      <c r="A2785" t="s">
        <v>79</v>
      </c>
      <c r="B2785" t="s">
        <v>26</v>
      </c>
      <c r="C2785" s="1">
        <v>45871.666666666664</v>
      </c>
      <c r="D2785">
        <v>1308</v>
      </c>
    </row>
    <row r="2786" spans="1:4" x14ac:dyDescent="0.25">
      <c r="A2786" t="s">
        <v>90</v>
      </c>
      <c r="B2786" t="s">
        <v>85</v>
      </c>
      <c r="C2786" s="1">
        <v>45863</v>
      </c>
      <c r="D2786">
        <v>35</v>
      </c>
    </row>
    <row r="2787" spans="1:4" x14ac:dyDescent="0.25">
      <c r="A2787" t="s">
        <v>9</v>
      </c>
      <c r="B2787" t="s">
        <v>28</v>
      </c>
      <c r="C2787" s="1">
        <v>45810.541666666664</v>
      </c>
      <c r="D2787">
        <v>1</v>
      </c>
    </row>
    <row r="2788" spans="1:4" x14ac:dyDescent="0.25">
      <c r="A2788" t="s">
        <v>10</v>
      </c>
      <c r="B2788" t="s">
        <v>50</v>
      </c>
      <c r="C2788" s="1">
        <v>45795.479166666664</v>
      </c>
      <c r="D2788">
        <v>6</v>
      </c>
    </row>
    <row r="2789" spans="1:4" x14ac:dyDescent="0.25">
      <c r="A2789" t="s">
        <v>10</v>
      </c>
      <c r="B2789" t="s">
        <v>333</v>
      </c>
      <c r="C2789" s="1">
        <v>45868.833333333336</v>
      </c>
      <c r="D2789">
        <v>265</v>
      </c>
    </row>
    <row r="2790" spans="1:4" x14ac:dyDescent="0.25">
      <c r="A2790" t="s">
        <v>90</v>
      </c>
      <c r="B2790" t="s">
        <v>85</v>
      </c>
      <c r="C2790" s="1">
        <v>45871</v>
      </c>
      <c r="D2790">
        <v>34</v>
      </c>
    </row>
    <row r="2791" spans="1:4" x14ac:dyDescent="0.25">
      <c r="A2791" t="s">
        <v>90</v>
      </c>
      <c r="B2791" t="s">
        <v>85</v>
      </c>
      <c r="C2791" s="1">
        <v>45855</v>
      </c>
      <c r="D2791">
        <v>46</v>
      </c>
    </row>
    <row r="2792" spans="1:4" x14ac:dyDescent="0.25">
      <c r="A2792" t="s">
        <v>9</v>
      </c>
      <c r="B2792" t="s">
        <v>332</v>
      </c>
      <c r="C2792" s="1">
        <v>45865.833333333336</v>
      </c>
      <c r="D2792">
        <v>1</v>
      </c>
    </row>
    <row r="2793" spans="1:4" x14ac:dyDescent="0.25">
      <c r="A2793" t="s">
        <v>90</v>
      </c>
      <c r="B2793" t="s">
        <v>85</v>
      </c>
      <c r="C2793" s="1">
        <v>45851</v>
      </c>
      <c r="D2793">
        <v>197</v>
      </c>
    </row>
    <row r="2794" spans="1:4" x14ac:dyDescent="0.25">
      <c r="A2794" t="s">
        <v>10</v>
      </c>
      <c r="B2794" t="s">
        <v>30</v>
      </c>
      <c r="C2794" s="1">
        <v>45773.59375</v>
      </c>
      <c r="D2794">
        <v>1</v>
      </c>
    </row>
    <row r="2795" spans="1:4" x14ac:dyDescent="0.25">
      <c r="A2795" t="s">
        <v>9</v>
      </c>
      <c r="B2795" t="s">
        <v>50</v>
      </c>
      <c r="C2795" s="1">
        <v>45860.479166666664</v>
      </c>
      <c r="D2795">
        <v>2</v>
      </c>
    </row>
    <row r="2796" spans="1:4" x14ac:dyDescent="0.25">
      <c r="A2796" t="s">
        <v>81</v>
      </c>
      <c r="B2796" t="s">
        <v>50</v>
      </c>
      <c r="C2796" s="1">
        <v>45871.479166666664</v>
      </c>
      <c r="D2796">
        <v>6</v>
      </c>
    </row>
    <row r="2797" spans="1:4" x14ac:dyDescent="0.25">
      <c r="A2797" t="s">
        <v>90</v>
      </c>
      <c r="B2797" t="s">
        <v>85</v>
      </c>
      <c r="C2797" s="1">
        <v>44876</v>
      </c>
      <c r="D2797">
        <v>1</v>
      </c>
    </row>
    <row r="2798" spans="1:4" x14ac:dyDescent="0.25">
      <c r="A2798" t="s">
        <v>10</v>
      </c>
      <c r="B2798" t="s">
        <v>52</v>
      </c>
      <c r="C2798" s="1">
        <v>45830.958333333336</v>
      </c>
      <c r="D2798">
        <v>5</v>
      </c>
    </row>
    <row r="2799" spans="1:4" x14ac:dyDescent="0.25">
      <c r="A2799" t="s">
        <v>10</v>
      </c>
      <c r="B2799" t="s">
        <v>54</v>
      </c>
      <c r="C2799" s="1">
        <v>45794.1875</v>
      </c>
      <c r="D2799">
        <v>1</v>
      </c>
    </row>
    <row r="2800" spans="1:4" x14ac:dyDescent="0.25">
      <c r="A2800" t="s">
        <v>9</v>
      </c>
      <c r="B2800" t="s">
        <v>27</v>
      </c>
      <c r="C2800" s="1">
        <v>45835.375</v>
      </c>
      <c r="D2800">
        <v>1</v>
      </c>
    </row>
    <row r="2801" spans="1:4" x14ac:dyDescent="0.25">
      <c r="A2801" t="s">
        <v>10</v>
      </c>
      <c r="B2801" t="s">
        <v>54</v>
      </c>
      <c r="C2801" s="1">
        <v>45790.1875</v>
      </c>
      <c r="D2801">
        <v>1</v>
      </c>
    </row>
    <row r="2802" spans="1:4" x14ac:dyDescent="0.25">
      <c r="A2802" t="s">
        <v>10</v>
      </c>
      <c r="B2802" t="s">
        <v>54</v>
      </c>
      <c r="C2802" s="1">
        <v>45774.1875</v>
      </c>
      <c r="D2802">
        <v>1</v>
      </c>
    </row>
    <row r="2803" spans="1:4" x14ac:dyDescent="0.25">
      <c r="A2803" t="s">
        <v>9</v>
      </c>
      <c r="B2803" t="s">
        <v>187</v>
      </c>
      <c r="C2803" s="1">
        <v>45773.458333333336</v>
      </c>
      <c r="D2803">
        <v>2</v>
      </c>
    </row>
    <row r="2804" spans="1:4" x14ac:dyDescent="0.25">
      <c r="A2804" t="s">
        <v>9</v>
      </c>
      <c r="B2804" t="s">
        <v>27</v>
      </c>
      <c r="C2804" s="1">
        <v>45807.375</v>
      </c>
      <c r="D2804">
        <v>2</v>
      </c>
    </row>
    <row r="2805" spans="1:4" x14ac:dyDescent="0.25">
      <c r="A2805" t="s">
        <v>15</v>
      </c>
      <c r="B2805" t="s">
        <v>335</v>
      </c>
      <c r="C2805" s="1">
        <v>45838.458333333336</v>
      </c>
      <c r="D2805">
        <v>4</v>
      </c>
    </row>
    <row r="2806" spans="1:4" x14ac:dyDescent="0.25">
      <c r="A2806" t="s">
        <v>9</v>
      </c>
      <c r="B2806" t="s">
        <v>24</v>
      </c>
      <c r="C2806" s="1">
        <v>45845.916666666664</v>
      </c>
      <c r="D2806">
        <v>1</v>
      </c>
    </row>
    <row r="2807" spans="1:4" x14ac:dyDescent="0.25">
      <c r="A2807" t="s">
        <v>10</v>
      </c>
      <c r="B2807" t="s">
        <v>50</v>
      </c>
      <c r="C2807" s="1">
        <v>45871.479166666664</v>
      </c>
      <c r="D2807">
        <v>386</v>
      </c>
    </row>
    <row r="2808" spans="1:4" x14ac:dyDescent="0.25">
      <c r="A2808" t="s">
        <v>10</v>
      </c>
      <c r="B2808" t="s">
        <v>334</v>
      </c>
      <c r="C2808" s="1">
        <v>45862.458333333336</v>
      </c>
      <c r="D2808">
        <v>1</v>
      </c>
    </row>
    <row r="2809" spans="1:4" x14ac:dyDescent="0.25">
      <c r="A2809" t="s">
        <v>90</v>
      </c>
      <c r="B2809" t="s">
        <v>85</v>
      </c>
      <c r="C2809" s="1">
        <v>45828.666666666664</v>
      </c>
      <c r="D2809">
        <v>78</v>
      </c>
    </row>
    <row r="2810" spans="1:4" x14ac:dyDescent="0.25">
      <c r="A2810" t="s">
        <v>12</v>
      </c>
      <c r="B2810" t="s">
        <v>64</v>
      </c>
      <c r="C2810" s="1">
        <v>45826.875</v>
      </c>
      <c r="D2810">
        <v>6</v>
      </c>
    </row>
    <row r="2811" spans="1:4" x14ac:dyDescent="0.25">
      <c r="A2811" t="s">
        <v>12</v>
      </c>
      <c r="B2811" t="s">
        <v>27</v>
      </c>
      <c r="C2811" s="1">
        <v>45828.375</v>
      </c>
      <c r="D2811">
        <v>7</v>
      </c>
    </row>
    <row r="2812" spans="1:4" x14ac:dyDescent="0.25">
      <c r="A2812" t="s">
        <v>9</v>
      </c>
      <c r="B2812" t="s">
        <v>30</v>
      </c>
      <c r="C2812" s="1">
        <v>45846.59375</v>
      </c>
      <c r="D2812">
        <v>12</v>
      </c>
    </row>
    <row r="2813" spans="1:4" x14ac:dyDescent="0.25">
      <c r="A2813" t="s">
        <v>90</v>
      </c>
      <c r="B2813" t="s">
        <v>85</v>
      </c>
      <c r="C2813" s="1">
        <v>45247</v>
      </c>
      <c r="D2813">
        <v>1</v>
      </c>
    </row>
    <row r="2814" spans="1:4" x14ac:dyDescent="0.25">
      <c r="A2814" t="s">
        <v>9</v>
      </c>
      <c r="B2814" t="s">
        <v>30</v>
      </c>
      <c r="C2814" s="1">
        <v>45834.59375</v>
      </c>
      <c r="D2814">
        <v>1</v>
      </c>
    </row>
    <row r="2815" spans="1:4" x14ac:dyDescent="0.25">
      <c r="A2815" t="s">
        <v>10</v>
      </c>
      <c r="B2815" t="s">
        <v>27</v>
      </c>
      <c r="C2815" s="1">
        <v>45786.375</v>
      </c>
      <c r="D2815">
        <v>156</v>
      </c>
    </row>
    <row r="2816" spans="1:4" x14ac:dyDescent="0.25">
      <c r="A2816" t="s">
        <v>88</v>
      </c>
      <c r="B2816" t="s">
        <v>332</v>
      </c>
      <c r="C2816" s="1">
        <v>45872.833333333336</v>
      </c>
      <c r="D2816">
        <v>338</v>
      </c>
    </row>
    <row r="2817" spans="1:4" x14ac:dyDescent="0.25">
      <c r="A2817" t="s">
        <v>88</v>
      </c>
      <c r="B2817" t="s">
        <v>30</v>
      </c>
      <c r="C2817" s="1">
        <v>45872.59375</v>
      </c>
      <c r="D2817">
        <v>42</v>
      </c>
    </row>
    <row r="2818" spans="1:4" x14ac:dyDescent="0.25">
      <c r="A2818" t="s">
        <v>9</v>
      </c>
      <c r="B2818" t="s">
        <v>30</v>
      </c>
      <c r="C2818" s="1">
        <v>45802.59375</v>
      </c>
      <c r="D2818">
        <v>5</v>
      </c>
    </row>
    <row r="2819" spans="1:4" x14ac:dyDescent="0.25">
      <c r="A2819" t="s">
        <v>9</v>
      </c>
      <c r="B2819" t="s">
        <v>26</v>
      </c>
      <c r="C2819" s="1">
        <v>45865.666666666664</v>
      </c>
      <c r="D2819">
        <v>4</v>
      </c>
    </row>
    <row r="2820" spans="1:4" x14ac:dyDescent="0.25">
      <c r="A2820" t="s">
        <v>13</v>
      </c>
      <c r="B2820" t="s">
        <v>30</v>
      </c>
      <c r="C2820" s="1">
        <v>45871.59375</v>
      </c>
      <c r="D2820">
        <v>31</v>
      </c>
    </row>
    <row r="2821" spans="1:4" x14ac:dyDescent="0.25">
      <c r="A2821" t="s">
        <v>9</v>
      </c>
      <c r="B2821" t="s">
        <v>28</v>
      </c>
      <c r="C2821" s="1">
        <v>45861.541666666664</v>
      </c>
      <c r="D2821">
        <v>7</v>
      </c>
    </row>
    <row r="2822" spans="1:4" x14ac:dyDescent="0.25">
      <c r="A2822" t="s">
        <v>90</v>
      </c>
      <c r="B2822" t="s">
        <v>85</v>
      </c>
      <c r="C2822" s="1">
        <v>45856.666666666664</v>
      </c>
      <c r="D2822">
        <v>4</v>
      </c>
    </row>
    <row r="2823" spans="1:4" x14ac:dyDescent="0.25">
      <c r="A2823" t="s">
        <v>90</v>
      </c>
      <c r="B2823" t="s">
        <v>85</v>
      </c>
      <c r="C2823" s="1">
        <v>45852.666666666664</v>
      </c>
      <c r="D2823">
        <v>3</v>
      </c>
    </row>
    <row r="2824" spans="1:4" x14ac:dyDescent="0.25">
      <c r="A2824" t="s">
        <v>90</v>
      </c>
      <c r="B2824" t="s">
        <v>85</v>
      </c>
      <c r="C2824" s="1">
        <v>45719</v>
      </c>
      <c r="D2824">
        <v>4</v>
      </c>
    </row>
    <row r="2825" spans="1:4" x14ac:dyDescent="0.25">
      <c r="A2825" t="s">
        <v>9</v>
      </c>
      <c r="B2825" t="s">
        <v>336</v>
      </c>
      <c r="C2825" s="1">
        <v>45790.833333333336</v>
      </c>
      <c r="D2825">
        <v>3</v>
      </c>
    </row>
    <row r="2826" spans="1:4" x14ac:dyDescent="0.25">
      <c r="A2826" t="s">
        <v>9</v>
      </c>
      <c r="B2826" t="s">
        <v>25</v>
      </c>
      <c r="C2826" s="1">
        <v>45834.083333333336</v>
      </c>
      <c r="D2826">
        <v>47</v>
      </c>
    </row>
    <row r="2827" spans="1:4" x14ac:dyDescent="0.25">
      <c r="A2827" t="s">
        <v>10</v>
      </c>
      <c r="B2827" t="s">
        <v>54</v>
      </c>
      <c r="C2827" s="1">
        <v>45809.1875</v>
      </c>
      <c r="D2827">
        <v>1</v>
      </c>
    </row>
    <row r="2828" spans="1:4" x14ac:dyDescent="0.25">
      <c r="A2828" t="s">
        <v>13</v>
      </c>
      <c r="B2828" t="s">
        <v>50</v>
      </c>
      <c r="C2828" s="1">
        <v>45872.479166666664</v>
      </c>
      <c r="D2828">
        <v>73</v>
      </c>
    </row>
    <row r="2829" spans="1:4" x14ac:dyDescent="0.25">
      <c r="A2829" t="s">
        <v>12</v>
      </c>
      <c r="B2829" t="s">
        <v>50</v>
      </c>
      <c r="C2829" s="1">
        <v>45869.479166666664</v>
      </c>
      <c r="D2829">
        <v>1</v>
      </c>
    </row>
    <row r="2830" spans="1:4" x14ac:dyDescent="0.25">
      <c r="A2830" t="s">
        <v>89</v>
      </c>
      <c r="B2830" t="s">
        <v>187</v>
      </c>
      <c r="C2830" s="1">
        <v>45864.458333333336</v>
      </c>
      <c r="D2830">
        <v>5</v>
      </c>
    </row>
    <row r="2831" spans="1:4" x14ac:dyDescent="0.25">
      <c r="A2831" t="s">
        <v>12</v>
      </c>
      <c r="B2831" t="s">
        <v>332</v>
      </c>
      <c r="C2831" s="1">
        <v>45872.833333333336</v>
      </c>
      <c r="D2831">
        <v>979</v>
      </c>
    </row>
    <row r="2832" spans="1:4" x14ac:dyDescent="0.25">
      <c r="A2832" t="s">
        <v>9</v>
      </c>
      <c r="B2832" t="s">
        <v>27</v>
      </c>
      <c r="C2832" s="1">
        <v>45786.375</v>
      </c>
      <c r="D2832">
        <v>156</v>
      </c>
    </row>
    <row r="2833" spans="1:4" x14ac:dyDescent="0.25">
      <c r="A2833" t="s">
        <v>10</v>
      </c>
      <c r="B2833" t="s">
        <v>187</v>
      </c>
      <c r="C2833" s="1">
        <v>45871.458333333336</v>
      </c>
      <c r="D2833">
        <v>21</v>
      </c>
    </row>
    <row r="2834" spans="1:4" x14ac:dyDescent="0.25">
      <c r="A2834" t="s">
        <v>90</v>
      </c>
      <c r="B2834" t="s">
        <v>85</v>
      </c>
      <c r="C2834" s="1">
        <v>45830.708333333336</v>
      </c>
      <c r="D2834">
        <v>92</v>
      </c>
    </row>
    <row r="2835" spans="1:4" x14ac:dyDescent="0.25">
      <c r="A2835" t="s">
        <v>10</v>
      </c>
      <c r="B2835" t="s">
        <v>30</v>
      </c>
      <c r="C2835" s="1">
        <v>45846.59375</v>
      </c>
      <c r="D2835">
        <v>1</v>
      </c>
    </row>
    <row r="2836" spans="1:4" x14ac:dyDescent="0.25">
      <c r="A2836" t="s">
        <v>12</v>
      </c>
      <c r="B2836" t="s">
        <v>50</v>
      </c>
      <c r="C2836" s="1">
        <v>45845.479166666664</v>
      </c>
      <c r="D2836">
        <v>1</v>
      </c>
    </row>
    <row r="2837" spans="1:4" x14ac:dyDescent="0.25">
      <c r="A2837" t="s">
        <v>9</v>
      </c>
      <c r="B2837" t="s">
        <v>54</v>
      </c>
      <c r="C2837" s="1">
        <v>45807.1875</v>
      </c>
      <c r="D2837">
        <v>1</v>
      </c>
    </row>
    <row r="2838" spans="1:4" x14ac:dyDescent="0.25">
      <c r="A2838" t="s">
        <v>89</v>
      </c>
      <c r="B2838" t="s">
        <v>332</v>
      </c>
      <c r="C2838" s="1">
        <v>45865.833333333336</v>
      </c>
      <c r="D2838">
        <v>326</v>
      </c>
    </row>
    <row r="2839" spans="1:4" x14ac:dyDescent="0.25">
      <c r="A2839" t="s">
        <v>12</v>
      </c>
      <c r="B2839" t="s">
        <v>28</v>
      </c>
      <c r="C2839" s="1">
        <v>45848.541666666664</v>
      </c>
      <c r="D2839">
        <v>5</v>
      </c>
    </row>
    <row r="2840" spans="1:4" x14ac:dyDescent="0.25">
      <c r="A2840" t="s">
        <v>9</v>
      </c>
      <c r="B2840" t="s">
        <v>64</v>
      </c>
      <c r="C2840" s="1">
        <v>45861.875</v>
      </c>
      <c r="D2840">
        <v>5</v>
      </c>
    </row>
    <row r="2841" spans="1:4" x14ac:dyDescent="0.25">
      <c r="A2841" t="s">
        <v>15</v>
      </c>
      <c r="B2841" t="s">
        <v>50</v>
      </c>
      <c r="C2841" s="1">
        <v>45780.479166666664</v>
      </c>
      <c r="D2841">
        <v>1</v>
      </c>
    </row>
    <row r="2842" spans="1:4" x14ac:dyDescent="0.25">
      <c r="A2842" t="s">
        <v>9</v>
      </c>
      <c r="B2842" t="s">
        <v>333</v>
      </c>
      <c r="C2842" s="1">
        <v>45770.833333333336</v>
      </c>
      <c r="D2842">
        <v>1</v>
      </c>
    </row>
    <row r="2843" spans="1:4" x14ac:dyDescent="0.25">
      <c r="A2843" t="s">
        <v>90</v>
      </c>
      <c r="B2843" t="s">
        <v>85</v>
      </c>
      <c r="C2843" s="1">
        <v>45642</v>
      </c>
      <c r="D2843">
        <v>1</v>
      </c>
    </row>
    <row r="2844" spans="1:4" x14ac:dyDescent="0.25">
      <c r="A2844" t="s">
        <v>10</v>
      </c>
      <c r="B2844" t="s">
        <v>50</v>
      </c>
      <c r="C2844" s="1">
        <v>45815.479166666664</v>
      </c>
      <c r="D2844">
        <v>3</v>
      </c>
    </row>
    <row r="2845" spans="1:4" x14ac:dyDescent="0.25">
      <c r="A2845" t="s">
        <v>9</v>
      </c>
      <c r="B2845" t="s">
        <v>54</v>
      </c>
      <c r="C2845" s="1">
        <v>45835.083333333336</v>
      </c>
      <c r="D2845">
        <v>7</v>
      </c>
    </row>
    <row r="2846" spans="1:4" x14ac:dyDescent="0.25">
      <c r="A2846" t="s">
        <v>9</v>
      </c>
      <c r="B2846" t="s">
        <v>25</v>
      </c>
      <c r="C2846" s="1">
        <v>45786.083333333336</v>
      </c>
      <c r="D2846">
        <v>2</v>
      </c>
    </row>
    <row r="2847" spans="1:4" x14ac:dyDescent="0.25">
      <c r="A2847" t="s">
        <v>9</v>
      </c>
      <c r="B2847" t="s">
        <v>54</v>
      </c>
      <c r="C2847" s="1">
        <v>45831.083333333336</v>
      </c>
      <c r="D2847">
        <v>2</v>
      </c>
    </row>
    <row r="2848" spans="1:4" x14ac:dyDescent="0.25">
      <c r="A2848" t="s">
        <v>9</v>
      </c>
      <c r="B2848" t="s">
        <v>64</v>
      </c>
      <c r="C2848" s="1">
        <v>45865.875</v>
      </c>
      <c r="D2848">
        <v>1</v>
      </c>
    </row>
    <row r="2849" spans="1:4" x14ac:dyDescent="0.25">
      <c r="A2849" t="s">
        <v>10</v>
      </c>
      <c r="B2849" t="s">
        <v>332</v>
      </c>
      <c r="C2849" s="1">
        <v>45872.833333333336</v>
      </c>
      <c r="D2849">
        <v>1569</v>
      </c>
    </row>
    <row r="2850" spans="1:4" x14ac:dyDescent="0.25">
      <c r="A2850" t="s">
        <v>9</v>
      </c>
      <c r="B2850" t="s">
        <v>26</v>
      </c>
      <c r="C2850" s="1">
        <v>45849.666666666664</v>
      </c>
      <c r="D2850">
        <v>1</v>
      </c>
    </row>
    <row r="2851" spans="1:4" x14ac:dyDescent="0.25">
      <c r="A2851" t="s">
        <v>10</v>
      </c>
      <c r="B2851" t="s">
        <v>30</v>
      </c>
      <c r="C2851" s="1">
        <v>45802.59375</v>
      </c>
      <c r="D2851">
        <v>5</v>
      </c>
    </row>
    <row r="2852" spans="1:4" x14ac:dyDescent="0.25">
      <c r="A2852" t="s">
        <v>90</v>
      </c>
      <c r="B2852" t="s">
        <v>85</v>
      </c>
      <c r="C2852" s="1">
        <v>45376</v>
      </c>
      <c r="D2852">
        <v>6</v>
      </c>
    </row>
    <row r="2853" spans="1:4" x14ac:dyDescent="0.25">
      <c r="A2853" t="s">
        <v>10</v>
      </c>
      <c r="B2853" t="s">
        <v>26</v>
      </c>
      <c r="C2853" s="1">
        <v>45865.666666666664</v>
      </c>
      <c r="D2853">
        <v>2</v>
      </c>
    </row>
    <row r="2854" spans="1:4" x14ac:dyDescent="0.25">
      <c r="A2854" t="s">
        <v>9</v>
      </c>
      <c r="B2854" t="s">
        <v>50</v>
      </c>
      <c r="C2854" s="1">
        <v>45795.479166666664</v>
      </c>
      <c r="D2854">
        <v>6</v>
      </c>
    </row>
    <row r="2855" spans="1:4" x14ac:dyDescent="0.25">
      <c r="A2855" t="s">
        <v>12</v>
      </c>
      <c r="B2855" t="s">
        <v>30</v>
      </c>
      <c r="C2855" s="1">
        <v>45848.59375</v>
      </c>
      <c r="D2855">
        <v>1</v>
      </c>
    </row>
    <row r="2856" spans="1:4" x14ac:dyDescent="0.25">
      <c r="A2856" t="s">
        <v>10</v>
      </c>
      <c r="B2856" t="s">
        <v>334</v>
      </c>
      <c r="C2856" s="1">
        <v>45806.458333333336</v>
      </c>
      <c r="D2856">
        <v>2</v>
      </c>
    </row>
    <row r="2857" spans="1:4" x14ac:dyDescent="0.25">
      <c r="A2857" t="s">
        <v>9</v>
      </c>
      <c r="B2857" t="s">
        <v>30</v>
      </c>
      <c r="C2857" s="1">
        <v>45774.59375</v>
      </c>
      <c r="D2857">
        <v>1</v>
      </c>
    </row>
    <row r="2858" spans="1:4" x14ac:dyDescent="0.25">
      <c r="A2858" t="s">
        <v>79</v>
      </c>
      <c r="B2858" t="s">
        <v>50</v>
      </c>
      <c r="C2858" s="1">
        <v>45873.479166666664</v>
      </c>
      <c r="D2858">
        <v>2</v>
      </c>
    </row>
    <row r="2859" spans="1:4" x14ac:dyDescent="0.25">
      <c r="A2859" t="s">
        <v>90</v>
      </c>
      <c r="B2859" t="s">
        <v>85</v>
      </c>
      <c r="C2859" s="1">
        <v>45840.666666666664</v>
      </c>
      <c r="D2859">
        <v>29</v>
      </c>
    </row>
    <row r="2860" spans="1:4" x14ac:dyDescent="0.25">
      <c r="A2860" t="s">
        <v>79</v>
      </c>
      <c r="B2860" t="s">
        <v>24</v>
      </c>
      <c r="C2860" s="1">
        <v>45871.916666666664</v>
      </c>
      <c r="D2860">
        <v>1098</v>
      </c>
    </row>
    <row r="2861" spans="1:4" x14ac:dyDescent="0.25">
      <c r="A2861" t="s">
        <v>89</v>
      </c>
      <c r="B2861" t="s">
        <v>64</v>
      </c>
      <c r="C2861" s="1">
        <v>45796.145833333336</v>
      </c>
      <c r="D2861">
        <v>1</v>
      </c>
    </row>
    <row r="2862" spans="1:4" x14ac:dyDescent="0.25">
      <c r="A2862" t="s">
        <v>13</v>
      </c>
      <c r="B2862" t="s">
        <v>24</v>
      </c>
      <c r="C2862" s="1">
        <v>45872.916666666664</v>
      </c>
      <c r="D2862">
        <v>7</v>
      </c>
    </row>
    <row r="2863" spans="1:4" x14ac:dyDescent="0.25">
      <c r="A2863" t="s">
        <v>10</v>
      </c>
      <c r="B2863" t="s">
        <v>187</v>
      </c>
      <c r="C2863" s="1">
        <v>45773.458333333336</v>
      </c>
      <c r="D2863">
        <v>2</v>
      </c>
    </row>
    <row r="2864" spans="1:4" x14ac:dyDescent="0.25">
      <c r="A2864" t="s">
        <v>9</v>
      </c>
      <c r="B2864" t="s">
        <v>54</v>
      </c>
      <c r="C2864" s="1">
        <v>45865.083333333336</v>
      </c>
      <c r="D2864">
        <v>1</v>
      </c>
    </row>
    <row r="2865" spans="1:4" x14ac:dyDescent="0.25">
      <c r="A2865" t="s">
        <v>10</v>
      </c>
      <c r="B2865" t="s">
        <v>54</v>
      </c>
      <c r="C2865" s="1">
        <v>45832.083333333336</v>
      </c>
      <c r="D2865">
        <v>1</v>
      </c>
    </row>
    <row r="2866" spans="1:4" x14ac:dyDescent="0.25">
      <c r="A2866" t="s">
        <v>90</v>
      </c>
      <c r="B2866" t="s">
        <v>85</v>
      </c>
      <c r="C2866" s="1">
        <v>45862.479166666664</v>
      </c>
      <c r="D2866">
        <v>381</v>
      </c>
    </row>
    <row r="2867" spans="1:4" x14ac:dyDescent="0.25">
      <c r="A2867" t="s">
        <v>88</v>
      </c>
      <c r="B2867" t="s">
        <v>24</v>
      </c>
      <c r="C2867" s="1">
        <v>45850.916666666664</v>
      </c>
      <c r="D2867">
        <v>3</v>
      </c>
    </row>
    <row r="2868" spans="1:4" x14ac:dyDescent="0.25">
      <c r="A2868" t="s">
        <v>9</v>
      </c>
      <c r="B2868" t="s">
        <v>54</v>
      </c>
      <c r="C2868" s="1">
        <v>45784.1875</v>
      </c>
      <c r="D2868">
        <v>2</v>
      </c>
    </row>
    <row r="2869" spans="1:4" x14ac:dyDescent="0.25">
      <c r="A2869" t="s">
        <v>12</v>
      </c>
      <c r="B2869" t="s">
        <v>54</v>
      </c>
      <c r="C2869" s="1">
        <v>45865.083333333336</v>
      </c>
      <c r="D2869">
        <v>1</v>
      </c>
    </row>
    <row r="2870" spans="1:4" x14ac:dyDescent="0.25">
      <c r="A2870" t="s">
        <v>12</v>
      </c>
      <c r="B2870" t="s">
        <v>24</v>
      </c>
      <c r="C2870" s="1">
        <v>45848.916666666664</v>
      </c>
      <c r="D2870">
        <v>6</v>
      </c>
    </row>
    <row r="2871" spans="1:4" x14ac:dyDescent="0.25">
      <c r="A2871" t="s">
        <v>10</v>
      </c>
      <c r="B2871" t="s">
        <v>25</v>
      </c>
      <c r="C2871" s="1">
        <v>45805.083333333336</v>
      </c>
      <c r="D2871">
        <v>2</v>
      </c>
    </row>
    <row r="2872" spans="1:4" x14ac:dyDescent="0.25">
      <c r="A2872" t="s">
        <v>90</v>
      </c>
      <c r="B2872" t="s">
        <v>85</v>
      </c>
      <c r="C2872" s="1">
        <v>45827.59375</v>
      </c>
      <c r="D2872">
        <v>26</v>
      </c>
    </row>
    <row r="2873" spans="1:4" x14ac:dyDescent="0.25">
      <c r="A2873" t="s">
        <v>10</v>
      </c>
      <c r="B2873" t="s">
        <v>335</v>
      </c>
      <c r="C2873" s="1">
        <v>45817.458333333336</v>
      </c>
      <c r="D2873">
        <v>1</v>
      </c>
    </row>
    <row r="2874" spans="1:4" x14ac:dyDescent="0.25">
      <c r="A2874" t="s">
        <v>10</v>
      </c>
      <c r="B2874" t="s">
        <v>333</v>
      </c>
      <c r="C2874" s="1">
        <v>45763.833333333336</v>
      </c>
      <c r="D2874">
        <v>1</v>
      </c>
    </row>
    <row r="2875" spans="1:4" x14ac:dyDescent="0.25">
      <c r="A2875" t="s">
        <v>9</v>
      </c>
      <c r="B2875" t="s">
        <v>26</v>
      </c>
      <c r="C2875" s="1">
        <v>45795.666666666664</v>
      </c>
      <c r="D2875">
        <v>2</v>
      </c>
    </row>
    <row r="2876" spans="1:4" x14ac:dyDescent="0.25">
      <c r="A2876" t="s">
        <v>9</v>
      </c>
      <c r="B2876" t="s">
        <v>28</v>
      </c>
      <c r="C2876" s="1">
        <v>45797.541666666664</v>
      </c>
      <c r="D2876">
        <v>1</v>
      </c>
    </row>
    <row r="2877" spans="1:4" x14ac:dyDescent="0.25">
      <c r="A2877" t="s">
        <v>9</v>
      </c>
      <c r="B2877" t="s">
        <v>335</v>
      </c>
      <c r="C2877" s="1">
        <v>45866.458333333336</v>
      </c>
      <c r="D2877">
        <v>28</v>
      </c>
    </row>
    <row r="2878" spans="1:4" x14ac:dyDescent="0.25">
      <c r="A2878" t="s">
        <v>10</v>
      </c>
      <c r="B2878" t="s">
        <v>25</v>
      </c>
      <c r="C2878" s="1">
        <v>45817.083333333336</v>
      </c>
      <c r="D2878">
        <v>1</v>
      </c>
    </row>
    <row r="2879" spans="1:4" x14ac:dyDescent="0.25">
      <c r="A2879" t="s">
        <v>12</v>
      </c>
      <c r="B2879" t="s">
        <v>54</v>
      </c>
      <c r="C2879" s="1">
        <v>45857.083333333336</v>
      </c>
      <c r="D2879">
        <v>1</v>
      </c>
    </row>
    <row r="2880" spans="1:4" x14ac:dyDescent="0.25">
      <c r="A2880" t="s">
        <v>10</v>
      </c>
      <c r="B2880" t="s">
        <v>24</v>
      </c>
      <c r="C2880" s="1">
        <v>45845.916666666664</v>
      </c>
      <c r="D2880">
        <v>1</v>
      </c>
    </row>
    <row r="2881" spans="1:4" x14ac:dyDescent="0.25">
      <c r="A2881" t="s">
        <v>10</v>
      </c>
      <c r="B2881" t="s">
        <v>54</v>
      </c>
      <c r="C2881" s="1">
        <v>45844.083333333336</v>
      </c>
      <c r="D2881">
        <v>1</v>
      </c>
    </row>
    <row r="2882" spans="1:4" x14ac:dyDescent="0.25">
      <c r="A2882" t="s">
        <v>9</v>
      </c>
      <c r="B2882" t="s">
        <v>24</v>
      </c>
      <c r="C2882" s="1">
        <v>45850.916666666664</v>
      </c>
      <c r="D2882">
        <v>5</v>
      </c>
    </row>
    <row r="2883" spans="1:4" x14ac:dyDescent="0.25">
      <c r="A2883" t="s">
        <v>90</v>
      </c>
      <c r="B2883" t="s">
        <v>85</v>
      </c>
      <c r="C2883" s="1">
        <v>45842</v>
      </c>
      <c r="D2883">
        <v>31</v>
      </c>
    </row>
    <row r="2884" spans="1:4" x14ac:dyDescent="0.25">
      <c r="A2884" t="s">
        <v>90</v>
      </c>
      <c r="B2884" t="s">
        <v>85</v>
      </c>
      <c r="C2884" s="1">
        <v>45838</v>
      </c>
      <c r="D2884">
        <v>36</v>
      </c>
    </row>
    <row r="2885" spans="1:4" x14ac:dyDescent="0.25">
      <c r="A2885" t="s">
        <v>9</v>
      </c>
      <c r="B2885" t="s">
        <v>333</v>
      </c>
      <c r="C2885" s="1">
        <v>45868.833333333336</v>
      </c>
      <c r="D2885">
        <v>265</v>
      </c>
    </row>
    <row r="2886" spans="1:4" x14ac:dyDescent="0.25">
      <c r="A2886" t="s">
        <v>9</v>
      </c>
      <c r="B2886" t="s">
        <v>50</v>
      </c>
      <c r="C2886" s="1">
        <v>45845.479166666664</v>
      </c>
      <c r="D2886">
        <v>1</v>
      </c>
    </row>
    <row r="2887" spans="1:4" x14ac:dyDescent="0.25">
      <c r="A2887" t="s">
        <v>90</v>
      </c>
      <c r="B2887" t="s">
        <v>85</v>
      </c>
      <c r="C2887" s="1">
        <v>45834</v>
      </c>
      <c r="D2887">
        <v>133</v>
      </c>
    </row>
    <row r="2888" spans="1:4" x14ac:dyDescent="0.25">
      <c r="A2888" t="s">
        <v>9</v>
      </c>
      <c r="B2888" t="s">
        <v>335</v>
      </c>
      <c r="C2888" s="1">
        <v>45810.458333333336</v>
      </c>
      <c r="D2888">
        <v>1</v>
      </c>
    </row>
    <row r="2889" spans="1:4" x14ac:dyDescent="0.25">
      <c r="A2889" t="s">
        <v>89</v>
      </c>
      <c r="B2889" t="s">
        <v>28</v>
      </c>
      <c r="C2889" s="1">
        <v>45858.541666666664</v>
      </c>
      <c r="D2889">
        <v>2</v>
      </c>
    </row>
    <row r="2890" spans="1:4" x14ac:dyDescent="0.25">
      <c r="A2890" t="s">
        <v>7</v>
      </c>
      <c r="B2890" t="s">
        <v>54</v>
      </c>
      <c r="C2890" s="1">
        <v>45871.083333333336</v>
      </c>
      <c r="D2890">
        <v>2</v>
      </c>
    </row>
    <row r="2891" spans="1:4" x14ac:dyDescent="0.25">
      <c r="A2891" t="s">
        <v>9</v>
      </c>
      <c r="B2891" t="s">
        <v>54</v>
      </c>
      <c r="C2891" s="1">
        <v>45857.083333333336</v>
      </c>
      <c r="D2891">
        <v>1</v>
      </c>
    </row>
    <row r="2892" spans="1:4" x14ac:dyDescent="0.25">
      <c r="A2892" t="s">
        <v>89</v>
      </c>
      <c r="B2892" t="s">
        <v>44</v>
      </c>
      <c r="C2892" s="1">
        <v>45796.166666666664</v>
      </c>
      <c r="D2892">
        <v>1</v>
      </c>
    </row>
    <row r="2893" spans="1:4" x14ac:dyDescent="0.25">
      <c r="A2893" t="s">
        <v>90</v>
      </c>
      <c r="B2893" t="s">
        <v>85</v>
      </c>
      <c r="C2893" s="1">
        <v>45836.708333333336</v>
      </c>
      <c r="D2893">
        <v>33</v>
      </c>
    </row>
    <row r="2894" spans="1:4" x14ac:dyDescent="0.25">
      <c r="A2894" t="s">
        <v>15</v>
      </c>
      <c r="B2894" t="s">
        <v>332</v>
      </c>
      <c r="C2894" s="1">
        <v>45837.833333333336</v>
      </c>
      <c r="D2894">
        <v>1</v>
      </c>
    </row>
    <row r="2895" spans="1:4" x14ac:dyDescent="0.25">
      <c r="A2895" t="s">
        <v>10</v>
      </c>
      <c r="B2895" t="s">
        <v>24</v>
      </c>
      <c r="C2895" s="1">
        <v>45789.916666666664</v>
      </c>
      <c r="D2895">
        <v>1</v>
      </c>
    </row>
    <row r="2896" spans="1:4" x14ac:dyDescent="0.25">
      <c r="A2896" t="s">
        <v>10</v>
      </c>
      <c r="B2896" t="s">
        <v>44</v>
      </c>
      <c r="C2896" s="1">
        <v>45799.166666666664</v>
      </c>
      <c r="D2896">
        <v>1</v>
      </c>
    </row>
    <row r="2897" spans="1:4" x14ac:dyDescent="0.25">
      <c r="A2897" t="s">
        <v>9</v>
      </c>
      <c r="B2897" t="s">
        <v>334</v>
      </c>
      <c r="C2897" s="1">
        <v>45806.458333333336</v>
      </c>
      <c r="D2897">
        <v>2</v>
      </c>
    </row>
    <row r="2898" spans="1:4" x14ac:dyDescent="0.25">
      <c r="A2898" t="s">
        <v>9</v>
      </c>
      <c r="B2898" t="s">
        <v>335</v>
      </c>
      <c r="C2898" s="1">
        <v>45838.458333333336</v>
      </c>
      <c r="D2898">
        <v>5</v>
      </c>
    </row>
    <row r="2899" spans="1:4" x14ac:dyDescent="0.25">
      <c r="A2899" t="s">
        <v>9</v>
      </c>
      <c r="B2899" t="s">
        <v>30</v>
      </c>
      <c r="C2899" s="1">
        <v>45865.59375</v>
      </c>
      <c r="D2899">
        <v>9</v>
      </c>
    </row>
    <row r="2900" spans="1:4" x14ac:dyDescent="0.25">
      <c r="A2900" t="s">
        <v>12</v>
      </c>
      <c r="B2900" t="s">
        <v>26</v>
      </c>
      <c r="C2900" s="1">
        <v>45849.666666666664</v>
      </c>
      <c r="D2900">
        <v>1</v>
      </c>
    </row>
    <row r="2901" spans="1:4" x14ac:dyDescent="0.25">
      <c r="A2901" t="s">
        <v>10</v>
      </c>
      <c r="B2901" t="s">
        <v>25</v>
      </c>
      <c r="C2901" s="1">
        <v>45781.083333333336</v>
      </c>
      <c r="D2901">
        <v>4</v>
      </c>
    </row>
    <row r="2902" spans="1:4" x14ac:dyDescent="0.25">
      <c r="A2902" t="s">
        <v>10</v>
      </c>
      <c r="B2902" t="s">
        <v>30</v>
      </c>
      <c r="C2902" s="1">
        <v>45805.458333333336</v>
      </c>
      <c r="D2902">
        <v>1</v>
      </c>
    </row>
    <row r="2903" spans="1:4" x14ac:dyDescent="0.25">
      <c r="A2903" t="s">
        <v>10</v>
      </c>
      <c r="B2903" t="s">
        <v>24</v>
      </c>
      <c r="C2903" s="1">
        <v>45857.916666666664</v>
      </c>
      <c r="D2903">
        <v>3</v>
      </c>
    </row>
    <row r="2904" spans="1:4" x14ac:dyDescent="0.25">
      <c r="A2904" t="s">
        <v>10</v>
      </c>
      <c r="B2904" t="s">
        <v>52</v>
      </c>
      <c r="C2904" s="1">
        <v>45774</v>
      </c>
      <c r="D2904">
        <v>1</v>
      </c>
    </row>
    <row r="2905" spans="1:4" x14ac:dyDescent="0.25">
      <c r="A2905" t="s">
        <v>9</v>
      </c>
      <c r="B2905" t="s">
        <v>187</v>
      </c>
      <c r="C2905" s="1">
        <v>45794.458333333336</v>
      </c>
      <c r="D2905">
        <v>4</v>
      </c>
    </row>
    <row r="2906" spans="1:4" x14ac:dyDescent="0.25">
      <c r="A2906" t="s">
        <v>10</v>
      </c>
      <c r="B2906" t="s">
        <v>27</v>
      </c>
      <c r="C2906" s="1">
        <v>45870.375</v>
      </c>
      <c r="D2906">
        <v>1</v>
      </c>
    </row>
    <row r="2907" spans="1:4" x14ac:dyDescent="0.25">
      <c r="A2907" t="s">
        <v>90</v>
      </c>
      <c r="B2907" t="s">
        <v>85</v>
      </c>
      <c r="C2907" s="1">
        <v>45878</v>
      </c>
      <c r="D2907">
        <v>35</v>
      </c>
    </row>
    <row r="2908" spans="1:4" x14ac:dyDescent="0.25">
      <c r="A2908" t="s">
        <v>12</v>
      </c>
      <c r="B2908" t="s">
        <v>30</v>
      </c>
      <c r="C2908" s="1">
        <v>45871.59375</v>
      </c>
      <c r="D2908">
        <v>66</v>
      </c>
    </row>
    <row r="2909" spans="1:4" x14ac:dyDescent="0.25">
      <c r="A2909" t="s">
        <v>10</v>
      </c>
      <c r="B2909" t="s">
        <v>50</v>
      </c>
      <c r="C2909" s="1">
        <v>45780.479166666664</v>
      </c>
      <c r="D2909">
        <v>1</v>
      </c>
    </row>
    <row r="2910" spans="1:4" x14ac:dyDescent="0.25">
      <c r="A2910" t="s">
        <v>9</v>
      </c>
      <c r="B2910" t="s">
        <v>332</v>
      </c>
      <c r="C2910" s="1">
        <v>45872.833333333336</v>
      </c>
      <c r="D2910">
        <v>3011</v>
      </c>
    </row>
    <row r="2911" spans="1:4" x14ac:dyDescent="0.25">
      <c r="A2911" t="s">
        <v>9</v>
      </c>
      <c r="B2911" t="s">
        <v>50</v>
      </c>
      <c r="C2911" s="1">
        <v>45869.479166666664</v>
      </c>
      <c r="D2911">
        <v>1</v>
      </c>
    </row>
    <row r="2912" spans="1:4" x14ac:dyDescent="0.25">
      <c r="A2912" t="s">
        <v>90</v>
      </c>
      <c r="B2912" t="s">
        <v>85</v>
      </c>
      <c r="C2912" s="1">
        <v>45854</v>
      </c>
      <c r="D2912">
        <v>193</v>
      </c>
    </row>
    <row r="2913" spans="1:4" x14ac:dyDescent="0.25">
      <c r="A2913" t="s">
        <v>90</v>
      </c>
      <c r="B2913" t="s">
        <v>85</v>
      </c>
      <c r="C2913" s="1">
        <v>45862</v>
      </c>
      <c r="D2913">
        <v>265</v>
      </c>
    </row>
    <row r="2914" spans="1:4" x14ac:dyDescent="0.25">
      <c r="A2914" t="s">
        <v>90</v>
      </c>
      <c r="B2914" t="s">
        <v>85</v>
      </c>
      <c r="C2914" s="1">
        <v>45447</v>
      </c>
      <c r="D2914">
        <v>7</v>
      </c>
    </row>
    <row r="2915" spans="1:4" x14ac:dyDescent="0.25">
      <c r="A2915" t="s">
        <v>9</v>
      </c>
      <c r="B2915" t="s">
        <v>50</v>
      </c>
      <c r="C2915" s="1">
        <v>45861.479166666664</v>
      </c>
      <c r="D2915">
        <v>2</v>
      </c>
    </row>
    <row r="2916" spans="1:4" x14ac:dyDescent="0.25">
      <c r="A2916" t="s">
        <v>90</v>
      </c>
      <c r="B2916" t="s">
        <v>85</v>
      </c>
      <c r="C2916" s="1">
        <v>45858</v>
      </c>
      <c r="D2916">
        <v>43</v>
      </c>
    </row>
    <row r="2917" spans="1:4" x14ac:dyDescent="0.25">
      <c r="A2917" t="s">
        <v>9</v>
      </c>
      <c r="B2917" t="s">
        <v>28</v>
      </c>
      <c r="C2917" s="1">
        <v>45833.541666666664</v>
      </c>
      <c r="D2917">
        <v>1</v>
      </c>
    </row>
    <row r="2918" spans="1:4" x14ac:dyDescent="0.25">
      <c r="A2918" t="s">
        <v>12</v>
      </c>
      <c r="B2918" t="s">
        <v>28</v>
      </c>
      <c r="C2918" s="1">
        <v>45859.541666666664</v>
      </c>
      <c r="D2918">
        <v>8</v>
      </c>
    </row>
    <row r="2919" spans="1:4" x14ac:dyDescent="0.25">
      <c r="A2919" t="s">
        <v>90</v>
      </c>
      <c r="B2919" t="s">
        <v>85</v>
      </c>
      <c r="C2919" s="1">
        <v>45738</v>
      </c>
      <c r="D2919">
        <v>1</v>
      </c>
    </row>
    <row r="2920" spans="1:4" x14ac:dyDescent="0.25">
      <c r="A2920" t="s">
        <v>12</v>
      </c>
      <c r="B2920" t="s">
        <v>54</v>
      </c>
      <c r="C2920" s="1">
        <v>45845.083333333336</v>
      </c>
      <c r="D2920">
        <v>1</v>
      </c>
    </row>
    <row r="2921" spans="1:4" x14ac:dyDescent="0.25">
      <c r="A2921" t="s">
        <v>89</v>
      </c>
      <c r="B2921" t="s">
        <v>61</v>
      </c>
      <c r="C2921" s="1">
        <v>45870.833333333336</v>
      </c>
      <c r="D2921">
        <v>6171</v>
      </c>
    </row>
    <row r="2922" spans="1:4" x14ac:dyDescent="0.25">
      <c r="A2922" t="s">
        <v>89</v>
      </c>
      <c r="B2922" t="s">
        <v>50</v>
      </c>
      <c r="C2922" s="1">
        <v>45784.479166666664</v>
      </c>
      <c r="D2922">
        <v>11</v>
      </c>
    </row>
    <row r="2923" spans="1:4" x14ac:dyDescent="0.25">
      <c r="A2923" t="s">
        <v>12</v>
      </c>
      <c r="B2923" t="s">
        <v>64</v>
      </c>
      <c r="C2923" s="1">
        <v>45859.875</v>
      </c>
      <c r="D2923">
        <v>1</v>
      </c>
    </row>
    <row r="2924" spans="1:4" x14ac:dyDescent="0.25">
      <c r="A2924" t="s">
        <v>10</v>
      </c>
      <c r="B2924" t="s">
        <v>187</v>
      </c>
      <c r="C2924" s="1">
        <v>45801.458333333336</v>
      </c>
      <c r="D2924">
        <v>1</v>
      </c>
    </row>
    <row r="2925" spans="1:4" x14ac:dyDescent="0.25">
      <c r="A2925" t="s">
        <v>9</v>
      </c>
      <c r="B2925" t="s">
        <v>28</v>
      </c>
      <c r="C2925" s="1">
        <v>45845.541666666664</v>
      </c>
      <c r="D2925">
        <v>1</v>
      </c>
    </row>
    <row r="2926" spans="1:4" x14ac:dyDescent="0.25">
      <c r="A2926" t="s">
        <v>9</v>
      </c>
      <c r="B2926" t="s">
        <v>24</v>
      </c>
      <c r="C2926" s="1">
        <v>45846.916666666664</v>
      </c>
      <c r="D2926">
        <v>1</v>
      </c>
    </row>
    <row r="2927" spans="1:4" x14ac:dyDescent="0.25">
      <c r="A2927" t="s">
        <v>90</v>
      </c>
      <c r="B2927" t="s">
        <v>85</v>
      </c>
      <c r="C2927" s="1">
        <v>45290</v>
      </c>
      <c r="D2927">
        <v>1</v>
      </c>
    </row>
    <row r="2928" spans="1:4" x14ac:dyDescent="0.25">
      <c r="A2928" t="s">
        <v>7</v>
      </c>
      <c r="B2928" t="s">
        <v>50</v>
      </c>
      <c r="C2928" s="1">
        <v>45871.479166666664</v>
      </c>
      <c r="D2928">
        <v>74</v>
      </c>
    </row>
    <row r="2929" spans="1:4" x14ac:dyDescent="0.25">
      <c r="A2929" t="s">
        <v>10</v>
      </c>
      <c r="B2929" t="s">
        <v>27</v>
      </c>
      <c r="C2929" s="1">
        <v>45849.375</v>
      </c>
      <c r="D2929">
        <v>2</v>
      </c>
    </row>
    <row r="2930" spans="1:4" x14ac:dyDescent="0.25">
      <c r="A2930" t="s">
        <v>90</v>
      </c>
      <c r="B2930" t="s">
        <v>85</v>
      </c>
      <c r="C2930" s="1">
        <v>45831.666666666664</v>
      </c>
      <c r="D2930">
        <v>2</v>
      </c>
    </row>
    <row r="2931" spans="1:4" x14ac:dyDescent="0.25">
      <c r="A2931" t="s">
        <v>10</v>
      </c>
      <c r="B2931" t="s">
        <v>334</v>
      </c>
      <c r="C2931" s="1">
        <v>45869.458333333336</v>
      </c>
      <c r="D2931">
        <v>12</v>
      </c>
    </row>
    <row r="2932" spans="1:4" x14ac:dyDescent="0.25">
      <c r="A2932" t="s">
        <v>12</v>
      </c>
      <c r="B2932" t="s">
        <v>64</v>
      </c>
      <c r="C2932" s="1">
        <v>45839.875</v>
      </c>
      <c r="D2932">
        <v>1</v>
      </c>
    </row>
    <row r="2933" spans="1:4" x14ac:dyDescent="0.25">
      <c r="A2933" t="s">
        <v>9</v>
      </c>
      <c r="B2933" t="s">
        <v>27</v>
      </c>
      <c r="C2933" s="1">
        <v>45870.375</v>
      </c>
      <c r="D2933">
        <v>2</v>
      </c>
    </row>
    <row r="2934" spans="1:4" x14ac:dyDescent="0.25">
      <c r="A2934" t="s">
        <v>10</v>
      </c>
      <c r="B2934" t="s">
        <v>28</v>
      </c>
      <c r="C2934" s="1">
        <v>45861.541666666664</v>
      </c>
      <c r="D2934">
        <v>7</v>
      </c>
    </row>
    <row r="2935" spans="1:4" x14ac:dyDescent="0.25">
      <c r="A2935" t="s">
        <v>9</v>
      </c>
      <c r="B2935" t="s">
        <v>30</v>
      </c>
      <c r="C2935" s="1">
        <v>45805.458333333336</v>
      </c>
      <c r="D2935">
        <v>1</v>
      </c>
    </row>
    <row r="2936" spans="1:4" x14ac:dyDescent="0.25">
      <c r="A2936" t="s">
        <v>9</v>
      </c>
      <c r="B2936" t="s">
        <v>64</v>
      </c>
      <c r="C2936" s="1">
        <v>45826.875</v>
      </c>
      <c r="D2936">
        <v>6</v>
      </c>
    </row>
    <row r="2937" spans="1:4" x14ac:dyDescent="0.25">
      <c r="A2937" t="s">
        <v>9</v>
      </c>
      <c r="B2937" t="s">
        <v>52</v>
      </c>
      <c r="C2937" s="1">
        <v>45830.958333333336</v>
      </c>
      <c r="D2937">
        <v>5</v>
      </c>
    </row>
    <row r="2938" spans="1:4" x14ac:dyDescent="0.25">
      <c r="A2938" t="s">
        <v>15</v>
      </c>
      <c r="B2938" t="s">
        <v>26</v>
      </c>
      <c r="C2938" s="1">
        <v>45789.666666666664</v>
      </c>
      <c r="D2938">
        <v>1</v>
      </c>
    </row>
    <row r="2939" spans="1:4" x14ac:dyDescent="0.25">
      <c r="A2939" t="s">
        <v>89</v>
      </c>
      <c r="B2939" t="s">
        <v>85</v>
      </c>
      <c r="C2939" s="1">
        <v>45847.666666666664</v>
      </c>
      <c r="D2939">
        <v>37</v>
      </c>
    </row>
    <row r="2940" spans="1:4" x14ac:dyDescent="0.25">
      <c r="A2940" t="s">
        <v>90</v>
      </c>
      <c r="B2940" t="s">
        <v>85</v>
      </c>
      <c r="C2940" s="1">
        <v>45460</v>
      </c>
      <c r="D2940">
        <v>2</v>
      </c>
    </row>
    <row r="2941" spans="1:4" x14ac:dyDescent="0.25">
      <c r="A2941" t="s">
        <v>10</v>
      </c>
      <c r="B2941" t="s">
        <v>52</v>
      </c>
      <c r="C2941" s="1">
        <v>45803</v>
      </c>
      <c r="D2941">
        <v>1</v>
      </c>
    </row>
    <row r="2942" spans="1:4" x14ac:dyDescent="0.25">
      <c r="A2942" t="s">
        <v>7</v>
      </c>
      <c r="B2942" t="s">
        <v>85</v>
      </c>
      <c r="C2942" s="1">
        <v>45759.458333333336</v>
      </c>
      <c r="D2942">
        <v>1</v>
      </c>
    </row>
    <row r="2943" spans="1:4" x14ac:dyDescent="0.25">
      <c r="A2943" t="s">
        <v>9</v>
      </c>
      <c r="B2943" t="s">
        <v>30</v>
      </c>
      <c r="C2943" s="1">
        <v>45817.59375</v>
      </c>
      <c r="D2943">
        <v>2</v>
      </c>
    </row>
    <row r="2944" spans="1:4" x14ac:dyDescent="0.25">
      <c r="A2944" t="s">
        <v>12</v>
      </c>
      <c r="B2944" t="s">
        <v>336</v>
      </c>
      <c r="C2944" s="1">
        <v>45839.833333333336</v>
      </c>
      <c r="D2944">
        <v>1</v>
      </c>
    </row>
    <row r="2945" spans="1:4" x14ac:dyDescent="0.25">
      <c r="A2945" t="s">
        <v>10</v>
      </c>
      <c r="B2945" t="s">
        <v>30</v>
      </c>
      <c r="C2945" s="1">
        <v>45793.59375</v>
      </c>
      <c r="D2945">
        <v>1</v>
      </c>
    </row>
    <row r="2946" spans="1:4" x14ac:dyDescent="0.25">
      <c r="A2946" t="s">
        <v>90</v>
      </c>
      <c r="B2946" t="s">
        <v>85</v>
      </c>
      <c r="C2946" s="1">
        <v>45863.666666666664</v>
      </c>
      <c r="D2946">
        <v>50</v>
      </c>
    </row>
    <row r="2947" spans="1:4" x14ac:dyDescent="0.25">
      <c r="A2947" t="s">
        <v>77</v>
      </c>
      <c r="B2947" t="s">
        <v>54</v>
      </c>
      <c r="C2947" s="1">
        <v>45871.083333333336</v>
      </c>
      <c r="D2947">
        <v>2</v>
      </c>
    </row>
    <row r="2948" spans="1:4" x14ac:dyDescent="0.25">
      <c r="A2948" t="s">
        <v>90</v>
      </c>
      <c r="B2948" t="s">
        <v>85</v>
      </c>
      <c r="C2948" s="1">
        <v>45859.666666666664</v>
      </c>
      <c r="D2948">
        <v>5</v>
      </c>
    </row>
    <row r="2949" spans="1:4" x14ac:dyDescent="0.25">
      <c r="A2949" t="s">
        <v>13</v>
      </c>
      <c r="B2949" t="s">
        <v>30</v>
      </c>
      <c r="C2949" s="1">
        <v>45872.59375</v>
      </c>
      <c r="D2949">
        <v>1</v>
      </c>
    </row>
    <row r="2950" spans="1:4" x14ac:dyDescent="0.25">
      <c r="A2950" t="s">
        <v>12</v>
      </c>
      <c r="B2950" t="s">
        <v>332</v>
      </c>
      <c r="C2950" s="1">
        <v>45837.833333333336</v>
      </c>
      <c r="D2950">
        <v>2</v>
      </c>
    </row>
    <row r="2951" spans="1:4" x14ac:dyDescent="0.25">
      <c r="A2951" t="s">
        <v>89</v>
      </c>
      <c r="B2951" t="s">
        <v>187</v>
      </c>
      <c r="C2951" s="1">
        <v>45871.458333333336</v>
      </c>
      <c r="D2951">
        <v>17889</v>
      </c>
    </row>
    <row r="2952" spans="1:4" x14ac:dyDescent="0.25">
      <c r="A2952" t="s">
        <v>90</v>
      </c>
      <c r="B2952" t="s">
        <v>85</v>
      </c>
      <c r="C2952" s="1">
        <v>45714</v>
      </c>
      <c r="D2952">
        <v>1</v>
      </c>
    </row>
    <row r="2953" spans="1:4" x14ac:dyDescent="0.25">
      <c r="A2953" t="s">
        <v>9</v>
      </c>
      <c r="B2953" t="s">
        <v>44</v>
      </c>
      <c r="C2953" s="1">
        <v>45796.166666666664</v>
      </c>
      <c r="D2953">
        <v>1</v>
      </c>
    </row>
    <row r="2954" spans="1:4" x14ac:dyDescent="0.25">
      <c r="A2954" t="s">
        <v>89</v>
      </c>
      <c r="B2954" t="s">
        <v>30</v>
      </c>
      <c r="C2954" s="1">
        <v>45870.59375</v>
      </c>
      <c r="D2954">
        <v>10</v>
      </c>
    </row>
    <row r="2955" spans="1:4" x14ac:dyDescent="0.25">
      <c r="A2955" t="s">
        <v>10</v>
      </c>
      <c r="B2955" t="s">
        <v>54</v>
      </c>
      <c r="C2955" s="1">
        <v>45808.1875</v>
      </c>
      <c r="D2955">
        <v>1</v>
      </c>
    </row>
    <row r="2956" spans="1:4" x14ac:dyDescent="0.25">
      <c r="A2956" t="s">
        <v>12</v>
      </c>
      <c r="B2956" t="s">
        <v>52</v>
      </c>
      <c r="C2956" s="1">
        <v>45856.958333333336</v>
      </c>
      <c r="D2956">
        <v>1</v>
      </c>
    </row>
    <row r="2957" spans="1:4" x14ac:dyDescent="0.25">
      <c r="A2957" t="s">
        <v>13</v>
      </c>
      <c r="B2957" t="s">
        <v>50</v>
      </c>
      <c r="C2957" s="1">
        <v>45871.479166666664</v>
      </c>
      <c r="D2957">
        <v>701</v>
      </c>
    </row>
    <row r="2958" spans="1:4" x14ac:dyDescent="0.25">
      <c r="A2958" t="s">
        <v>9</v>
      </c>
      <c r="B2958" t="s">
        <v>334</v>
      </c>
      <c r="C2958" s="1">
        <v>45862.458333333336</v>
      </c>
      <c r="D2958">
        <v>1</v>
      </c>
    </row>
    <row r="2959" spans="1:4" x14ac:dyDescent="0.25">
      <c r="A2959" t="s">
        <v>9</v>
      </c>
      <c r="B2959" t="s">
        <v>25</v>
      </c>
      <c r="C2959" s="1">
        <v>45817.083333333336</v>
      </c>
      <c r="D2959">
        <v>1</v>
      </c>
    </row>
    <row r="2960" spans="1:4" x14ac:dyDescent="0.25">
      <c r="A2960" t="s">
        <v>9</v>
      </c>
      <c r="B2960" t="s">
        <v>52</v>
      </c>
      <c r="C2960" s="1">
        <v>45803</v>
      </c>
      <c r="D2960">
        <v>1</v>
      </c>
    </row>
    <row r="2961" spans="1:4" x14ac:dyDescent="0.25">
      <c r="A2961" t="s">
        <v>89</v>
      </c>
      <c r="B2961" t="s">
        <v>333</v>
      </c>
      <c r="C2961" s="1">
        <v>45868.833333333336</v>
      </c>
      <c r="D2961">
        <v>270</v>
      </c>
    </row>
    <row r="2962" spans="1:4" x14ac:dyDescent="0.25">
      <c r="A2962" t="s">
        <v>9</v>
      </c>
      <c r="B2962" t="s">
        <v>61</v>
      </c>
      <c r="C2962" s="1">
        <v>45870.833333333336</v>
      </c>
      <c r="D2962">
        <v>82</v>
      </c>
    </row>
    <row r="2963" spans="1:4" x14ac:dyDescent="0.25">
      <c r="A2963" t="s">
        <v>12</v>
      </c>
      <c r="B2963" t="s">
        <v>50</v>
      </c>
      <c r="C2963" s="1">
        <v>45830.479166666664</v>
      </c>
      <c r="D2963">
        <v>1</v>
      </c>
    </row>
    <row r="2964" spans="1:4" x14ac:dyDescent="0.25">
      <c r="A2964" t="s">
        <v>9</v>
      </c>
      <c r="B2964" t="s">
        <v>25</v>
      </c>
      <c r="C2964" s="1">
        <v>45805.083333333336</v>
      </c>
      <c r="D2964">
        <v>2</v>
      </c>
    </row>
    <row r="2965" spans="1:4" x14ac:dyDescent="0.25">
      <c r="A2965" t="s">
        <v>13</v>
      </c>
      <c r="B2965" t="s">
        <v>26</v>
      </c>
      <c r="C2965" s="1">
        <v>45871.666666666664</v>
      </c>
      <c r="D2965">
        <v>1308</v>
      </c>
    </row>
    <row r="2966" spans="1:4" x14ac:dyDescent="0.25">
      <c r="A2966" t="s">
        <v>10</v>
      </c>
      <c r="B2966" t="s">
        <v>54</v>
      </c>
      <c r="C2966" s="1">
        <v>45860.083333333336</v>
      </c>
      <c r="D2966">
        <v>9</v>
      </c>
    </row>
    <row r="2967" spans="1:4" x14ac:dyDescent="0.25">
      <c r="A2967" t="s">
        <v>89</v>
      </c>
      <c r="B2967" t="s">
        <v>332</v>
      </c>
      <c r="C2967" s="1">
        <v>45872.833333333336</v>
      </c>
      <c r="D2967">
        <v>2921</v>
      </c>
    </row>
    <row r="2968" spans="1:4" x14ac:dyDescent="0.25">
      <c r="A2968" t="s">
        <v>79</v>
      </c>
      <c r="B2968" t="s">
        <v>28</v>
      </c>
      <c r="C2968" s="1">
        <v>45871.541666666664</v>
      </c>
      <c r="D2968">
        <v>335</v>
      </c>
    </row>
    <row r="2969" spans="1:4" x14ac:dyDescent="0.25">
      <c r="A2969" t="s">
        <v>9</v>
      </c>
      <c r="B2969" t="s">
        <v>24</v>
      </c>
      <c r="C2969" s="1">
        <v>45789.916666666664</v>
      </c>
      <c r="D2969">
        <v>1</v>
      </c>
    </row>
    <row r="2970" spans="1:4" x14ac:dyDescent="0.25">
      <c r="A2970" t="s">
        <v>10</v>
      </c>
      <c r="B2970" t="s">
        <v>194</v>
      </c>
      <c r="C2970" s="1">
        <v>45853.708333333336</v>
      </c>
      <c r="D2970">
        <v>1</v>
      </c>
    </row>
    <row r="2971" spans="1:4" x14ac:dyDescent="0.25">
      <c r="A2971" t="s">
        <v>9</v>
      </c>
      <c r="B2971" t="s">
        <v>52</v>
      </c>
      <c r="C2971" s="1">
        <v>45850.958333333336</v>
      </c>
      <c r="D2971">
        <v>1</v>
      </c>
    </row>
    <row r="2972" spans="1:4" x14ac:dyDescent="0.25">
      <c r="A2972" t="s">
        <v>10</v>
      </c>
      <c r="B2972" t="s">
        <v>54</v>
      </c>
      <c r="C2972" s="1">
        <v>45852.083333333336</v>
      </c>
      <c r="D2972">
        <v>1</v>
      </c>
    </row>
    <row r="2973" spans="1:4" x14ac:dyDescent="0.25">
      <c r="A2973" t="s">
        <v>7</v>
      </c>
      <c r="B2973" t="s">
        <v>85</v>
      </c>
      <c r="C2973" s="1">
        <v>45732.1875</v>
      </c>
      <c r="D2973">
        <v>1</v>
      </c>
    </row>
    <row r="2974" spans="1:4" x14ac:dyDescent="0.25">
      <c r="A2974" t="s">
        <v>12</v>
      </c>
      <c r="B2974" t="s">
        <v>28</v>
      </c>
      <c r="C2974" s="1">
        <v>45847.541666666664</v>
      </c>
      <c r="D2974">
        <v>2</v>
      </c>
    </row>
    <row r="2975" spans="1:4" x14ac:dyDescent="0.25">
      <c r="A2975" t="s">
        <v>9</v>
      </c>
      <c r="B2975" t="s">
        <v>54</v>
      </c>
      <c r="C2975" s="1">
        <v>45808.1875</v>
      </c>
      <c r="D2975">
        <v>1</v>
      </c>
    </row>
    <row r="2976" spans="1:4" x14ac:dyDescent="0.25">
      <c r="A2976" t="s">
        <v>9</v>
      </c>
      <c r="B2976" t="s">
        <v>25</v>
      </c>
      <c r="C2976" s="1">
        <v>45781.083333333336</v>
      </c>
      <c r="D2976">
        <v>4</v>
      </c>
    </row>
    <row r="2977" spans="1:4" x14ac:dyDescent="0.25">
      <c r="A2977" t="s">
        <v>9</v>
      </c>
      <c r="B2977" t="s">
        <v>333</v>
      </c>
      <c r="C2977" s="1">
        <v>45763.833333333336</v>
      </c>
      <c r="D2977">
        <v>1</v>
      </c>
    </row>
    <row r="2978" spans="1:4" x14ac:dyDescent="0.25">
      <c r="A2978" t="s">
        <v>9</v>
      </c>
      <c r="B2978" t="s">
        <v>54</v>
      </c>
      <c r="C2978" s="1">
        <v>45832.083333333336</v>
      </c>
      <c r="D2978">
        <v>1</v>
      </c>
    </row>
    <row r="2979" spans="1:4" x14ac:dyDescent="0.25">
      <c r="A2979" t="s">
        <v>9</v>
      </c>
      <c r="B2979" t="s">
        <v>64</v>
      </c>
      <c r="C2979" s="1">
        <v>45808.145833333336</v>
      </c>
      <c r="D2979">
        <v>5</v>
      </c>
    </row>
    <row r="2980" spans="1:4" x14ac:dyDescent="0.25">
      <c r="A2980" t="s">
        <v>9</v>
      </c>
      <c r="B2980" t="s">
        <v>50</v>
      </c>
      <c r="C2980" s="1">
        <v>45780.479166666664</v>
      </c>
      <c r="D2980">
        <v>2</v>
      </c>
    </row>
    <row r="2981" spans="1:4" x14ac:dyDescent="0.25">
      <c r="A2981" t="s">
        <v>15</v>
      </c>
      <c r="B2981" t="s">
        <v>28</v>
      </c>
      <c r="C2981" s="1">
        <v>45871.541666666664</v>
      </c>
      <c r="D2981">
        <v>1</v>
      </c>
    </row>
    <row r="2982" spans="1:4" x14ac:dyDescent="0.25">
      <c r="A2982" t="s">
        <v>89</v>
      </c>
      <c r="B2982" t="s">
        <v>24</v>
      </c>
      <c r="C2982" s="1">
        <v>45826.916666666664</v>
      </c>
      <c r="D2982">
        <v>1</v>
      </c>
    </row>
    <row r="2983" spans="1:4" x14ac:dyDescent="0.25">
      <c r="A2983" t="s">
        <v>9</v>
      </c>
      <c r="B2983" t="s">
        <v>54</v>
      </c>
      <c r="C2983" s="1">
        <v>45844.083333333336</v>
      </c>
      <c r="D2983">
        <v>1</v>
      </c>
    </row>
    <row r="2984" spans="1:4" x14ac:dyDescent="0.25">
      <c r="A2984" t="s">
        <v>90</v>
      </c>
      <c r="B2984" t="s">
        <v>85</v>
      </c>
      <c r="C2984" s="1">
        <v>45847.666666666664</v>
      </c>
      <c r="D2984">
        <v>20</v>
      </c>
    </row>
    <row r="2985" spans="1:4" x14ac:dyDescent="0.25">
      <c r="A2985" t="s">
        <v>9</v>
      </c>
      <c r="B2985" t="s">
        <v>30</v>
      </c>
      <c r="C2985" s="1">
        <v>45793.59375</v>
      </c>
      <c r="D2985">
        <v>1</v>
      </c>
    </row>
    <row r="2986" spans="1:4" x14ac:dyDescent="0.25">
      <c r="A2986" t="s">
        <v>10</v>
      </c>
      <c r="B2986" t="s">
        <v>24</v>
      </c>
      <c r="C2986" s="1">
        <v>45801.916666666664</v>
      </c>
      <c r="D2986">
        <v>1</v>
      </c>
    </row>
    <row r="2987" spans="1:4" x14ac:dyDescent="0.25">
      <c r="A2987" t="s">
        <v>9</v>
      </c>
      <c r="B2987" t="s">
        <v>30</v>
      </c>
      <c r="C2987" s="1">
        <v>45773.59375</v>
      </c>
      <c r="D2987">
        <v>1</v>
      </c>
    </row>
    <row r="2988" spans="1:4" x14ac:dyDescent="0.25">
      <c r="A2988" t="s">
        <v>10</v>
      </c>
      <c r="B2988" t="s">
        <v>30</v>
      </c>
      <c r="C2988" s="1">
        <v>45817.59375</v>
      </c>
      <c r="D2988">
        <v>2</v>
      </c>
    </row>
    <row r="2989" spans="1:4" x14ac:dyDescent="0.25">
      <c r="A2989" t="s">
        <v>12</v>
      </c>
      <c r="B2989" t="s">
        <v>332</v>
      </c>
      <c r="C2989" s="1">
        <v>45865.833333333336</v>
      </c>
      <c r="D2989">
        <v>1</v>
      </c>
    </row>
    <row r="2990" spans="1:4" x14ac:dyDescent="0.25">
      <c r="A2990" t="s">
        <v>13</v>
      </c>
      <c r="B2990" t="s">
        <v>24</v>
      </c>
      <c r="C2990" s="1">
        <v>45871.916666666664</v>
      </c>
      <c r="D2990">
        <v>1146</v>
      </c>
    </row>
    <row r="2991" spans="1:4" x14ac:dyDescent="0.25">
      <c r="A2991" t="s">
        <v>79</v>
      </c>
      <c r="B2991" t="s">
        <v>24</v>
      </c>
      <c r="C2991" s="1">
        <v>45872.916666666664</v>
      </c>
      <c r="D2991">
        <v>7</v>
      </c>
    </row>
    <row r="2992" spans="1:4" x14ac:dyDescent="0.25">
      <c r="A2992" t="s">
        <v>15</v>
      </c>
      <c r="B2992" t="s">
        <v>332</v>
      </c>
      <c r="C2992" s="1">
        <v>45872.833333333336</v>
      </c>
      <c r="D2992">
        <v>125</v>
      </c>
    </row>
    <row r="2993" spans="1:4" x14ac:dyDescent="0.25">
      <c r="A2993" t="s">
        <v>10</v>
      </c>
      <c r="B2993" t="s">
        <v>54</v>
      </c>
      <c r="C2993" s="1">
        <v>45831.083333333336</v>
      </c>
      <c r="D2993">
        <v>2</v>
      </c>
    </row>
    <row r="2994" spans="1:4" x14ac:dyDescent="0.25">
      <c r="A2994" t="s">
        <v>12</v>
      </c>
      <c r="B2994" t="s">
        <v>54</v>
      </c>
      <c r="C2994" s="1">
        <v>45866.083333333336</v>
      </c>
      <c r="D2994">
        <v>5</v>
      </c>
    </row>
    <row r="2995" spans="1:4" x14ac:dyDescent="0.25">
      <c r="A2995" t="s">
        <v>10</v>
      </c>
      <c r="B2995" t="s">
        <v>30</v>
      </c>
      <c r="C2995" s="1">
        <v>45863.59375</v>
      </c>
      <c r="D2995">
        <v>1</v>
      </c>
    </row>
    <row r="2996" spans="1:4" x14ac:dyDescent="0.25">
      <c r="A2996" t="s">
        <v>10</v>
      </c>
      <c r="B2996" t="s">
        <v>335</v>
      </c>
      <c r="C2996" s="1">
        <v>45810.458333333336</v>
      </c>
      <c r="D2996">
        <v>1</v>
      </c>
    </row>
    <row r="2997" spans="1:4" x14ac:dyDescent="0.25">
      <c r="A2997" t="s">
        <v>90</v>
      </c>
      <c r="B2997" t="s">
        <v>85</v>
      </c>
      <c r="C2997" s="1">
        <v>45761</v>
      </c>
      <c r="D2997">
        <v>1</v>
      </c>
    </row>
    <row r="2998" spans="1:4" x14ac:dyDescent="0.25">
      <c r="A2998" t="s">
        <v>10</v>
      </c>
      <c r="B2998" t="s">
        <v>30</v>
      </c>
      <c r="C2998" s="1">
        <v>45871.59375</v>
      </c>
      <c r="D2998">
        <v>193</v>
      </c>
    </row>
    <row r="2999" spans="1:4" x14ac:dyDescent="0.25">
      <c r="A2999" t="s">
        <v>10</v>
      </c>
      <c r="B2999" t="s">
        <v>24</v>
      </c>
      <c r="C2999" s="1">
        <v>45846.916666666664</v>
      </c>
      <c r="D2999">
        <v>1</v>
      </c>
    </row>
    <row r="3000" spans="1:4" x14ac:dyDescent="0.25">
      <c r="A3000" t="s">
        <v>10</v>
      </c>
      <c r="B3000" t="s">
        <v>333</v>
      </c>
      <c r="C3000" s="1">
        <v>45770.833333333336</v>
      </c>
      <c r="D3000">
        <v>1</v>
      </c>
    </row>
    <row r="3001" spans="1:4" x14ac:dyDescent="0.25">
      <c r="A3001" t="s">
        <v>90</v>
      </c>
      <c r="B3001" t="s">
        <v>85</v>
      </c>
      <c r="C3001" s="1">
        <v>45841</v>
      </c>
      <c r="D3001">
        <v>130</v>
      </c>
    </row>
    <row r="3002" spans="1:4" x14ac:dyDescent="0.25">
      <c r="A3002" t="s">
        <v>77</v>
      </c>
      <c r="B3002" t="s">
        <v>28</v>
      </c>
      <c r="C3002" s="1">
        <v>45871.541666666664</v>
      </c>
      <c r="D3002">
        <v>208</v>
      </c>
    </row>
    <row r="3003" spans="1:4" x14ac:dyDescent="0.25">
      <c r="A3003" t="s">
        <v>90</v>
      </c>
      <c r="B3003" t="s">
        <v>85</v>
      </c>
      <c r="C3003" s="1">
        <v>45849</v>
      </c>
      <c r="D3003">
        <v>10</v>
      </c>
    </row>
    <row r="3004" spans="1:4" x14ac:dyDescent="0.25">
      <c r="A3004" t="s">
        <v>7</v>
      </c>
      <c r="B3004" t="s">
        <v>30</v>
      </c>
      <c r="C3004" s="1">
        <v>45872.59375</v>
      </c>
      <c r="D3004">
        <v>291</v>
      </c>
    </row>
    <row r="3005" spans="1:4" x14ac:dyDescent="0.25">
      <c r="A3005" t="s">
        <v>9</v>
      </c>
      <c r="B3005" t="s">
        <v>50</v>
      </c>
      <c r="C3005" s="1">
        <v>45850.479166666664</v>
      </c>
      <c r="D3005">
        <v>1</v>
      </c>
    </row>
    <row r="3006" spans="1:4" x14ac:dyDescent="0.25">
      <c r="A3006" t="s">
        <v>89</v>
      </c>
      <c r="B3006" t="s">
        <v>28</v>
      </c>
      <c r="C3006" s="1">
        <v>45871.541666666664</v>
      </c>
      <c r="D3006">
        <v>1888</v>
      </c>
    </row>
    <row r="3007" spans="1:4" x14ac:dyDescent="0.25">
      <c r="A3007" t="s">
        <v>90</v>
      </c>
      <c r="B3007" t="s">
        <v>85</v>
      </c>
      <c r="C3007" s="1">
        <v>45837</v>
      </c>
      <c r="D3007">
        <v>39</v>
      </c>
    </row>
    <row r="3008" spans="1:4" x14ac:dyDescent="0.25">
      <c r="A3008" t="s">
        <v>9</v>
      </c>
      <c r="B3008" t="s">
        <v>50</v>
      </c>
      <c r="C3008" s="1">
        <v>45838.479166666664</v>
      </c>
      <c r="D3008">
        <v>3</v>
      </c>
    </row>
    <row r="3009" spans="1:4" x14ac:dyDescent="0.25">
      <c r="A3009" t="s">
        <v>9</v>
      </c>
      <c r="B3009" t="s">
        <v>50</v>
      </c>
      <c r="C3009" s="1">
        <v>45830.479166666664</v>
      </c>
      <c r="D3009">
        <v>1</v>
      </c>
    </row>
    <row r="3010" spans="1:4" x14ac:dyDescent="0.25">
      <c r="A3010" t="s">
        <v>9</v>
      </c>
      <c r="B3010" t="s">
        <v>52</v>
      </c>
      <c r="C3010" s="1">
        <v>45774</v>
      </c>
      <c r="D3010">
        <v>1</v>
      </c>
    </row>
    <row r="3011" spans="1:4" x14ac:dyDescent="0.25">
      <c r="A3011" t="s">
        <v>12</v>
      </c>
      <c r="B3011" t="s">
        <v>30</v>
      </c>
      <c r="C3011" s="1">
        <v>45850.59375</v>
      </c>
      <c r="D3011">
        <v>2</v>
      </c>
    </row>
    <row r="3012" spans="1:4" x14ac:dyDescent="0.25">
      <c r="A3012" t="s">
        <v>10</v>
      </c>
      <c r="B3012" t="s">
        <v>335</v>
      </c>
      <c r="C3012" s="1">
        <v>45866.458333333336</v>
      </c>
      <c r="D3012">
        <v>27</v>
      </c>
    </row>
    <row r="3013" spans="1:4" x14ac:dyDescent="0.25">
      <c r="A3013" t="s">
        <v>9</v>
      </c>
      <c r="B3013" t="s">
        <v>54</v>
      </c>
      <c r="C3013" s="1">
        <v>45860.083333333336</v>
      </c>
      <c r="D3013">
        <v>9</v>
      </c>
    </row>
    <row r="3014" spans="1:4" x14ac:dyDescent="0.25">
      <c r="A3014" t="s">
        <v>9</v>
      </c>
      <c r="B3014" t="s">
        <v>24</v>
      </c>
      <c r="C3014" s="1">
        <v>45859.916666666664</v>
      </c>
      <c r="D3014">
        <v>10</v>
      </c>
    </row>
    <row r="3015" spans="1:4" x14ac:dyDescent="0.25">
      <c r="A3015" t="s">
        <v>9</v>
      </c>
      <c r="B3015" t="s">
        <v>54</v>
      </c>
      <c r="C3015" s="1">
        <v>45852.083333333336</v>
      </c>
      <c r="D3015">
        <v>1</v>
      </c>
    </row>
    <row r="3016" spans="1:4" x14ac:dyDescent="0.25">
      <c r="A3016" t="s">
        <v>9</v>
      </c>
      <c r="B3016" t="s">
        <v>187</v>
      </c>
      <c r="C3016" s="1">
        <v>45871.458333333336</v>
      </c>
      <c r="D3016">
        <v>21</v>
      </c>
    </row>
    <row r="3017" spans="1:4" x14ac:dyDescent="0.25">
      <c r="A3017" t="s">
        <v>9</v>
      </c>
      <c r="B3017" t="s">
        <v>194</v>
      </c>
      <c r="C3017" s="1">
        <v>45853.708333333336</v>
      </c>
      <c r="D3017">
        <v>1</v>
      </c>
    </row>
    <row r="3018" spans="1:4" x14ac:dyDescent="0.25">
      <c r="A3018" t="s">
        <v>9</v>
      </c>
      <c r="B3018" t="s">
        <v>30</v>
      </c>
      <c r="C3018" s="1">
        <v>45860.59375</v>
      </c>
      <c r="D3018">
        <v>1</v>
      </c>
    </row>
    <row r="3019" spans="1:4" x14ac:dyDescent="0.25">
      <c r="A3019" t="s">
        <v>10</v>
      </c>
      <c r="B3019" t="s">
        <v>25</v>
      </c>
      <c r="C3019" s="1">
        <v>45786.083333333336</v>
      </c>
      <c r="D3019">
        <v>2</v>
      </c>
    </row>
    <row r="3020" spans="1:4" x14ac:dyDescent="0.25">
      <c r="A3020" t="s">
        <v>90</v>
      </c>
      <c r="B3020" t="s">
        <v>85</v>
      </c>
      <c r="C3020" s="1">
        <v>45410</v>
      </c>
      <c r="D3020">
        <v>1</v>
      </c>
    </row>
    <row r="3021" spans="1:4" x14ac:dyDescent="0.25">
      <c r="A3021" t="s">
        <v>9</v>
      </c>
      <c r="B3021" t="s">
        <v>30</v>
      </c>
      <c r="C3021" s="1">
        <v>45872.59375</v>
      </c>
      <c r="D3021">
        <v>339</v>
      </c>
    </row>
    <row r="3022" spans="1:4" x14ac:dyDescent="0.25">
      <c r="A3022" t="s">
        <v>9</v>
      </c>
      <c r="B3022" t="s">
        <v>30</v>
      </c>
      <c r="C3022" s="1">
        <v>45852.59375</v>
      </c>
      <c r="D3022">
        <v>10</v>
      </c>
    </row>
    <row r="3023" spans="1:4" x14ac:dyDescent="0.25">
      <c r="A3023" t="s">
        <v>10</v>
      </c>
      <c r="B3023" t="s">
        <v>64</v>
      </c>
      <c r="C3023" s="1">
        <v>45808.145833333336</v>
      </c>
      <c r="D3023">
        <v>5</v>
      </c>
    </row>
    <row r="3024" spans="1:4" x14ac:dyDescent="0.25">
      <c r="A3024" t="s">
        <v>90</v>
      </c>
      <c r="B3024" t="s">
        <v>85</v>
      </c>
      <c r="C3024" s="1">
        <v>45414</v>
      </c>
      <c r="D3024">
        <v>4</v>
      </c>
    </row>
    <row r="3025" spans="1:4" x14ac:dyDescent="0.25">
      <c r="A3025" t="s">
        <v>7</v>
      </c>
      <c r="B3025" t="s">
        <v>187</v>
      </c>
      <c r="C3025" s="1">
        <v>45871.458333333336</v>
      </c>
      <c r="D3025">
        <v>10</v>
      </c>
    </row>
    <row r="3026" spans="1:4" x14ac:dyDescent="0.25">
      <c r="A3026" t="s">
        <v>10</v>
      </c>
      <c r="B3026" t="s">
        <v>64</v>
      </c>
      <c r="C3026" s="1">
        <v>45865.875</v>
      </c>
      <c r="D3026">
        <v>1</v>
      </c>
    </row>
    <row r="3027" spans="1:4" x14ac:dyDescent="0.25">
      <c r="A3027" t="s">
        <v>10</v>
      </c>
      <c r="B3027" t="s">
        <v>26</v>
      </c>
      <c r="C3027" s="1">
        <v>45795.666666666664</v>
      </c>
      <c r="D3027">
        <v>2</v>
      </c>
    </row>
    <row r="3028" spans="1:4" x14ac:dyDescent="0.25">
      <c r="A3028" t="s">
        <v>79</v>
      </c>
      <c r="B3028" t="s">
        <v>26</v>
      </c>
      <c r="C3028" s="1">
        <v>45873.666666666664</v>
      </c>
      <c r="D3028">
        <v>2</v>
      </c>
    </row>
    <row r="3029" spans="1:4" x14ac:dyDescent="0.25">
      <c r="A3029" t="s">
        <v>12</v>
      </c>
      <c r="B3029" t="s">
        <v>30</v>
      </c>
      <c r="C3029" s="1">
        <v>45866.59375</v>
      </c>
      <c r="D3029">
        <v>2</v>
      </c>
    </row>
    <row r="3030" spans="1:4" x14ac:dyDescent="0.25">
      <c r="A3030" t="s">
        <v>10</v>
      </c>
      <c r="B3030" t="s">
        <v>52</v>
      </c>
      <c r="C3030" s="1">
        <v>45785</v>
      </c>
      <c r="D3030">
        <v>1</v>
      </c>
    </row>
    <row r="3031" spans="1:4" x14ac:dyDescent="0.25">
      <c r="A3031" t="s">
        <v>10</v>
      </c>
      <c r="B3031" t="s">
        <v>64</v>
      </c>
      <c r="C3031" s="1">
        <v>45861.875</v>
      </c>
      <c r="D3031">
        <v>4</v>
      </c>
    </row>
    <row r="3032" spans="1:4" x14ac:dyDescent="0.25">
      <c r="A3032" t="s">
        <v>13</v>
      </c>
      <c r="B3032" t="s">
        <v>28</v>
      </c>
      <c r="C3032" s="1">
        <v>45872.541666666664</v>
      </c>
      <c r="D3032">
        <v>20</v>
      </c>
    </row>
    <row r="3033" spans="1:4" x14ac:dyDescent="0.25">
      <c r="A3033" t="s">
        <v>90</v>
      </c>
      <c r="B3033" t="s">
        <v>85</v>
      </c>
      <c r="C3033" s="1">
        <v>45865</v>
      </c>
      <c r="D3033">
        <v>72</v>
      </c>
    </row>
    <row r="3034" spans="1:4" x14ac:dyDescent="0.25">
      <c r="A3034" t="s">
        <v>10</v>
      </c>
      <c r="B3034" t="s">
        <v>50</v>
      </c>
      <c r="C3034" s="1">
        <v>45793.479166666664</v>
      </c>
      <c r="D3034">
        <v>4</v>
      </c>
    </row>
    <row r="3035" spans="1:4" x14ac:dyDescent="0.25">
      <c r="A3035" t="s">
        <v>90</v>
      </c>
      <c r="B3035" t="s">
        <v>85</v>
      </c>
      <c r="C3035" s="1">
        <v>45869</v>
      </c>
      <c r="D3035">
        <v>299</v>
      </c>
    </row>
    <row r="3036" spans="1:4" x14ac:dyDescent="0.25">
      <c r="A3036" t="s">
        <v>9</v>
      </c>
      <c r="B3036" t="s">
        <v>336</v>
      </c>
      <c r="C3036" s="1">
        <v>45867.833333333336</v>
      </c>
      <c r="D3036">
        <v>63</v>
      </c>
    </row>
    <row r="3037" spans="1:4" x14ac:dyDescent="0.25">
      <c r="A3037" t="s">
        <v>90</v>
      </c>
      <c r="B3037" t="s">
        <v>85</v>
      </c>
      <c r="C3037" s="1">
        <v>45853</v>
      </c>
      <c r="D3037">
        <v>123</v>
      </c>
    </row>
    <row r="3038" spans="1:4" x14ac:dyDescent="0.25">
      <c r="A3038" t="s">
        <v>9</v>
      </c>
      <c r="B3038" t="s">
        <v>27</v>
      </c>
      <c r="C3038" s="1">
        <v>45849.375</v>
      </c>
      <c r="D3038">
        <v>2</v>
      </c>
    </row>
    <row r="3039" spans="1:4" x14ac:dyDescent="0.25">
      <c r="A3039" t="s">
        <v>90</v>
      </c>
      <c r="B3039" t="s">
        <v>85</v>
      </c>
      <c r="C3039" s="1">
        <v>45861</v>
      </c>
      <c r="D3039">
        <v>87</v>
      </c>
    </row>
    <row r="3040" spans="1:4" x14ac:dyDescent="0.25">
      <c r="A3040" t="s">
        <v>9</v>
      </c>
      <c r="B3040" t="s">
        <v>30</v>
      </c>
      <c r="C3040" s="1">
        <v>45798.458333333336</v>
      </c>
      <c r="D3040">
        <v>4</v>
      </c>
    </row>
    <row r="3041" spans="1:4" x14ac:dyDescent="0.25">
      <c r="A3041" t="s">
        <v>12</v>
      </c>
      <c r="B3041" t="s">
        <v>24</v>
      </c>
      <c r="C3041" s="1">
        <v>45861.916666666664</v>
      </c>
      <c r="D3041">
        <v>1</v>
      </c>
    </row>
    <row r="3042" spans="1:4" x14ac:dyDescent="0.25">
      <c r="A3042" t="s">
        <v>90</v>
      </c>
      <c r="B3042" t="s">
        <v>85</v>
      </c>
      <c r="C3042" s="1">
        <v>45857</v>
      </c>
      <c r="D3042">
        <v>33</v>
      </c>
    </row>
    <row r="3043" spans="1:4" x14ac:dyDescent="0.25">
      <c r="A3043" t="s">
        <v>10</v>
      </c>
      <c r="B3043" t="s">
        <v>44</v>
      </c>
      <c r="C3043" s="1">
        <v>45790.166666666664</v>
      </c>
      <c r="D3043">
        <v>5</v>
      </c>
    </row>
    <row r="3044" spans="1:4" x14ac:dyDescent="0.25">
      <c r="A3044" t="s">
        <v>9</v>
      </c>
      <c r="B3044" t="s">
        <v>27</v>
      </c>
      <c r="C3044" s="1">
        <v>45841.375</v>
      </c>
      <c r="D3044">
        <v>1</v>
      </c>
    </row>
    <row r="3045" spans="1:4" x14ac:dyDescent="0.25">
      <c r="A3045" t="s">
        <v>10</v>
      </c>
      <c r="B3045" t="s">
        <v>61</v>
      </c>
      <c r="C3045" s="1">
        <v>45870.833333333336</v>
      </c>
      <c r="D3045">
        <v>82</v>
      </c>
    </row>
    <row r="3046" spans="1:4" x14ac:dyDescent="0.25">
      <c r="A3046" t="s">
        <v>90</v>
      </c>
      <c r="B3046" t="s">
        <v>85</v>
      </c>
      <c r="C3046" s="1">
        <v>45308.083333333336</v>
      </c>
      <c r="D3046">
        <v>1</v>
      </c>
    </row>
    <row r="3047" spans="1:4" x14ac:dyDescent="0.25">
      <c r="A3047" t="s">
        <v>12</v>
      </c>
      <c r="B3047" t="s">
        <v>27</v>
      </c>
      <c r="C3047" s="1">
        <v>45870.375</v>
      </c>
      <c r="D3047">
        <v>1</v>
      </c>
    </row>
    <row r="3048" spans="1:4" x14ac:dyDescent="0.25">
      <c r="A3048" t="s">
        <v>10</v>
      </c>
      <c r="B3048" t="s">
        <v>54</v>
      </c>
      <c r="C3048" s="1">
        <v>45784.1875</v>
      </c>
      <c r="D3048">
        <v>2</v>
      </c>
    </row>
    <row r="3049" spans="1:4" x14ac:dyDescent="0.25">
      <c r="A3049" t="s">
        <v>90</v>
      </c>
      <c r="B3049" t="s">
        <v>85</v>
      </c>
      <c r="C3049" s="1">
        <v>45729</v>
      </c>
      <c r="D3049">
        <v>3</v>
      </c>
    </row>
    <row r="3050" spans="1:4" x14ac:dyDescent="0.25">
      <c r="A3050" t="s">
        <v>12</v>
      </c>
      <c r="B3050" t="s">
        <v>54</v>
      </c>
      <c r="C3050" s="1">
        <v>45834.083333333336</v>
      </c>
      <c r="D3050">
        <v>1</v>
      </c>
    </row>
    <row r="3051" spans="1:4" x14ac:dyDescent="0.25">
      <c r="A3051" t="s">
        <v>10</v>
      </c>
      <c r="B3051" t="s">
        <v>28</v>
      </c>
      <c r="C3051" s="1">
        <v>45871.541666666664</v>
      </c>
      <c r="D3051">
        <v>56</v>
      </c>
    </row>
    <row r="3052" spans="1:4" x14ac:dyDescent="0.25">
      <c r="A3052" t="s">
        <v>10</v>
      </c>
      <c r="B3052" t="s">
        <v>28</v>
      </c>
      <c r="C3052" s="1">
        <v>45867.541666666664</v>
      </c>
      <c r="D3052">
        <v>4</v>
      </c>
    </row>
    <row r="3053" spans="1:4" x14ac:dyDescent="0.25">
      <c r="A3053" t="s">
        <v>90</v>
      </c>
      <c r="B3053" t="s">
        <v>85</v>
      </c>
      <c r="C3053" s="1">
        <v>45285</v>
      </c>
      <c r="D3053">
        <v>1</v>
      </c>
    </row>
    <row r="3054" spans="1:4" x14ac:dyDescent="0.25">
      <c r="A3054" t="s">
        <v>12</v>
      </c>
      <c r="B3054" t="s">
        <v>64</v>
      </c>
      <c r="C3054" s="1">
        <v>45860.875</v>
      </c>
      <c r="D3054">
        <v>1</v>
      </c>
    </row>
    <row r="3055" spans="1:4" x14ac:dyDescent="0.25">
      <c r="A3055" t="s">
        <v>90</v>
      </c>
      <c r="B3055" t="s">
        <v>85</v>
      </c>
      <c r="C3055" s="1">
        <v>45277</v>
      </c>
      <c r="D3055">
        <v>1</v>
      </c>
    </row>
    <row r="3056" spans="1:4" x14ac:dyDescent="0.25">
      <c r="A3056" t="s">
        <v>9</v>
      </c>
      <c r="B3056" t="s">
        <v>28</v>
      </c>
      <c r="C3056" s="1">
        <v>45848.541666666664</v>
      </c>
      <c r="D3056">
        <v>5</v>
      </c>
    </row>
    <row r="3057" spans="1:4" x14ac:dyDescent="0.25">
      <c r="A3057" t="s">
        <v>90</v>
      </c>
      <c r="B3057" t="s">
        <v>85</v>
      </c>
      <c r="C3057" s="1">
        <v>45297</v>
      </c>
      <c r="D3057">
        <v>1</v>
      </c>
    </row>
    <row r="3058" spans="1:4" x14ac:dyDescent="0.25">
      <c r="A3058" t="s">
        <v>9</v>
      </c>
      <c r="B3058" t="s">
        <v>24</v>
      </c>
      <c r="C3058" s="1">
        <v>45847.916666666664</v>
      </c>
      <c r="D3058">
        <v>12</v>
      </c>
    </row>
    <row r="3059" spans="1:4" x14ac:dyDescent="0.25">
      <c r="A3059" t="s">
        <v>10</v>
      </c>
      <c r="B3059" t="s">
        <v>27</v>
      </c>
      <c r="C3059" s="1">
        <v>45772.375</v>
      </c>
      <c r="D3059">
        <v>134</v>
      </c>
    </row>
    <row r="3060" spans="1:4" x14ac:dyDescent="0.25">
      <c r="A3060" t="s">
        <v>9</v>
      </c>
      <c r="B3060" t="s">
        <v>30</v>
      </c>
      <c r="C3060" s="1">
        <v>45848.59375</v>
      </c>
      <c r="D3060">
        <v>1</v>
      </c>
    </row>
    <row r="3061" spans="1:4" x14ac:dyDescent="0.25">
      <c r="A3061" t="s">
        <v>12</v>
      </c>
      <c r="B3061" t="s">
        <v>26</v>
      </c>
      <c r="C3061" s="1">
        <v>45865.666666666664</v>
      </c>
      <c r="D3061">
        <v>2</v>
      </c>
    </row>
    <row r="3062" spans="1:4" x14ac:dyDescent="0.25">
      <c r="A3062" t="s">
        <v>89</v>
      </c>
      <c r="B3062" t="s">
        <v>335</v>
      </c>
      <c r="C3062" s="1">
        <v>45866.458333333336</v>
      </c>
      <c r="D3062">
        <v>3193</v>
      </c>
    </row>
    <row r="3063" spans="1:4" x14ac:dyDescent="0.25">
      <c r="A3063" t="s">
        <v>90</v>
      </c>
      <c r="B3063" t="s">
        <v>85</v>
      </c>
      <c r="C3063" s="1">
        <v>45664</v>
      </c>
      <c r="D3063">
        <v>2</v>
      </c>
    </row>
    <row r="3064" spans="1:4" x14ac:dyDescent="0.25">
      <c r="A3064" t="s">
        <v>90</v>
      </c>
      <c r="B3064" t="s">
        <v>85</v>
      </c>
      <c r="C3064" s="1">
        <v>45871.541666666664</v>
      </c>
      <c r="D3064">
        <v>49</v>
      </c>
    </row>
    <row r="3065" spans="1:4" x14ac:dyDescent="0.25">
      <c r="A3065" t="s">
        <v>9</v>
      </c>
      <c r="B3065" t="s">
        <v>30</v>
      </c>
      <c r="C3065" s="1">
        <v>45828.59375</v>
      </c>
      <c r="D3065">
        <v>2</v>
      </c>
    </row>
    <row r="3066" spans="1:4" x14ac:dyDescent="0.25">
      <c r="A3066" t="s">
        <v>9</v>
      </c>
      <c r="B3066" t="s">
        <v>64</v>
      </c>
      <c r="C3066" s="1">
        <v>45789.145833333336</v>
      </c>
      <c r="D3066">
        <v>1</v>
      </c>
    </row>
    <row r="3067" spans="1:4" x14ac:dyDescent="0.25">
      <c r="A3067" t="s">
        <v>9</v>
      </c>
      <c r="B3067" t="s">
        <v>64</v>
      </c>
      <c r="C3067" s="1">
        <v>45839.875</v>
      </c>
      <c r="D3067">
        <v>1</v>
      </c>
    </row>
    <row r="3068" spans="1:4" x14ac:dyDescent="0.25">
      <c r="A3068" t="s">
        <v>90</v>
      </c>
      <c r="B3068" t="s">
        <v>85</v>
      </c>
      <c r="C3068" s="1">
        <v>45874.666666666664</v>
      </c>
      <c r="D3068">
        <v>21</v>
      </c>
    </row>
    <row r="3069" spans="1:4" x14ac:dyDescent="0.25">
      <c r="A3069" t="s">
        <v>7</v>
      </c>
      <c r="B3069" t="s">
        <v>85</v>
      </c>
      <c r="C3069" s="1">
        <v>45743.145833333336</v>
      </c>
      <c r="D3069">
        <v>1</v>
      </c>
    </row>
    <row r="3070" spans="1:4" x14ac:dyDescent="0.25">
      <c r="A3070" t="s">
        <v>15</v>
      </c>
      <c r="B3070" t="s">
        <v>50</v>
      </c>
      <c r="C3070" s="1">
        <v>45871.479166666664</v>
      </c>
      <c r="D3070">
        <v>1</v>
      </c>
    </row>
    <row r="3071" spans="1:4" x14ac:dyDescent="0.25">
      <c r="A3071" t="s">
        <v>89</v>
      </c>
      <c r="B3071" t="s">
        <v>85</v>
      </c>
      <c r="C3071" s="1">
        <v>45840.666666666664</v>
      </c>
      <c r="D3071">
        <v>163</v>
      </c>
    </row>
    <row r="3072" spans="1:4" x14ac:dyDescent="0.25">
      <c r="A3072" t="s">
        <v>9</v>
      </c>
      <c r="B3072" t="s">
        <v>332</v>
      </c>
      <c r="C3072" s="1">
        <v>45788.833333333336</v>
      </c>
      <c r="D3072">
        <v>4</v>
      </c>
    </row>
    <row r="3073" spans="1:4" x14ac:dyDescent="0.25">
      <c r="A3073" t="s">
        <v>13</v>
      </c>
      <c r="B3073" t="s">
        <v>30</v>
      </c>
      <c r="C3073" s="1">
        <v>45873.59375</v>
      </c>
      <c r="D3073">
        <v>1</v>
      </c>
    </row>
    <row r="3074" spans="1:4" x14ac:dyDescent="0.25">
      <c r="A3074" t="s">
        <v>90</v>
      </c>
      <c r="B3074" t="s">
        <v>85</v>
      </c>
      <c r="C3074" s="1">
        <v>45870.666666666664</v>
      </c>
      <c r="D3074">
        <v>643</v>
      </c>
    </row>
    <row r="3075" spans="1:4" x14ac:dyDescent="0.25">
      <c r="A3075" t="s">
        <v>7</v>
      </c>
      <c r="B3075" t="s">
        <v>28</v>
      </c>
      <c r="C3075" s="1">
        <v>45871.541666666664</v>
      </c>
      <c r="D3075">
        <v>225</v>
      </c>
    </row>
    <row r="3076" spans="1:4" x14ac:dyDescent="0.25">
      <c r="A3076" t="s">
        <v>90</v>
      </c>
      <c r="B3076" t="s">
        <v>85</v>
      </c>
      <c r="C3076" s="1">
        <v>45481</v>
      </c>
      <c r="D3076">
        <v>5</v>
      </c>
    </row>
    <row r="3077" spans="1:4" x14ac:dyDescent="0.25">
      <c r="A3077" t="s">
        <v>9</v>
      </c>
      <c r="B3077" t="s">
        <v>28</v>
      </c>
      <c r="C3077" s="1">
        <v>45859.541666666664</v>
      </c>
      <c r="D3077">
        <v>8</v>
      </c>
    </row>
    <row r="3078" spans="1:4" x14ac:dyDescent="0.25">
      <c r="A3078" t="s">
        <v>10</v>
      </c>
      <c r="B3078" t="s">
        <v>27</v>
      </c>
      <c r="C3078" s="1">
        <v>45828.375</v>
      </c>
      <c r="D3078">
        <v>29</v>
      </c>
    </row>
    <row r="3079" spans="1:4" x14ac:dyDescent="0.25">
      <c r="A3079" t="s">
        <v>10</v>
      </c>
      <c r="B3079" t="s">
        <v>54</v>
      </c>
      <c r="C3079" s="1">
        <v>45807.1875</v>
      </c>
      <c r="D3079">
        <v>1</v>
      </c>
    </row>
    <row r="3080" spans="1:4" x14ac:dyDescent="0.25">
      <c r="A3080" t="s">
        <v>12</v>
      </c>
      <c r="B3080" t="s">
        <v>64</v>
      </c>
      <c r="C3080" s="1">
        <v>45840.875</v>
      </c>
      <c r="D3080">
        <v>1</v>
      </c>
    </row>
    <row r="3081" spans="1:4" x14ac:dyDescent="0.25">
      <c r="A3081" t="s">
        <v>9</v>
      </c>
      <c r="B3081" t="s">
        <v>334</v>
      </c>
      <c r="C3081" s="1">
        <v>45869.458333333336</v>
      </c>
      <c r="D3081">
        <v>12</v>
      </c>
    </row>
    <row r="3082" spans="1:4" x14ac:dyDescent="0.25">
      <c r="A3082" t="s">
        <v>89</v>
      </c>
      <c r="B3082" t="s">
        <v>30</v>
      </c>
      <c r="C3082" s="1">
        <v>45871.59375</v>
      </c>
      <c r="D3082">
        <v>4318</v>
      </c>
    </row>
    <row r="3083" spans="1:4" x14ac:dyDescent="0.25">
      <c r="A3083" t="s">
        <v>10</v>
      </c>
      <c r="B3083" t="s">
        <v>50</v>
      </c>
      <c r="C3083" s="1">
        <v>45861.479166666664</v>
      </c>
      <c r="D3083">
        <v>2</v>
      </c>
    </row>
    <row r="3084" spans="1:4" x14ac:dyDescent="0.25">
      <c r="A3084" t="s">
        <v>77</v>
      </c>
      <c r="B3084" t="s">
        <v>30</v>
      </c>
      <c r="C3084" s="1">
        <v>45872.59375</v>
      </c>
      <c r="D3084">
        <v>291</v>
      </c>
    </row>
    <row r="3085" spans="1:4" x14ac:dyDescent="0.25">
      <c r="A3085" t="s">
        <v>9</v>
      </c>
      <c r="B3085" t="s">
        <v>44</v>
      </c>
      <c r="C3085" s="1">
        <v>45799.166666666664</v>
      </c>
      <c r="D3085">
        <v>1</v>
      </c>
    </row>
    <row r="3086" spans="1:4" x14ac:dyDescent="0.25">
      <c r="A3086" t="s">
        <v>10</v>
      </c>
      <c r="B3086" t="s">
        <v>30</v>
      </c>
      <c r="C3086" s="1">
        <v>45828.59375</v>
      </c>
      <c r="D3086">
        <v>2</v>
      </c>
    </row>
    <row r="3087" spans="1:4" x14ac:dyDescent="0.25">
      <c r="A3087" t="s">
        <v>90</v>
      </c>
      <c r="B3087" t="s">
        <v>85</v>
      </c>
      <c r="C3087" s="1">
        <v>45211</v>
      </c>
      <c r="D3087">
        <v>3</v>
      </c>
    </row>
    <row r="3088" spans="1:4" x14ac:dyDescent="0.25">
      <c r="A3088" t="s">
        <v>7</v>
      </c>
      <c r="B3088" t="s">
        <v>85</v>
      </c>
      <c r="C3088" s="1">
        <v>45746.833333333336</v>
      </c>
      <c r="D3088">
        <v>1</v>
      </c>
    </row>
    <row r="3089" spans="1:4" x14ac:dyDescent="0.25">
      <c r="A3089" t="s">
        <v>12</v>
      </c>
      <c r="B3089" t="s">
        <v>50</v>
      </c>
      <c r="C3089" s="1">
        <v>45831.479166666664</v>
      </c>
      <c r="D3089">
        <v>1</v>
      </c>
    </row>
    <row r="3090" spans="1:4" x14ac:dyDescent="0.25">
      <c r="A3090" t="s">
        <v>9</v>
      </c>
      <c r="B3090" t="s">
        <v>28</v>
      </c>
      <c r="C3090" s="1">
        <v>45871.541666666664</v>
      </c>
      <c r="D3090">
        <v>57</v>
      </c>
    </row>
    <row r="3091" spans="1:4" x14ac:dyDescent="0.25">
      <c r="A3091" t="s">
        <v>9</v>
      </c>
      <c r="B3091" t="s">
        <v>27</v>
      </c>
      <c r="C3091" s="1">
        <v>45772.375</v>
      </c>
      <c r="D3091">
        <v>134</v>
      </c>
    </row>
    <row r="3092" spans="1:4" x14ac:dyDescent="0.25">
      <c r="A3092" t="s">
        <v>9</v>
      </c>
      <c r="B3092" t="s">
        <v>28</v>
      </c>
      <c r="C3092" s="1">
        <v>45867.541666666664</v>
      </c>
      <c r="D3092">
        <v>4</v>
      </c>
    </row>
    <row r="3093" spans="1:4" x14ac:dyDescent="0.25">
      <c r="A3093" t="s">
        <v>13</v>
      </c>
      <c r="B3093" t="s">
        <v>26</v>
      </c>
      <c r="C3093" s="1">
        <v>45872.666666666664</v>
      </c>
      <c r="D3093">
        <v>16</v>
      </c>
    </row>
    <row r="3094" spans="1:4" x14ac:dyDescent="0.25">
      <c r="A3094" t="s">
        <v>10</v>
      </c>
      <c r="B3094" t="s">
        <v>54</v>
      </c>
      <c r="C3094" s="1">
        <v>45859.083333333336</v>
      </c>
      <c r="D3094">
        <v>3</v>
      </c>
    </row>
    <row r="3095" spans="1:4" x14ac:dyDescent="0.25">
      <c r="A3095" t="s">
        <v>9</v>
      </c>
      <c r="B3095" t="s">
        <v>24</v>
      </c>
      <c r="C3095" s="1">
        <v>45780.916666666664</v>
      </c>
      <c r="D3095">
        <v>1</v>
      </c>
    </row>
    <row r="3096" spans="1:4" x14ac:dyDescent="0.25">
      <c r="A3096" t="s">
        <v>79</v>
      </c>
      <c r="B3096" t="s">
        <v>28</v>
      </c>
      <c r="C3096" s="1">
        <v>45872.541666666664</v>
      </c>
      <c r="D3096">
        <v>20</v>
      </c>
    </row>
    <row r="3097" spans="1:4" x14ac:dyDescent="0.25">
      <c r="A3097" t="s">
        <v>10</v>
      </c>
      <c r="B3097" t="s">
        <v>54</v>
      </c>
      <c r="C3097" s="1">
        <v>45851.083333333336</v>
      </c>
      <c r="D3097">
        <v>10</v>
      </c>
    </row>
    <row r="3098" spans="1:4" x14ac:dyDescent="0.25">
      <c r="A3098" t="s">
        <v>9</v>
      </c>
      <c r="B3098" t="s">
        <v>54</v>
      </c>
      <c r="C3098" s="1">
        <v>45809.1875</v>
      </c>
      <c r="D3098">
        <v>1</v>
      </c>
    </row>
    <row r="3099" spans="1:4" x14ac:dyDescent="0.25">
      <c r="A3099" t="s">
        <v>12</v>
      </c>
      <c r="B3099" t="s">
        <v>30</v>
      </c>
      <c r="C3099" s="1">
        <v>45834.59375</v>
      </c>
      <c r="D3099">
        <v>1</v>
      </c>
    </row>
    <row r="3100" spans="1:4" x14ac:dyDescent="0.25">
      <c r="A3100" t="s">
        <v>9</v>
      </c>
      <c r="B3100" t="s">
        <v>64</v>
      </c>
      <c r="C3100" s="1">
        <v>45859.875</v>
      </c>
      <c r="D3100">
        <v>1</v>
      </c>
    </row>
    <row r="3101" spans="1:4" x14ac:dyDescent="0.25">
      <c r="A3101" t="s">
        <v>10</v>
      </c>
      <c r="B3101" t="s">
        <v>334</v>
      </c>
      <c r="C3101" s="1">
        <v>45820.458333333336</v>
      </c>
      <c r="D3101">
        <v>1</v>
      </c>
    </row>
    <row r="3102" spans="1:4" x14ac:dyDescent="0.25">
      <c r="A3102" t="s">
        <v>10</v>
      </c>
      <c r="B3102" t="s">
        <v>25</v>
      </c>
      <c r="C3102" s="1">
        <v>45834.083333333336</v>
      </c>
      <c r="D3102">
        <v>47</v>
      </c>
    </row>
    <row r="3103" spans="1:4" x14ac:dyDescent="0.25">
      <c r="A3103" t="s">
        <v>10</v>
      </c>
      <c r="B3103" t="s">
        <v>332</v>
      </c>
      <c r="C3103" s="1">
        <v>45858.833333333336</v>
      </c>
      <c r="D3103">
        <v>18</v>
      </c>
    </row>
    <row r="3104" spans="1:4" x14ac:dyDescent="0.25">
      <c r="A3104" t="s">
        <v>7</v>
      </c>
      <c r="B3104" t="s">
        <v>85</v>
      </c>
      <c r="C3104" s="1">
        <v>45751.145833333336</v>
      </c>
      <c r="D3104">
        <v>1</v>
      </c>
    </row>
    <row r="3105" spans="1:4" x14ac:dyDescent="0.25">
      <c r="A3105" t="s">
        <v>9</v>
      </c>
      <c r="B3105" t="s">
        <v>64</v>
      </c>
      <c r="C3105" s="1">
        <v>45855.875</v>
      </c>
      <c r="D3105">
        <v>2</v>
      </c>
    </row>
    <row r="3106" spans="1:4" x14ac:dyDescent="0.25">
      <c r="A3106" t="s">
        <v>10</v>
      </c>
      <c r="B3106" t="s">
        <v>27</v>
      </c>
      <c r="C3106" s="1">
        <v>45800.375</v>
      </c>
      <c r="D3106">
        <v>17</v>
      </c>
    </row>
    <row r="3107" spans="1:4" x14ac:dyDescent="0.25">
      <c r="A3107" t="s">
        <v>90</v>
      </c>
      <c r="B3107" t="s">
        <v>85</v>
      </c>
      <c r="C3107" s="1">
        <v>45640</v>
      </c>
      <c r="D3107">
        <v>7</v>
      </c>
    </row>
    <row r="3108" spans="1:4" x14ac:dyDescent="0.25">
      <c r="A3108" t="s">
        <v>10</v>
      </c>
      <c r="B3108" t="s">
        <v>28</v>
      </c>
      <c r="C3108" s="1">
        <v>45810.541666666664</v>
      </c>
      <c r="D3108">
        <v>1</v>
      </c>
    </row>
    <row r="3109" spans="1:4" x14ac:dyDescent="0.25">
      <c r="A3109" t="s">
        <v>9</v>
      </c>
      <c r="B3109" t="s">
        <v>25</v>
      </c>
      <c r="C3109" s="1">
        <v>45792.083333333336</v>
      </c>
      <c r="D3109">
        <v>1</v>
      </c>
    </row>
    <row r="3110" spans="1:4" x14ac:dyDescent="0.25">
      <c r="A3110" t="s">
        <v>9</v>
      </c>
      <c r="B3110" t="s">
        <v>64</v>
      </c>
      <c r="C3110" s="1">
        <v>45805.145833333336</v>
      </c>
      <c r="D3110">
        <v>1</v>
      </c>
    </row>
    <row r="3111" spans="1:4" x14ac:dyDescent="0.25">
      <c r="A3111" t="s">
        <v>10</v>
      </c>
      <c r="B3111" t="s">
        <v>54</v>
      </c>
      <c r="C3111" s="1">
        <v>45871.083333333336</v>
      </c>
      <c r="D3111">
        <v>6</v>
      </c>
    </row>
    <row r="3112" spans="1:4" x14ac:dyDescent="0.25">
      <c r="A3112" t="s">
        <v>9</v>
      </c>
      <c r="B3112" t="s">
        <v>54</v>
      </c>
      <c r="C3112" s="1">
        <v>45845.083333333336</v>
      </c>
      <c r="D3112">
        <v>1</v>
      </c>
    </row>
    <row r="3113" spans="1:4" x14ac:dyDescent="0.25">
      <c r="A3113" t="s">
        <v>90</v>
      </c>
      <c r="B3113" t="s">
        <v>85</v>
      </c>
      <c r="C3113" s="1">
        <v>45620</v>
      </c>
      <c r="D3113">
        <v>3</v>
      </c>
    </row>
    <row r="3114" spans="1:4" x14ac:dyDescent="0.25">
      <c r="A3114" t="s">
        <v>9</v>
      </c>
      <c r="B3114" t="s">
        <v>50</v>
      </c>
      <c r="C3114" s="1">
        <v>45793.479166666664</v>
      </c>
      <c r="D3114">
        <v>4</v>
      </c>
    </row>
    <row r="3115" spans="1:4" x14ac:dyDescent="0.25">
      <c r="A3115" t="s">
        <v>12</v>
      </c>
      <c r="B3115" t="s">
        <v>30</v>
      </c>
      <c r="C3115" s="1">
        <v>45846.59375</v>
      </c>
      <c r="D3115">
        <v>11</v>
      </c>
    </row>
    <row r="3116" spans="1:4" x14ac:dyDescent="0.25">
      <c r="A3116" t="s">
        <v>79</v>
      </c>
      <c r="B3116" t="s">
        <v>50</v>
      </c>
      <c r="C3116" s="1">
        <v>45871.479166666664</v>
      </c>
      <c r="D3116">
        <v>566</v>
      </c>
    </row>
    <row r="3117" spans="1:4" x14ac:dyDescent="0.25">
      <c r="A3117" t="s">
        <v>90</v>
      </c>
      <c r="B3117" t="s">
        <v>85</v>
      </c>
      <c r="C3117" s="1">
        <v>45854.916666666664</v>
      </c>
      <c r="D3117">
        <v>35</v>
      </c>
    </row>
    <row r="3118" spans="1:4" x14ac:dyDescent="0.25">
      <c r="A3118" t="s">
        <v>90</v>
      </c>
      <c r="B3118" t="s">
        <v>85</v>
      </c>
      <c r="C3118" s="1">
        <v>45390</v>
      </c>
      <c r="D3118">
        <v>7</v>
      </c>
    </row>
    <row r="3119" spans="1:4" x14ac:dyDescent="0.25">
      <c r="A3119" t="s">
        <v>9</v>
      </c>
      <c r="B3119" t="s">
        <v>54</v>
      </c>
      <c r="C3119" s="1">
        <v>45871.083333333336</v>
      </c>
      <c r="D3119">
        <v>6</v>
      </c>
    </row>
    <row r="3120" spans="1:4" x14ac:dyDescent="0.25">
      <c r="A3120" t="s">
        <v>9</v>
      </c>
      <c r="B3120" t="s">
        <v>54</v>
      </c>
      <c r="C3120" s="1">
        <v>45863.083333333336</v>
      </c>
      <c r="D3120">
        <v>2</v>
      </c>
    </row>
    <row r="3121" spans="1:4" x14ac:dyDescent="0.25">
      <c r="A3121" t="s">
        <v>9</v>
      </c>
      <c r="B3121" t="s">
        <v>54</v>
      </c>
      <c r="C3121" s="1">
        <v>45774.1875</v>
      </c>
      <c r="D3121">
        <v>1</v>
      </c>
    </row>
    <row r="3122" spans="1:4" x14ac:dyDescent="0.25">
      <c r="A3122" t="s">
        <v>15</v>
      </c>
      <c r="B3122" t="s">
        <v>30</v>
      </c>
      <c r="C3122" s="1">
        <v>45872.59375</v>
      </c>
      <c r="D3122">
        <v>2</v>
      </c>
    </row>
    <row r="3123" spans="1:4" x14ac:dyDescent="0.25">
      <c r="A3123" t="s">
        <v>9</v>
      </c>
      <c r="B3123" t="s">
        <v>54</v>
      </c>
      <c r="C3123" s="1">
        <v>45794.1875</v>
      </c>
      <c r="D3123">
        <v>1</v>
      </c>
    </row>
    <row r="3124" spans="1:4" x14ac:dyDescent="0.25">
      <c r="A3124" t="s">
        <v>9</v>
      </c>
      <c r="B3124" t="s">
        <v>52</v>
      </c>
      <c r="C3124" s="1">
        <v>45785</v>
      </c>
      <c r="D3124">
        <v>1</v>
      </c>
    </row>
    <row r="3125" spans="1:4" x14ac:dyDescent="0.25">
      <c r="A3125" t="s">
        <v>90</v>
      </c>
      <c r="B3125" t="s">
        <v>85</v>
      </c>
      <c r="C3125" s="1">
        <v>45856.479166666664</v>
      </c>
      <c r="D3125">
        <v>34</v>
      </c>
    </row>
    <row r="3126" spans="1:4" x14ac:dyDescent="0.25">
      <c r="A3126" t="s">
        <v>10</v>
      </c>
      <c r="B3126" t="s">
        <v>54</v>
      </c>
      <c r="C3126" s="1">
        <v>45822.083333333336</v>
      </c>
      <c r="D3126">
        <v>7</v>
      </c>
    </row>
    <row r="3127" spans="1:4" x14ac:dyDescent="0.25">
      <c r="A3127" t="s">
        <v>90</v>
      </c>
      <c r="B3127" t="s">
        <v>85</v>
      </c>
      <c r="C3127" s="1">
        <v>45784</v>
      </c>
      <c r="D3127">
        <v>2</v>
      </c>
    </row>
    <row r="3128" spans="1:4" x14ac:dyDescent="0.25">
      <c r="A3128" t="s">
        <v>9</v>
      </c>
      <c r="B3128" t="s">
        <v>54</v>
      </c>
      <c r="C3128" s="1">
        <v>45790.1875</v>
      </c>
      <c r="D3128">
        <v>1</v>
      </c>
    </row>
    <row r="3129" spans="1:4" x14ac:dyDescent="0.25">
      <c r="A3129" t="s">
        <v>10</v>
      </c>
      <c r="B3129" t="s">
        <v>30</v>
      </c>
      <c r="C3129" s="1">
        <v>45852.59375</v>
      </c>
      <c r="D3129">
        <v>10</v>
      </c>
    </row>
    <row r="3130" spans="1:4" x14ac:dyDescent="0.25">
      <c r="A3130" t="s">
        <v>9</v>
      </c>
      <c r="B3130" t="s">
        <v>26</v>
      </c>
      <c r="C3130" s="1">
        <v>45785.666666666664</v>
      </c>
      <c r="D3130">
        <v>1</v>
      </c>
    </row>
    <row r="3131" spans="1:4" x14ac:dyDescent="0.25">
      <c r="A3131" t="s">
        <v>9</v>
      </c>
      <c r="B3131" t="s">
        <v>26</v>
      </c>
      <c r="C3131" s="1">
        <v>45789.666666666664</v>
      </c>
      <c r="D3131">
        <v>1</v>
      </c>
    </row>
    <row r="3132" spans="1:4" x14ac:dyDescent="0.25">
      <c r="A3132" t="s">
        <v>10</v>
      </c>
      <c r="B3132" t="s">
        <v>30</v>
      </c>
      <c r="C3132" s="1">
        <v>45872.59375</v>
      </c>
      <c r="D3132">
        <v>220</v>
      </c>
    </row>
    <row r="3133" spans="1:4" x14ac:dyDescent="0.25">
      <c r="A3133" t="s">
        <v>90</v>
      </c>
      <c r="B3133" t="s">
        <v>85</v>
      </c>
      <c r="C3133" s="1">
        <v>45752</v>
      </c>
      <c r="D3133">
        <v>1</v>
      </c>
    </row>
    <row r="3134" spans="1:4" x14ac:dyDescent="0.25">
      <c r="A3134" t="s">
        <v>12</v>
      </c>
      <c r="B3134" t="s">
        <v>54</v>
      </c>
      <c r="C3134" s="1">
        <v>45863.083333333336</v>
      </c>
      <c r="D3134">
        <v>2</v>
      </c>
    </row>
    <row r="3135" spans="1:4" x14ac:dyDescent="0.25">
      <c r="A3135" t="s">
        <v>7</v>
      </c>
      <c r="B3135" t="s">
        <v>332</v>
      </c>
      <c r="C3135" s="1">
        <v>45872.833333333336</v>
      </c>
      <c r="D3135">
        <v>30297</v>
      </c>
    </row>
    <row r="3136" spans="1:4" x14ac:dyDescent="0.25">
      <c r="A3136" t="s">
        <v>7</v>
      </c>
      <c r="B3136" t="s">
        <v>30</v>
      </c>
      <c r="C3136" s="1">
        <v>45871.59375</v>
      </c>
      <c r="D3136">
        <v>254</v>
      </c>
    </row>
    <row r="3137" spans="1:4" x14ac:dyDescent="0.25">
      <c r="A3137" t="s">
        <v>90</v>
      </c>
      <c r="B3137" t="s">
        <v>85</v>
      </c>
      <c r="C3137" s="1">
        <v>45848</v>
      </c>
      <c r="D3137">
        <v>35</v>
      </c>
    </row>
    <row r="3138" spans="1:4" x14ac:dyDescent="0.25">
      <c r="A3138" t="s">
        <v>90</v>
      </c>
      <c r="B3138" t="s">
        <v>85</v>
      </c>
      <c r="C3138" s="1">
        <v>45836</v>
      </c>
      <c r="D3138">
        <v>85</v>
      </c>
    </row>
    <row r="3139" spans="1:4" x14ac:dyDescent="0.25">
      <c r="A3139" t="s">
        <v>9</v>
      </c>
      <c r="B3139" t="s">
        <v>50</v>
      </c>
      <c r="C3139" s="1">
        <v>45831.479166666664</v>
      </c>
      <c r="D3139">
        <v>1</v>
      </c>
    </row>
    <row r="3140" spans="1:4" x14ac:dyDescent="0.25">
      <c r="A3140" t="s">
        <v>10</v>
      </c>
      <c r="B3140" t="s">
        <v>28</v>
      </c>
      <c r="C3140" s="1">
        <v>45786.541666666664</v>
      </c>
      <c r="D3140">
        <v>11</v>
      </c>
    </row>
    <row r="3141" spans="1:4" x14ac:dyDescent="0.25">
      <c r="A3141" t="s">
        <v>9</v>
      </c>
      <c r="B3141" t="s">
        <v>27</v>
      </c>
      <c r="C3141" s="1">
        <v>45800.375</v>
      </c>
      <c r="D3141">
        <v>17</v>
      </c>
    </row>
    <row r="3142" spans="1:4" x14ac:dyDescent="0.25">
      <c r="A3142" t="s">
        <v>9</v>
      </c>
      <c r="B3142" t="s">
        <v>54</v>
      </c>
      <c r="C3142" s="1">
        <v>45859.083333333336</v>
      </c>
      <c r="D3142">
        <v>3</v>
      </c>
    </row>
    <row r="3143" spans="1:4" x14ac:dyDescent="0.25">
      <c r="A3143" t="s">
        <v>9</v>
      </c>
      <c r="B3143" t="s">
        <v>50</v>
      </c>
      <c r="C3143" s="1">
        <v>45815.479166666664</v>
      </c>
      <c r="D3143">
        <v>3</v>
      </c>
    </row>
    <row r="3144" spans="1:4" x14ac:dyDescent="0.25">
      <c r="A3144" t="s">
        <v>9</v>
      </c>
      <c r="B3144" t="s">
        <v>54</v>
      </c>
      <c r="C3144" s="1">
        <v>45851.083333333336</v>
      </c>
      <c r="D3144">
        <v>10</v>
      </c>
    </row>
    <row r="3145" spans="1:4" x14ac:dyDescent="0.25">
      <c r="A3145" t="s">
        <v>10</v>
      </c>
      <c r="B3145" t="s">
        <v>334</v>
      </c>
      <c r="C3145" s="1">
        <v>45799.458333333336</v>
      </c>
      <c r="D3145">
        <v>6</v>
      </c>
    </row>
    <row r="3146" spans="1:4" x14ac:dyDescent="0.25">
      <c r="A3146" t="s">
        <v>13</v>
      </c>
      <c r="B3146" t="s">
        <v>50</v>
      </c>
      <c r="C3146" s="1">
        <v>45873.479166666664</v>
      </c>
      <c r="D3146">
        <v>2</v>
      </c>
    </row>
    <row r="3147" spans="1:4" x14ac:dyDescent="0.25">
      <c r="A3147" t="s">
        <v>9</v>
      </c>
      <c r="B3147" t="s">
        <v>30</v>
      </c>
      <c r="C3147" s="1">
        <v>45863.59375</v>
      </c>
      <c r="D3147">
        <v>1</v>
      </c>
    </row>
    <row r="3148" spans="1:4" x14ac:dyDescent="0.25">
      <c r="A3148" t="s">
        <v>10</v>
      </c>
      <c r="B3148" t="s">
        <v>52</v>
      </c>
      <c r="C3148" s="1">
        <v>45768</v>
      </c>
      <c r="D3148">
        <v>1</v>
      </c>
    </row>
    <row r="3149" spans="1:4" x14ac:dyDescent="0.25">
      <c r="A3149" t="s">
        <v>10</v>
      </c>
      <c r="B3149" t="s">
        <v>24</v>
      </c>
      <c r="C3149" s="1">
        <v>45859.916666666664</v>
      </c>
      <c r="D3149">
        <v>10</v>
      </c>
    </row>
    <row r="3150" spans="1:4" x14ac:dyDescent="0.25">
      <c r="A3150" t="s">
        <v>9</v>
      </c>
      <c r="B3150" t="s">
        <v>30</v>
      </c>
      <c r="C3150" s="1">
        <v>45871.59375</v>
      </c>
      <c r="D3150">
        <v>300</v>
      </c>
    </row>
    <row r="3151" spans="1:4" x14ac:dyDescent="0.25">
      <c r="A3151" t="s">
        <v>10</v>
      </c>
      <c r="B3151" t="s">
        <v>64</v>
      </c>
      <c r="C3151" s="1">
        <v>45805.145833333336</v>
      </c>
      <c r="D3151">
        <v>1</v>
      </c>
    </row>
    <row r="3152" spans="1:4" x14ac:dyDescent="0.25">
      <c r="A3152" t="s">
        <v>90</v>
      </c>
      <c r="B3152" t="s">
        <v>85</v>
      </c>
      <c r="C3152" s="1">
        <v>45876</v>
      </c>
      <c r="D3152">
        <v>15</v>
      </c>
    </row>
    <row r="3153" spans="1:4" x14ac:dyDescent="0.25">
      <c r="A3153" t="s">
        <v>89</v>
      </c>
      <c r="B3153" t="s">
        <v>64</v>
      </c>
      <c r="C3153" s="1">
        <v>45806.145833333336</v>
      </c>
      <c r="D3153">
        <v>90</v>
      </c>
    </row>
    <row r="3154" spans="1:4" x14ac:dyDescent="0.25">
      <c r="A3154" t="s">
        <v>77</v>
      </c>
      <c r="B3154" t="s">
        <v>332</v>
      </c>
      <c r="C3154" s="1">
        <v>45872.833333333336</v>
      </c>
      <c r="D3154">
        <v>30010</v>
      </c>
    </row>
    <row r="3155" spans="1:4" x14ac:dyDescent="0.25">
      <c r="A3155" t="s">
        <v>10</v>
      </c>
      <c r="B3155" t="s">
        <v>64</v>
      </c>
      <c r="C3155" s="1">
        <v>45864.875</v>
      </c>
      <c r="D3155">
        <v>2</v>
      </c>
    </row>
    <row r="3156" spans="1:4" x14ac:dyDescent="0.25">
      <c r="A3156" t="s">
        <v>10</v>
      </c>
      <c r="B3156" t="s">
        <v>25</v>
      </c>
      <c r="C3156" s="1">
        <v>45791.083333333336</v>
      </c>
      <c r="D3156">
        <v>1</v>
      </c>
    </row>
    <row r="3157" spans="1:4" x14ac:dyDescent="0.25">
      <c r="A3157" t="s">
        <v>12</v>
      </c>
      <c r="B3157" t="s">
        <v>30</v>
      </c>
      <c r="C3157" s="1">
        <v>45865.59375</v>
      </c>
      <c r="D3157">
        <v>8</v>
      </c>
    </row>
    <row r="3158" spans="1:4" x14ac:dyDescent="0.25">
      <c r="A3158" t="s">
        <v>10</v>
      </c>
      <c r="B3158" t="s">
        <v>64</v>
      </c>
      <c r="C3158" s="1">
        <v>45860.875</v>
      </c>
      <c r="D3158">
        <v>1</v>
      </c>
    </row>
    <row r="3159" spans="1:4" x14ac:dyDescent="0.25">
      <c r="A3159" t="s">
        <v>79</v>
      </c>
      <c r="B3159" t="s">
        <v>26</v>
      </c>
      <c r="C3159" s="1">
        <v>45872.666666666664</v>
      </c>
      <c r="D3159">
        <v>15</v>
      </c>
    </row>
    <row r="3160" spans="1:4" x14ac:dyDescent="0.25">
      <c r="A3160" t="s">
        <v>90</v>
      </c>
      <c r="B3160" t="s">
        <v>85</v>
      </c>
      <c r="C3160" s="1">
        <v>45868</v>
      </c>
      <c r="D3160">
        <v>59</v>
      </c>
    </row>
    <row r="3161" spans="1:4" x14ac:dyDescent="0.25">
      <c r="A3161" t="s">
        <v>10</v>
      </c>
      <c r="B3161" t="s">
        <v>333</v>
      </c>
      <c r="C3161" s="1">
        <v>45861.833333333336</v>
      </c>
      <c r="D3161">
        <v>2</v>
      </c>
    </row>
    <row r="3162" spans="1:4" x14ac:dyDescent="0.25">
      <c r="A3162" t="s">
        <v>90</v>
      </c>
      <c r="B3162" t="s">
        <v>85</v>
      </c>
      <c r="C3162" s="1">
        <v>45864</v>
      </c>
      <c r="D3162">
        <v>80</v>
      </c>
    </row>
    <row r="3163" spans="1:4" x14ac:dyDescent="0.25">
      <c r="A3163" t="s">
        <v>13</v>
      </c>
      <c r="B3163" t="s">
        <v>28</v>
      </c>
      <c r="C3163" s="1">
        <v>45871.541666666664</v>
      </c>
      <c r="D3163">
        <v>368</v>
      </c>
    </row>
    <row r="3164" spans="1:4" x14ac:dyDescent="0.25">
      <c r="A3164" t="s">
        <v>9</v>
      </c>
      <c r="B3164" t="s">
        <v>334</v>
      </c>
      <c r="C3164" s="1">
        <v>45820.458333333336</v>
      </c>
      <c r="D3164">
        <v>1</v>
      </c>
    </row>
    <row r="3165" spans="1:4" x14ac:dyDescent="0.25">
      <c r="A3165" t="s">
        <v>12</v>
      </c>
      <c r="B3165" t="s">
        <v>24</v>
      </c>
      <c r="C3165" s="1">
        <v>45850.916666666664</v>
      </c>
      <c r="D3165">
        <v>2</v>
      </c>
    </row>
    <row r="3166" spans="1:4" x14ac:dyDescent="0.25">
      <c r="A3166" t="s">
        <v>10</v>
      </c>
      <c r="B3166" t="s">
        <v>50</v>
      </c>
      <c r="C3166" s="1">
        <v>45790.479166666664</v>
      </c>
      <c r="D3166">
        <v>9</v>
      </c>
    </row>
    <row r="3167" spans="1:4" x14ac:dyDescent="0.25">
      <c r="A3167" t="s">
        <v>9</v>
      </c>
      <c r="B3167" t="s">
        <v>50</v>
      </c>
      <c r="C3167" s="1">
        <v>45871.479166666664</v>
      </c>
      <c r="D3167">
        <v>387</v>
      </c>
    </row>
    <row r="3168" spans="1:4" x14ac:dyDescent="0.25">
      <c r="A3168" t="s">
        <v>90</v>
      </c>
      <c r="B3168" t="s">
        <v>85</v>
      </c>
      <c r="C3168" s="1">
        <v>45856</v>
      </c>
      <c r="D3168">
        <v>145</v>
      </c>
    </row>
    <row r="3169" spans="1:4" x14ac:dyDescent="0.25">
      <c r="A3169" t="s">
        <v>10</v>
      </c>
      <c r="B3169" t="s">
        <v>30</v>
      </c>
      <c r="C3169" s="1">
        <v>45774.59375</v>
      </c>
      <c r="D3169">
        <v>1</v>
      </c>
    </row>
    <row r="3170" spans="1:4" x14ac:dyDescent="0.25">
      <c r="A3170" t="s">
        <v>9</v>
      </c>
      <c r="B3170" t="s">
        <v>332</v>
      </c>
      <c r="C3170" s="1">
        <v>45858.833333333336</v>
      </c>
      <c r="D3170">
        <v>19</v>
      </c>
    </row>
    <row r="3171" spans="1:4" x14ac:dyDescent="0.25">
      <c r="A3171" t="s">
        <v>90</v>
      </c>
      <c r="B3171" t="s">
        <v>85</v>
      </c>
      <c r="C3171" s="1">
        <v>45260</v>
      </c>
      <c r="D3171">
        <v>1</v>
      </c>
    </row>
    <row r="3172" spans="1:4" x14ac:dyDescent="0.25">
      <c r="A3172" t="s">
        <v>9</v>
      </c>
      <c r="B3172" t="s">
        <v>27</v>
      </c>
      <c r="C3172" s="1">
        <v>45828.375</v>
      </c>
      <c r="D3172">
        <v>36</v>
      </c>
    </row>
    <row r="3173" spans="1:4" x14ac:dyDescent="0.25">
      <c r="A3173" t="s">
        <v>7</v>
      </c>
      <c r="B3173" t="s">
        <v>85</v>
      </c>
      <c r="C3173" s="1">
        <v>45745.458333333336</v>
      </c>
      <c r="D3173">
        <v>1</v>
      </c>
    </row>
    <row r="3174" spans="1:4" x14ac:dyDescent="0.25">
      <c r="A3174" t="s">
        <v>90</v>
      </c>
      <c r="B3174" t="s">
        <v>85</v>
      </c>
      <c r="C3174" s="1">
        <v>45276</v>
      </c>
      <c r="D3174">
        <v>1</v>
      </c>
    </row>
    <row r="3175" spans="1:4" x14ac:dyDescent="0.25">
      <c r="A3175" t="s">
        <v>12</v>
      </c>
      <c r="B3175" t="s">
        <v>54</v>
      </c>
      <c r="C3175" s="1">
        <v>45835.083333333336</v>
      </c>
      <c r="D3175">
        <v>7</v>
      </c>
    </row>
    <row r="3176" spans="1:4" x14ac:dyDescent="0.25">
      <c r="A3176" t="s">
        <v>10</v>
      </c>
      <c r="B3176" t="s">
        <v>52</v>
      </c>
      <c r="C3176" s="1">
        <v>45788</v>
      </c>
      <c r="D3176">
        <v>1</v>
      </c>
    </row>
    <row r="3177" spans="1:4" x14ac:dyDescent="0.25">
      <c r="A3177" t="s">
        <v>9</v>
      </c>
      <c r="B3177" t="s">
        <v>24</v>
      </c>
      <c r="C3177" s="1">
        <v>45832.916666666664</v>
      </c>
      <c r="D3177">
        <v>2</v>
      </c>
    </row>
    <row r="3178" spans="1:4" x14ac:dyDescent="0.25">
      <c r="A3178" t="s">
        <v>12</v>
      </c>
      <c r="B3178" t="s">
        <v>64</v>
      </c>
      <c r="C3178" s="1">
        <v>45861.875</v>
      </c>
      <c r="D3178">
        <v>1</v>
      </c>
    </row>
    <row r="3179" spans="1:4" x14ac:dyDescent="0.25">
      <c r="A3179" t="s">
        <v>7</v>
      </c>
      <c r="B3179" t="s">
        <v>85</v>
      </c>
      <c r="C3179" s="1">
        <v>45746.166666666664</v>
      </c>
      <c r="D3179">
        <v>1</v>
      </c>
    </row>
    <row r="3180" spans="1:4" x14ac:dyDescent="0.25">
      <c r="A3180" t="s">
        <v>10</v>
      </c>
      <c r="B3180" t="s">
        <v>50</v>
      </c>
      <c r="C3180" s="1">
        <v>45762.479166666664</v>
      </c>
      <c r="D3180">
        <v>3</v>
      </c>
    </row>
    <row r="3181" spans="1:4" x14ac:dyDescent="0.25">
      <c r="A3181" t="s">
        <v>90</v>
      </c>
      <c r="B3181" t="s">
        <v>85</v>
      </c>
      <c r="C3181" s="1">
        <v>45296</v>
      </c>
      <c r="D3181">
        <v>1</v>
      </c>
    </row>
    <row r="3182" spans="1:4" x14ac:dyDescent="0.25">
      <c r="A3182" t="s">
        <v>9</v>
      </c>
      <c r="B3182" t="s">
        <v>28</v>
      </c>
      <c r="C3182" s="1">
        <v>45847.541666666664</v>
      </c>
      <c r="D3182">
        <v>2</v>
      </c>
    </row>
    <row r="3183" spans="1:4" x14ac:dyDescent="0.25">
      <c r="A3183" t="s">
        <v>9</v>
      </c>
      <c r="B3183" t="s">
        <v>24</v>
      </c>
      <c r="C3183" s="1">
        <v>45848.916666666664</v>
      </c>
      <c r="D3183">
        <v>6</v>
      </c>
    </row>
    <row r="3184" spans="1:4" x14ac:dyDescent="0.25">
      <c r="A3184" t="s">
        <v>10</v>
      </c>
      <c r="B3184" t="s">
        <v>30</v>
      </c>
      <c r="C3184" s="1">
        <v>45798.458333333336</v>
      </c>
      <c r="D3184">
        <v>4</v>
      </c>
    </row>
    <row r="3185" spans="1:4" x14ac:dyDescent="0.25">
      <c r="A3185" t="s">
        <v>90</v>
      </c>
      <c r="B3185" t="s">
        <v>85</v>
      </c>
      <c r="C3185" s="1">
        <v>45821.666666666664</v>
      </c>
      <c r="D3185">
        <v>2</v>
      </c>
    </row>
    <row r="3186" spans="1:4" x14ac:dyDescent="0.25">
      <c r="A3186" t="s">
        <v>90</v>
      </c>
      <c r="B3186" t="s">
        <v>85</v>
      </c>
      <c r="C3186" s="1">
        <v>45683</v>
      </c>
      <c r="D3186">
        <v>5</v>
      </c>
    </row>
    <row r="3187" spans="1:4" x14ac:dyDescent="0.25">
      <c r="A3187" t="s">
        <v>9</v>
      </c>
      <c r="B3187" t="s">
        <v>332</v>
      </c>
      <c r="C3187" s="1">
        <v>45837.833333333336</v>
      </c>
      <c r="D3187">
        <v>3</v>
      </c>
    </row>
    <row r="3188" spans="1:4" x14ac:dyDescent="0.25">
      <c r="A3188" t="s">
        <v>9</v>
      </c>
      <c r="B3188" t="s">
        <v>336</v>
      </c>
      <c r="C3188" s="1">
        <v>45839.833333333336</v>
      </c>
      <c r="D3188">
        <v>2</v>
      </c>
    </row>
    <row r="3189" spans="1:4" x14ac:dyDescent="0.25">
      <c r="A3189" t="s">
        <v>10</v>
      </c>
      <c r="B3189" t="s">
        <v>332</v>
      </c>
      <c r="C3189" s="1">
        <v>45788.833333333336</v>
      </c>
      <c r="D3189">
        <v>4</v>
      </c>
    </row>
    <row r="3190" spans="1:4" x14ac:dyDescent="0.25">
      <c r="A3190" t="s">
        <v>9</v>
      </c>
      <c r="B3190" t="s">
        <v>30</v>
      </c>
      <c r="C3190" s="1">
        <v>45843.59375</v>
      </c>
      <c r="D3190">
        <v>1</v>
      </c>
    </row>
    <row r="3191" spans="1:4" x14ac:dyDescent="0.25">
      <c r="A3191" t="s">
        <v>10</v>
      </c>
      <c r="B3191" t="s">
        <v>336</v>
      </c>
      <c r="C3191" s="1">
        <v>45790.833333333336</v>
      </c>
      <c r="D3191">
        <v>3</v>
      </c>
    </row>
    <row r="3192" spans="1:4" x14ac:dyDescent="0.25">
      <c r="A3192" t="s">
        <v>9</v>
      </c>
      <c r="B3192" t="s">
        <v>64</v>
      </c>
      <c r="C3192" s="1">
        <v>45840.875</v>
      </c>
      <c r="D3192">
        <v>1</v>
      </c>
    </row>
    <row r="3193" spans="1:4" x14ac:dyDescent="0.25">
      <c r="A3193" t="s">
        <v>7</v>
      </c>
      <c r="B3193" t="s">
        <v>85</v>
      </c>
      <c r="C3193" s="1">
        <v>45777.458333333336</v>
      </c>
      <c r="D3193">
        <v>2</v>
      </c>
    </row>
    <row r="3194" spans="1:4" x14ac:dyDescent="0.25">
      <c r="A3194" t="s">
        <v>89</v>
      </c>
      <c r="B3194" t="s">
        <v>54</v>
      </c>
      <c r="C3194" s="1">
        <v>45871.083333333336</v>
      </c>
      <c r="D3194">
        <v>2750</v>
      </c>
    </row>
    <row r="3195" spans="1:4" x14ac:dyDescent="0.25">
      <c r="A3195" t="s">
        <v>90</v>
      </c>
      <c r="B3195" t="s">
        <v>85</v>
      </c>
      <c r="C3195" s="1">
        <v>45873.666666666664</v>
      </c>
      <c r="D3195">
        <v>264</v>
      </c>
    </row>
    <row r="3196" spans="1:4" x14ac:dyDescent="0.25">
      <c r="A3196" t="s">
        <v>10</v>
      </c>
      <c r="B3196" t="s">
        <v>27</v>
      </c>
      <c r="C3196" s="1">
        <v>45807.375</v>
      </c>
      <c r="D3196">
        <v>1</v>
      </c>
    </row>
    <row r="3197" spans="1:4" x14ac:dyDescent="0.25">
      <c r="A3197" t="s">
        <v>9</v>
      </c>
      <c r="B3197" t="s">
        <v>44</v>
      </c>
      <c r="C3197" s="1">
        <v>45790.166666666664</v>
      </c>
      <c r="D3197">
        <v>5</v>
      </c>
    </row>
    <row r="3198" spans="1:4" x14ac:dyDescent="0.25">
      <c r="A3198" t="s">
        <v>90</v>
      </c>
      <c r="B3198" t="s">
        <v>85</v>
      </c>
      <c r="C3198" s="1">
        <v>45458</v>
      </c>
      <c r="D3198">
        <v>1</v>
      </c>
    </row>
    <row r="3199" spans="1:4" x14ac:dyDescent="0.25">
      <c r="A3199" t="s">
        <v>9</v>
      </c>
      <c r="B3199" t="s">
        <v>52</v>
      </c>
      <c r="C3199" s="1">
        <v>45856.958333333336</v>
      </c>
      <c r="D3199">
        <v>1</v>
      </c>
    </row>
    <row r="3200" spans="1:4" x14ac:dyDescent="0.25">
      <c r="A3200" t="s">
        <v>88</v>
      </c>
      <c r="B3200" t="s">
        <v>30</v>
      </c>
      <c r="C3200" s="1">
        <v>45871.59375</v>
      </c>
      <c r="D3200">
        <v>40</v>
      </c>
    </row>
    <row r="3201" spans="1:4" x14ac:dyDescent="0.25">
      <c r="A3201" t="s">
        <v>9</v>
      </c>
      <c r="B3201" t="s">
        <v>30</v>
      </c>
      <c r="C3201" s="1">
        <v>45803.59375</v>
      </c>
      <c r="D3201">
        <v>6</v>
      </c>
    </row>
    <row r="3202" spans="1:4" x14ac:dyDescent="0.25">
      <c r="A3202" t="s">
        <v>89</v>
      </c>
      <c r="B3202" t="s">
        <v>85</v>
      </c>
      <c r="C3202" s="1">
        <v>45833.666666666664</v>
      </c>
      <c r="D3202">
        <v>31</v>
      </c>
    </row>
    <row r="3203" spans="1:4" x14ac:dyDescent="0.25">
      <c r="A3203" t="s">
        <v>9</v>
      </c>
      <c r="B3203" t="s">
        <v>26</v>
      </c>
      <c r="C3203" s="1">
        <v>45854.666666666664</v>
      </c>
      <c r="D3203">
        <v>1</v>
      </c>
    </row>
    <row r="3204" spans="1:4" x14ac:dyDescent="0.25">
      <c r="A3204" t="s">
        <v>90</v>
      </c>
      <c r="B3204" t="s">
        <v>85</v>
      </c>
      <c r="C3204" s="1">
        <v>45474</v>
      </c>
      <c r="D3204">
        <v>5</v>
      </c>
    </row>
    <row r="3205" spans="1:4" x14ac:dyDescent="0.25">
      <c r="A3205" t="s">
        <v>81</v>
      </c>
      <c r="B3205" t="s">
        <v>28</v>
      </c>
      <c r="C3205" s="1">
        <v>45871.541666666664</v>
      </c>
      <c r="D3205">
        <v>17</v>
      </c>
    </row>
    <row r="3206" spans="1:4" x14ac:dyDescent="0.25">
      <c r="A3206" t="s">
        <v>90</v>
      </c>
      <c r="B3206" t="s">
        <v>85</v>
      </c>
      <c r="C3206" s="1">
        <v>45720</v>
      </c>
      <c r="D3206">
        <v>1</v>
      </c>
    </row>
    <row r="3207" spans="1:4" x14ac:dyDescent="0.25">
      <c r="A3207" t="s">
        <v>77</v>
      </c>
      <c r="B3207" t="s">
        <v>187</v>
      </c>
      <c r="C3207" s="1">
        <v>45871.458333333336</v>
      </c>
      <c r="D3207">
        <v>10</v>
      </c>
    </row>
    <row r="3208" spans="1:4" x14ac:dyDescent="0.25">
      <c r="A3208" t="s">
        <v>90</v>
      </c>
      <c r="B3208" t="s">
        <v>85</v>
      </c>
      <c r="C3208" s="1">
        <v>45478</v>
      </c>
      <c r="D3208">
        <v>3</v>
      </c>
    </row>
    <row r="3209" spans="1:4" x14ac:dyDescent="0.25">
      <c r="A3209" t="s">
        <v>10</v>
      </c>
      <c r="B3209" t="s">
        <v>336</v>
      </c>
      <c r="C3209" s="1">
        <v>45839.833333333336</v>
      </c>
      <c r="D3209">
        <v>1</v>
      </c>
    </row>
    <row r="3210" spans="1:4" x14ac:dyDescent="0.25">
      <c r="A3210" t="s">
        <v>12</v>
      </c>
      <c r="B3210" t="s">
        <v>50</v>
      </c>
      <c r="C3210" s="1">
        <v>45860.479166666664</v>
      </c>
      <c r="D3210">
        <v>2</v>
      </c>
    </row>
    <row r="3211" spans="1:4" x14ac:dyDescent="0.25">
      <c r="A3211" t="s">
        <v>10</v>
      </c>
      <c r="B3211" t="s">
        <v>64</v>
      </c>
      <c r="C3211" s="1">
        <v>45789.145833333336</v>
      </c>
      <c r="D3211">
        <v>1</v>
      </c>
    </row>
    <row r="3212" spans="1:4" x14ac:dyDescent="0.25">
      <c r="A3212" t="s">
        <v>12</v>
      </c>
      <c r="B3212" t="s">
        <v>27</v>
      </c>
      <c r="C3212" s="1">
        <v>45841.375</v>
      </c>
      <c r="D3212">
        <v>1</v>
      </c>
    </row>
    <row r="3213" spans="1:4" x14ac:dyDescent="0.25">
      <c r="A3213" t="s">
        <v>89</v>
      </c>
      <c r="B3213" t="s">
        <v>30</v>
      </c>
      <c r="C3213" s="1">
        <v>45872.59375</v>
      </c>
      <c r="D3213">
        <v>2179</v>
      </c>
    </row>
    <row r="3214" spans="1:4" x14ac:dyDescent="0.25">
      <c r="A3214" t="s">
        <v>77</v>
      </c>
      <c r="B3214" t="s">
        <v>30</v>
      </c>
      <c r="C3214" s="1">
        <v>45871.59375</v>
      </c>
      <c r="D3214">
        <v>184</v>
      </c>
    </row>
    <row r="3215" spans="1:4" x14ac:dyDescent="0.25">
      <c r="A3215" t="s">
        <v>10</v>
      </c>
      <c r="B3215" t="s">
        <v>27</v>
      </c>
      <c r="C3215" s="1">
        <v>45835.375</v>
      </c>
      <c r="D3215">
        <v>1</v>
      </c>
    </row>
    <row r="3216" spans="1:4" x14ac:dyDescent="0.25">
      <c r="A3216" t="s">
        <v>10</v>
      </c>
      <c r="B3216" t="s">
        <v>30</v>
      </c>
      <c r="C3216" s="1">
        <v>45843.59375</v>
      </c>
      <c r="D3216">
        <v>1</v>
      </c>
    </row>
    <row r="3217" spans="1:4" x14ac:dyDescent="0.25">
      <c r="A3217" t="s">
        <v>15</v>
      </c>
      <c r="B3217" t="s">
        <v>335</v>
      </c>
      <c r="C3217" s="1">
        <v>45866.458333333336</v>
      </c>
      <c r="D3217">
        <v>1</v>
      </c>
    </row>
    <row r="3218" spans="1:4" x14ac:dyDescent="0.25">
      <c r="A3218" t="s">
        <v>12</v>
      </c>
      <c r="B3218" t="s">
        <v>335</v>
      </c>
      <c r="C3218" s="1">
        <v>45838.458333333336</v>
      </c>
      <c r="D3218">
        <v>1</v>
      </c>
    </row>
    <row r="3219" spans="1:4" x14ac:dyDescent="0.25">
      <c r="A3219" t="s">
        <v>13</v>
      </c>
      <c r="B3219" t="s">
        <v>26</v>
      </c>
      <c r="C3219" s="1">
        <v>45873.666666666664</v>
      </c>
      <c r="D3219">
        <v>2</v>
      </c>
    </row>
    <row r="3220" spans="1:4" x14ac:dyDescent="0.25">
      <c r="A3220" t="s">
        <v>12</v>
      </c>
      <c r="B3220" t="s">
        <v>28</v>
      </c>
      <c r="C3220" s="1">
        <v>45833.541666666664</v>
      </c>
      <c r="D3220">
        <v>1</v>
      </c>
    </row>
    <row r="3221" spans="1:4" x14ac:dyDescent="0.25">
      <c r="A3221" t="s">
        <v>89</v>
      </c>
      <c r="B3221" t="s">
        <v>332</v>
      </c>
      <c r="C3221" s="1">
        <v>45858.833333333336</v>
      </c>
      <c r="D3221">
        <v>1</v>
      </c>
    </row>
    <row r="3222" spans="1:4" x14ac:dyDescent="0.25">
      <c r="A3222" t="s">
        <v>12</v>
      </c>
      <c r="B3222" t="s">
        <v>28</v>
      </c>
      <c r="C3222" s="1">
        <v>45845.541666666664</v>
      </c>
      <c r="D3222">
        <v>1</v>
      </c>
    </row>
    <row r="3223" spans="1:4" x14ac:dyDescent="0.25">
      <c r="A3223" t="s">
        <v>9</v>
      </c>
      <c r="B3223" t="s">
        <v>54</v>
      </c>
      <c r="C3223" s="1">
        <v>45822.083333333336</v>
      </c>
      <c r="D3223">
        <v>7</v>
      </c>
    </row>
    <row r="3224" spans="1:4" x14ac:dyDescent="0.25">
      <c r="A3224" t="s">
        <v>9</v>
      </c>
      <c r="B3224" t="s">
        <v>50</v>
      </c>
      <c r="C3224" s="1">
        <v>45762.479166666664</v>
      </c>
      <c r="D3224">
        <v>3</v>
      </c>
    </row>
    <row r="3225" spans="1:4" x14ac:dyDescent="0.25">
      <c r="A3225" t="s">
        <v>9</v>
      </c>
      <c r="B3225" t="s">
        <v>64</v>
      </c>
      <c r="C3225" s="1">
        <v>45860.875</v>
      </c>
      <c r="D3225">
        <v>2</v>
      </c>
    </row>
    <row r="3226" spans="1:4" x14ac:dyDescent="0.25">
      <c r="A3226" t="s">
        <v>10</v>
      </c>
      <c r="B3226" t="s">
        <v>336</v>
      </c>
      <c r="C3226" s="1">
        <v>45867.833333333336</v>
      </c>
      <c r="D3226">
        <v>63</v>
      </c>
    </row>
    <row r="3227" spans="1:4" x14ac:dyDescent="0.25">
      <c r="A3227" t="s">
        <v>9</v>
      </c>
      <c r="B3227" t="s">
        <v>54</v>
      </c>
      <c r="C3227" s="1">
        <v>45834.083333333336</v>
      </c>
      <c r="D3227">
        <v>1</v>
      </c>
    </row>
    <row r="3228" spans="1:4" x14ac:dyDescent="0.25">
      <c r="A3228" t="s">
        <v>9</v>
      </c>
      <c r="B3228" t="s">
        <v>64</v>
      </c>
      <c r="C3228" s="1">
        <v>45814.145833333336</v>
      </c>
      <c r="D3228">
        <v>1</v>
      </c>
    </row>
    <row r="3229" spans="1:4" x14ac:dyDescent="0.25">
      <c r="A3229" t="s">
        <v>79</v>
      </c>
      <c r="B3229" t="s">
        <v>30</v>
      </c>
      <c r="C3229" s="1">
        <v>45873.59375</v>
      </c>
      <c r="D3229">
        <v>1</v>
      </c>
    </row>
    <row r="3230" spans="1:4" x14ac:dyDescent="0.25">
      <c r="A3230" t="s">
        <v>90</v>
      </c>
      <c r="B3230" t="s">
        <v>85</v>
      </c>
      <c r="C3230" s="1">
        <v>45373</v>
      </c>
      <c r="D3230">
        <v>2</v>
      </c>
    </row>
    <row r="3231" spans="1:4" x14ac:dyDescent="0.25">
      <c r="A3231" t="s">
        <v>9</v>
      </c>
      <c r="B3231" t="s">
        <v>25</v>
      </c>
      <c r="C3231" s="1">
        <v>45791.083333333336</v>
      </c>
      <c r="D3231">
        <v>1</v>
      </c>
    </row>
    <row r="3232" spans="1:4" x14ac:dyDescent="0.25">
      <c r="A3232" t="s">
        <v>9</v>
      </c>
      <c r="B3232" t="s">
        <v>64</v>
      </c>
      <c r="C3232" s="1">
        <v>45864.875</v>
      </c>
      <c r="D3232">
        <v>2</v>
      </c>
    </row>
    <row r="3233" spans="1:4" x14ac:dyDescent="0.25">
      <c r="A3233" t="s">
        <v>9</v>
      </c>
      <c r="B3233" t="s">
        <v>64</v>
      </c>
      <c r="C3233" s="1">
        <v>45806.145833333336</v>
      </c>
      <c r="D3233">
        <v>15</v>
      </c>
    </row>
    <row r="3234" spans="1:4" x14ac:dyDescent="0.25">
      <c r="A3234" t="s">
        <v>10</v>
      </c>
      <c r="B3234" t="s">
        <v>26</v>
      </c>
      <c r="C3234" s="1">
        <v>45854.666666666664</v>
      </c>
      <c r="D3234">
        <v>1</v>
      </c>
    </row>
    <row r="3235" spans="1:4" x14ac:dyDescent="0.25">
      <c r="A3235" t="s">
        <v>10</v>
      </c>
      <c r="B3235" t="s">
        <v>30</v>
      </c>
      <c r="C3235" s="1">
        <v>45803.59375</v>
      </c>
      <c r="D3235">
        <v>6</v>
      </c>
    </row>
    <row r="3236" spans="1:4" x14ac:dyDescent="0.25">
      <c r="A3236" t="s">
        <v>10</v>
      </c>
      <c r="B3236" t="s">
        <v>50</v>
      </c>
      <c r="C3236" s="1">
        <v>45850.479166666664</v>
      </c>
      <c r="D3236">
        <v>1</v>
      </c>
    </row>
    <row r="3237" spans="1:4" x14ac:dyDescent="0.25">
      <c r="A3237" t="s">
        <v>90</v>
      </c>
      <c r="B3237" t="s">
        <v>85</v>
      </c>
      <c r="C3237" s="1">
        <v>45849.666666666664</v>
      </c>
      <c r="D3237">
        <v>7</v>
      </c>
    </row>
    <row r="3238" spans="1:4" x14ac:dyDescent="0.25">
      <c r="A3238" t="s">
        <v>9</v>
      </c>
      <c r="B3238" t="s">
        <v>50</v>
      </c>
      <c r="C3238" s="1">
        <v>45790.479166666664</v>
      </c>
      <c r="D3238">
        <v>9</v>
      </c>
    </row>
    <row r="3239" spans="1:4" x14ac:dyDescent="0.25">
      <c r="A3239" t="s">
        <v>10</v>
      </c>
      <c r="B3239" t="s">
        <v>50</v>
      </c>
      <c r="C3239" s="1">
        <v>45838.479166666664</v>
      </c>
      <c r="D3239">
        <v>3</v>
      </c>
    </row>
    <row r="3240" spans="1:4" x14ac:dyDescent="0.25">
      <c r="A3240" t="s">
        <v>90</v>
      </c>
      <c r="B3240" t="s">
        <v>85</v>
      </c>
      <c r="C3240" s="1">
        <v>45381</v>
      </c>
      <c r="D3240">
        <v>1</v>
      </c>
    </row>
    <row r="3241" spans="1:4" x14ac:dyDescent="0.25">
      <c r="A3241" t="s">
        <v>90</v>
      </c>
      <c r="B3241" t="s">
        <v>85</v>
      </c>
      <c r="C3241" s="1">
        <v>45833.666666666664</v>
      </c>
      <c r="D3241">
        <v>1</v>
      </c>
    </row>
    <row r="3242" spans="1:4" x14ac:dyDescent="0.25">
      <c r="A3242" t="s">
        <v>90</v>
      </c>
      <c r="B3242" t="s">
        <v>85</v>
      </c>
      <c r="C3242" s="1">
        <v>45845.666666666664</v>
      </c>
      <c r="D3242">
        <v>3</v>
      </c>
    </row>
    <row r="3243" spans="1:4" x14ac:dyDescent="0.25">
      <c r="A3243" t="s">
        <v>79</v>
      </c>
      <c r="B3243" t="s">
        <v>50</v>
      </c>
      <c r="C3243" s="1">
        <v>45872.479166666664</v>
      </c>
      <c r="D3243">
        <v>72</v>
      </c>
    </row>
    <row r="3244" spans="1:4" x14ac:dyDescent="0.25">
      <c r="A3244" t="s">
        <v>7</v>
      </c>
      <c r="B3244" t="s">
        <v>101</v>
      </c>
      <c r="C3244" s="1">
        <v>45827.708333333336</v>
      </c>
      <c r="D3244">
        <v>7</v>
      </c>
    </row>
    <row r="3245" spans="1:4" x14ac:dyDescent="0.25">
      <c r="A3245" t="s">
        <v>7</v>
      </c>
      <c r="B3245" t="s">
        <v>101</v>
      </c>
      <c r="C3245" s="1">
        <v>45824.708333333336</v>
      </c>
      <c r="D3245">
        <v>4</v>
      </c>
    </row>
    <row r="3246" spans="1:4" x14ac:dyDescent="0.25">
      <c r="A3246" t="s">
        <v>7</v>
      </c>
      <c r="B3246" t="s">
        <v>101</v>
      </c>
      <c r="C3246" s="1">
        <v>45833.708333333336</v>
      </c>
      <c r="D3246">
        <v>1</v>
      </c>
    </row>
    <row r="3247" spans="1:4" x14ac:dyDescent="0.25">
      <c r="A3247" t="s">
        <v>7</v>
      </c>
      <c r="B3247" t="s">
        <v>101</v>
      </c>
      <c r="C3247" s="1">
        <v>45831.708333333336</v>
      </c>
      <c r="D3247">
        <v>2</v>
      </c>
    </row>
    <row r="3248" spans="1:4" x14ac:dyDescent="0.25">
      <c r="A3248" t="s">
        <v>7</v>
      </c>
      <c r="B3248" t="s">
        <v>101</v>
      </c>
      <c r="C3248" s="1">
        <v>45830.708333333336</v>
      </c>
      <c r="D3248">
        <v>5</v>
      </c>
    </row>
    <row r="3249" spans="1:4" x14ac:dyDescent="0.25">
      <c r="A3249" t="s">
        <v>7</v>
      </c>
      <c r="B3249" t="s">
        <v>101</v>
      </c>
      <c r="C3249" s="1">
        <v>45829.708333333336</v>
      </c>
      <c r="D3249">
        <v>4</v>
      </c>
    </row>
    <row r="3250" spans="1:4" x14ac:dyDescent="0.25">
      <c r="A3250" t="s">
        <v>7</v>
      </c>
      <c r="B3250" t="s">
        <v>17</v>
      </c>
      <c r="C3250" s="1">
        <v>45744.708333333336</v>
      </c>
      <c r="D3250">
        <v>1</v>
      </c>
    </row>
    <row r="3251" spans="1:4" x14ac:dyDescent="0.25">
      <c r="A3251" t="s">
        <v>7</v>
      </c>
      <c r="B3251" t="s">
        <v>101</v>
      </c>
      <c r="C3251" s="1">
        <v>45828.708333333336</v>
      </c>
      <c r="D3251">
        <v>5</v>
      </c>
    </row>
    <row r="3252" spans="1:4" x14ac:dyDescent="0.25">
      <c r="A3252" t="s">
        <v>7</v>
      </c>
      <c r="B3252" t="s">
        <v>17</v>
      </c>
      <c r="C3252" s="1">
        <v>45534.708333333336</v>
      </c>
      <c r="D3252">
        <v>1</v>
      </c>
    </row>
    <row r="3253" spans="1:4" x14ac:dyDescent="0.25">
      <c r="A3253" t="s">
        <v>7</v>
      </c>
      <c r="B3253" t="s">
        <v>17</v>
      </c>
      <c r="C3253" s="1">
        <v>45662.666666666664</v>
      </c>
      <c r="D3253">
        <v>4</v>
      </c>
    </row>
    <row r="3254" spans="1:4" x14ac:dyDescent="0.25">
      <c r="A3254" t="s">
        <v>13</v>
      </c>
      <c r="B3254" t="s">
        <v>17</v>
      </c>
      <c r="C3254" s="1">
        <v>43194.708333333336</v>
      </c>
      <c r="D3254">
        <v>1</v>
      </c>
    </row>
    <row r="3255" spans="1:4" x14ac:dyDescent="0.25">
      <c r="A3255" t="s">
        <v>13</v>
      </c>
      <c r="B3255" t="s">
        <v>17</v>
      </c>
      <c r="C3255" s="1">
        <v>43191.708333333336</v>
      </c>
      <c r="D3255">
        <v>1</v>
      </c>
    </row>
    <row r="3256" spans="1:4" x14ac:dyDescent="0.25">
      <c r="A3256" t="s">
        <v>7</v>
      </c>
      <c r="B3256" t="s">
        <v>17</v>
      </c>
      <c r="C3256" s="1">
        <v>45663.666666666664</v>
      </c>
      <c r="D3256">
        <v>1</v>
      </c>
    </row>
    <row r="3257" spans="1:4" x14ac:dyDescent="0.25">
      <c r="A3257" t="s">
        <v>13</v>
      </c>
      <c r="B3257" t="s">
        <v>17</v>
      </c>
      <c r="C3257" s="1">
        <v>43193.708333333336</v>
      </c>
      <c r="D3257">
        <v>1</v>
      </c>
    </row>
    <row r="3258" spans="1:4" x14ac:dyDescent="0.25">
      <c r="A3258" t="s">
        <v>7</v>
      </c>
      <c r="B3258" t="s">
        <v>17</v>
      </c>
      <c r="C3258" s="1">
        <v>45880.708333333336</v>
      </c>
      <c r="D3258">
        <v>1</v>
      </c>
    </row>
    <row r="3259" spans="1:4" x14ac:dyDescent="0.25">
      <c r="A3259" t="s">
        <v>7</v>
      </c>
      <c r="B3259" t="s">
        <v>101</v>
      </c>
      <c r="C3259" s="1">
        <v>45875.708333333336</v>
      </c>
      <c r="D3259">
        <v>8</v>
      </c>
    </row>
    <row r="3260" spans="1:4" x14ac:dyDescent="0.25">
      <c r="A3260" t="s">
        <v>7</v>
      </c>
      <c r="B3260" t="s">
        <v>17</v>
      </c>
      <c r="C3260" s="1">
        <v>45879.708333333336</v>
      </c>
      <c r="D3260">
        <v>2</v>
      </c>
    </row>
    <row r="3261" spans="1:4" x14ac:dyDescent="0.25">
      <c r="A3261" t="s">
        <v>7</v>
      </c>
      <c r="B3261" t="s">
        <v>101</v>
      </c>
      <c r="C3261" s="1">
        <v>45877.708333333336</v>
      </c>
      <c r="D3261">
        <v>6</v>
      </c>
    </row>
    <row r="3262" spans="1:4" x14ac:dyDescent="0.25">
      <c r="A3262" t="s">
        <v>7</v>
      </c>
      <c r="B3262" t="s">
        <v>101</v>
      </c>
      <c r="C3262" s="1">
        <v>45876.708333333336</v>
      </c>
      <c r="D3262">
        <v>13</v>
      </c>
    </row>
    <row r="3263" spans="1:4" x14ac:dyDescent="0.25">
      <c r="A3263" t="s">
        <v>7</v>
      </c>
      <c r="B3263" t="s">
        <v>17</v>
      </c>
      <c r="C3263" s="1">
        <v>45883.708333333336</v>
      </c>
      <c r="D3263">
        <v>2</v>
      </c>
    </row>
    <row r="3264" spans="1:4" x14ac:dyDescent="0.25">
      <c r="A3264" t="s">
        <v>7</v>
      </c>
      <c r="B3264" t="s">
        <v>101</v>
      </c>
      <c r="C3264" s="1">
        <v>45872.708333333336</v>
      </c>
      <c r="D3264">
        <v>8</v>
      </c>
    </row>
    <row r="3265" spans="1:4" x14ac:dyDescent="0.25">
      <c r="A3265" t="s">
        <v>7</v>
      </c>
      <c r="B3265" t="s">
        <v>17</v>
      </c>
      <c r="C3265" s="1">
        <v>45882.708333333336</v>
      </c>
      <c r="D3265">
        <v>1</v>
      </c>
    </row>
    <row r="3266" spans="1:4" x14ac:dyDescent="0.25">
      <c r="A3266" t="s">
        <v>7</v>
      </c>
      <c r="B3266" t="s">
        <v>101</v>
      </c>
      <c r="C3266" s="1">
        <v>45874.708333333336</v>
      </c>
      <c r="D3266">
        <v>4</v>
      </c>
    </row>
    <row r="3267" spans="1:4" x14ac:dyDescent="0.25">
      <c r="A3267" t="s">
        <v>7</v>
      </c>
      <c r="B3267" t="s">
        <v>101</v>
      </c>
      <c r="C3267" s="1">
        <v>45873.708333333336</v>
      </c>
      <c r="D3267">
        <v>4</v>
      </c>
    </row>
    <row r="3268" spans="1:4" x14ac:dyDescent="0.25">
      <c r="A3268" t="s">
        <v>7</v>
      </c>
      <c r="B3268" t="s">
        <v>17</v>
      </c>
      <c r="C3268" s="1">
        <v>45875.708333333336</v>
      </c>
      <c r="D3268">
        <v>2</v>
      </c>
    </row>
    <row r="3269" spans="1:4" x14ac:dyDescent="0.25">
      <c r="A3269" t="s">
        <v>7</v>
      </c>
      <c r="B3269" t="s">
        <v>17</v>
      </c>
      <c r="C3269" s="1">
        <v>45878.708333333336</v>
      </c>
      <c r="D3269">
        <v>2</v>
      </c>
    </row>
    <row r="3270" spans="1:4" x14ac:dyDescent="0.25">
      <c r="A3270" t="s">
        <v>7</v>
      </c>
      <c r="B3270" t="s">
        <v>17</v>
      </c>
      <c r="C3270" s="1">
        <v>45877.708333333336</v>
      </c>
      <c r="D3270">
        <v>1</v>
      </c>
    </row>
    <row r="3271" spans="1:4" x14ac:dyDescent="0.25">
      <c r="A3271" t="s">
        <v>7</v>
      </c>
      <c r="B3271" t="s">
        <v>17</v>
      </c>
      <c r="C3271" s="1">
        <v>45876.708333333336</v>
      </c>
      <c r="D3271">
        <v>4</v>
      </c>
    </row>
    <row r="3272" spans="1:4" x14ac:dyDescent="0.25">
      <c r="A3272" t="s">
        <v>7</v>
      </c>
      <c r="B3272" t="s">
        <v>101</v>
      </c>
      <c r="C3272" s="1">
        <v>45863.708333333336</v>
      </c>
      <c r="D3272">
        <v>12</v>
      </c>
    </row>
    <row r="3273" spans="1:4" x14ac:dyDescent="0.25">
      <c r="A3273" t="s">
        <v>7</v>
      </c>
      <c r="B3273" t="s">
        <v>101</v>
      </c>
      <c r="C3273" s="1">
        <v>45862.708333333336</v>
      </c>
      <c r="D3273">
        <v>3</v>
      </c>
    </row>
    <row r="3274" spans="1:4" x14ac:dyDescent="0.25">
      <c r="A3274" t="s">
        <v>7</v>
      </c>
      <c r="B3274" t="s">
        <v>101</v>
      </c>
      <c r="C3274" s="1">
        <v>45864.708333333336</v>
      </c>
      <c r="D3274">
        <v>10</v>
      </c>
    </row>
    <row r="3275" spans="1:4" x14ac:dyDescent="0.25">
      <c r="A3275" t="s">
        <v>7</v>
      </c>
      <c r="B3275" t="s">
        <v>101</v>
      </c>
      <c r="C3275" s="1">
        <v>45860.708333333336</v>
      </c>
      <c r="D3275">
        <v>12</v>
      </c>
    </row>
    <row r="3276" spans="1:4" x14ac:dyDescent="0.25">
      <c r="A3276" t="s">
        <v>7</v>
      </c>
      <c r="B3276" t="s">
        <v>101</v>
      </c>
      <c r="C3276" s="1">
        <v>45859.708333333336</v>
      </c>
      <c r="D3276">
        <v>12</v>
      </c>
    </row>
    <row r="3277" spans="1:4" x14ac:dyDescent="0.25">
      <c r="A3277" t="s">
        <v>7</v>
      </c>
      <c r="B3277" t="s">
        <v>101</v>
      </c>
      <c r="C3277" s="1">
        <v>45861.708333333336</v>
      </c>
      <c r="D3277">
        <v>5</v>
      </c>
    </row>
    <row r="3278" spans="1:4" x14ac:dyDescent="0.25">
      <c r="A3278" t="s">
        <v>7</v>
      </c>
      <c r="B3278" t="s">
        <v>101</v>
      </c>
      <c r="C3278" s="1">
        <v>45869.708333333336</v>
      </c>
      <c r="D3278">
        <v>13</v>
      </c>
    </row>
    <row r="3279" spans="1:4" x14ac:dyDescent="0.25">
      <c r="A3279" t="s">
        <v>7</v>
      </c>
      <c r="B3279" t="s">
        <v>101</v>
      </c>
      <c r="C3279" s="1">
        <v>45868.708333333336</v>
      </c>
      <c r="D3279">
        <v>24</v>
      </c>
    </row>
    <row r="3280" spans="1:4" x14ac:dyDescent="0.25">
      <c r="A3280" t="s">
        <v>7</v>
      </c>
      <c r="B3280" t="s">
        <v>17</v>
      </c>
      <c r="C3280" s="1">
        <v>45681.666666666664</v>
      </c>
      <c r="D3280">
        <v>1</v>
      </c>
    </row>
    <row r="3281" spans="1:4" x14ac:dyDescent="0.25">
      <c r="A3281" t="s">
        <v>7</v>
      </c>
      <c r="B3281" t="s">
        <v>101</v>
      </c>
      <c r="C3281" s="1">
        <v>45871.708333333336</v>
      </c>
      <c r="D3281">
        <v>24</v>
      </c>
    </row>
    <row r="3282" spans="1:4" x14ac:dyDescent="0.25">
      <c r="A3282" t="s">
        <v>7</v>
      </c>
      <c r="B3282" t="s">
        <v>101</v>
      </c>
      <c r="C3282" s="1">
        <v>45870.708333333336</v>
      </c>
      <c r="D3282">
        <v>20</v>
      </c>
    </row>
    <row r="3283" spans="1:4" x14ac:dyDescent="0.25">
      <c r="A3283" t="s">
        <v>7</v>
      </c>
      <c r="B3283" t="s">
        <v>101</v>
      </c>
      <c r="C3283" s="1">
        <v>45866.708333333336</v>
      </c>
      <c r="D3283">
        <v>11</v>
      </c>
    </row>
    <row r="3284" spans="1:4" x14ac:dyDescent="0.25">
      <c r="A3284" t="s">
        <v>7</v>
      </c>
      <c r="B3284" t="s">
        <v>101</v>
      </c>
      <c r="C3284" s="1">
        <v>45865.708333333336</v>
      </c>
      <c r="D3284">
        <v>13</v>
      </c>
    </row>
    <row r="3285" spans="1:4" x14ac:dyDescent="0.25">
      <c r="A3285" t="s">
        <v>7</v>
      </c>
      <c r="B3285" t="s">
        <v>101</v>
      </c>
      <c r="C3285" s="1">
        <v>45867.708333333336</v>
      </c>
      <c r="D3285">
        <v>7</v>
      </c>
    </row>
    <row r="3286" spans="1:4" x14ac:dyDescent="0.25">
      <c r="A3286" t="s">
        <v>7</v>
      </c>
      <c r="B3286" t="s">
        <v>101</v>
      </c>
      <c r="C3286" s="1">
        <v>45850.708333333336</v>
      </c>
      <c r="D3286">
        <v>5</v>
      </c>
    </row>
    <row r="3287" spans="1:4" x14ac:dyDescent="0.25">
      <c r="A3287" t="s">
        <v>7</v>
      </c>
      <c r="B3287" t="s">
        <v>101</v>
      </c>
      <c r="C3287" s="1">
        <v>45852.708333333336</v>
      </c>
      <c r="D3287">
        <v>21</v>
      </c>
    </row>
    <row r="3288" spans="1:4" x14ac:dyDescent="0.25">
      <c r="A3288" t="s">
        <v>7</v>
      </c>
      <c r="B3288" t="s">
        <v>101</v>
      </c>
      <c r="C3288" s="1">
        <v>45851.708333333336</v>
      </c>
      <c r="D3288">
        <v>18</v>
      </c>
    </row>
    <row r="3289" spans="1:4" x14ac:dyDescent="0.25">
      <c r="A3289" t="s">
        <v>7</v>
      </c>
      <c r="B3289" t="s">
        <v>101</v>
      </c>
      <c r="C3289" s="1">
        <v>45856.708333333336</v>
      </c>
      <c r="D3289">
        <v>19</v>
      </c>
    </row>
    <row r="3290" spans="1:4" x14ac:dyDescent="0.25">
      <c r="A3290" t="s">
        <v>7</v>
      </c>
      <c r="B3290" t="s">
        <v>101</v>
      </c>
      <c r="C3290" s="1">
        <v>45858.708333333336</v>
      </c>
      <c r="D3290">
        <v>5</v>
      </c>
    </row>
    <row r="3291" spans="1:4" x14ac:dyDescent="0.25">
      <c r="A3291" t="s">
        <v>7</v>
      </c>
      <c r="B3291" t="s">
        <v>101</v>
      </c>
      <c r="C3291" s="1">
        <v>45857.708333333336</v>
      </c>
      <c r="D3291">
        <v>9</v>
      </c>
    </row>
    <row r="3292" spans="1:4" x14ac:dyDescent="0.25">
      <c r="A3292" t="s">
        <v>7</v>
      </c>
      <c r="B3292" t="s">
        <v>101</v>
      </c>
      <c r="C3292" s="1">
        <v>45853.708333333336</v>
      </c>
      <c r="D3292">
        <v>10</v>
      </c>
    </row>
    <row r="3293" spans="1:4" x14ac:dyDescent="0.25">
      <c r="A3293" t="s">
        <v>7</v>
      </c>
      <c r="B3293" t="s">
        <v>101</v>
      </c>
      <c r="C3293" s="1">
        <v>45855.708333333336</v>
      </c>
      <c r="D3293">
        <v>17</v>
      </c>
    </row>
    <row r="3294" spans="1:4" x14ac:dyDescent="0.25">
      <c r="A3294" t="s">
        <v>7</v>
      </c>
      <c r="B3294" t="s">
        <v>101</v>
      </c>
      <c r="C3294" s="1">
        <v>45854.708333333336</v>
      </c>
      <c r="D3294">
        <v>12</v>
      </c>
    </row>
    <row r="3295" spans="1:4" x14ac:dyDescent="0.25">
      <c r="A3295" t="s">
        <v>7</v>
      </c>
      <c r="B3295" t="s">
        <v>17</v>
      </c>
      <c r="C3295" s="1">
        <v>45638.666666666664</v>
      </c>
      <c r="D3295">
        <v>1</v>
      </c>
    </row>
    <row r="3296" spans="1:4" x14ac:dyDescent="0.25">
      <c r="A3296" t="s">
        <v>7</v>
      </c>
      <c r="B3296" t="s">
        <v>17</v>
      </c>
      <c r="C3296" s="1">
        <v>45629.666666666664</v>
      </c>
      <c r="D3296">
        <v>1</v>
      </c>
    </row>
    <row r="3297" spans="1:4" x14ac:dyDescent="0.25">
      <c r="A3297" t="s">
        <v>7</v>
      </c>
      <c r="B3297" t="s">
        <v>17</v>
      </c>
      <c r="C3297" s="1">
        <v>45519.708333333336</v>
      </c>
      <c r="D3297">
        <v>1</v>
      </c>
    </row>
    <row r="3298" spans="1:4" x14ac:dyDescent="0.25">
      <c r="A3298" t="s">
        <v>7</v>
      </c>
      <c r="B3298" t="s">
        <v>101</v>
      </c>
      <c r="C3298" s="1">
        <v>45849.708333333336</v>
      </c>
      <c r="D3298">
        <v>9</v>
      </c>
    </row>
    <row r="3299" spans="1:4" x14ac:dyDescent="0.25">
      <c r="A3299" t="s">
        <v>7</v>
      </c>
      <c r="B3299" t="s">
        <v>101</v>
      </c>
      <c r="C3299" s="1">
        <v>45848.708333333336</v>
      </c>
      <c r="D3299">
        <v>9</v>
      </c>
    </row>
    <row r="3300" spans="1:4" x14ac:dyDescent="0.25">
      <c r="A3300" t="s">
        <v>7</v>
      </c>
      <c r="B3300" t="s">
        <v>101</v>
      </c>
      <c r="C3300" s="1">
        <v>45847.708333333336</v>
      </c>
      <c r="D3300">
        <v>2</v>
      </c>
    </row>
    <row r="3301" spans="1:4" x14ac:dyDescent="0.25">
      <c r="A3301" t="s">
        <v>7</v>
      </c>
      <c r="B3301" t="s">
        <v>17</v>
      </c>
      <c r="C3301" s="1">
        <v>45721.666666666664</v>
      </c>
      <c r="D3301">
        <v>1</v>
      </c>
    </row>
    <row r="3302" spans="1:4" x14ac:dyDescent="0.25">
      <c r="A3302" t="s">
        <v>7</v>
      </c>
      <c r="B3302" t="s">
        <v>101</v>
      </c>
      <c r="C3302" s="1">
        <v>45839.708333333336</v>
      </c>
      <c r="D3302">
        <v>4</v>
      </c>
    </row>
    <row r="3303" spans="1:4" x14ac:dyDescent="0.25">
      <c r="A3303" t="s">
        <v>7</v>
      </c>
      <c r="B3303" t="s">
        <v>101</v>
      </c>
      <c r="C3303" s="1">
        <v>45838.708333333336</v>
      </c>
      <c r="D3303">
        <v>1</v>
      </c>
    </row>
    <row r="3304" spans="1:4" x14ac:dyDescent="0.25">
      <c r="A3304" t="s">
        <v>7</v>
      </c>
      <c r="B3304" t="s">
        <v>101</v>
      </c>
      <c r="C3304" s="1">
        <v>45837.708333333336</v>
      </c>
      <c r="D3304">
        <v>3</v>
      </c>
    </row>
    <row r="3305" spans="1:4" x14ac:dyDescent="0.25">
      <c r="A3305" t="s">
        <v>7</v>
      </c>
      <c r="B3305" t="s">
        <v>101</v>
      </c>
      <c r="C3305" s="1">
        <v>45835.708333333336</v>
      </c>
      <c r="D3305">
        <v>1</v>
      </c>
    </row>
    <row r="3306" spans="1:4" x14ac:dyDescent="0.25">
      <c r="A3306" t="s">
        <v>7</v>
      </c>
      <c r="B3306" t="s">
        <v>101</v>
      </c>
      <c r="C3306" s="1">
        <v>45846.708333333336</v>
      </c>
      <c r="D3306">
        <v>9</v>
      </c>
    </row>
    <row r="3307" spans="1:4" x14ac:dyDescent="0.25">
      <c r="A3307" t="s">
        <v>7</v>
      </c>
      <c r="B3307" t="s">
        <v>101</v>
      </c>
      <c r="C3307" s="1">
        <v>45845.708333333336</v>
      </c>
      <c r="D3307">
        <v>16</v>
      </c>
    </row>
    <row r="3308" spans="1:4" x14ac:dyDescent="0.25">
      <c r="A3308" t="s">
        <v>7</v>
      </c>
      <c r="B3308" t="s">
        <v>101</v>
      </c>
      <c r="C3308" s="1">
        <v>45844.708333333336</v>
      </c>
      <c r="D3308">
        <v>3</v>
      </c>
    </row>
    <row r="3309" spans="1:4" x14ac:dyDescent="0.25">
      <c r="A3309" t="s">
        <v>7</v>
      </c>
      <c r="B3309" t="s">
        <v>101</v>
      </c>
      <c r="C3309" s="1">
        <v>45843.708333333336</v>
      </c>
      <c r="D3309">
        <v>1</v>
      </c>
    </row>
    <row r="3310" spans="1:4" x14ac:dyDescent="0.25">
      <c r="A3310" t="s">
        <v>7</v>
      </c>
      <c r="B3310" t="s">
        <v>101</v>
      </c>
      <c r="C3310" s="1">
        <v>45842.708333333336</v>
      </c>
      <c r="D3310">
        <v>3</v>
      </c>
    </row>
    <row r="3311" spans="1:4" x14ac:dyDescent="0.25">
      <c r="A3311" t="s">
        <v>7</v>
      </c>
      <c r="B3311" t="s">
        <v>101</v>
      </c>
      <c r="C3311" s="1">
        <v>45841.708333333336</v>
      </c>
      <c r="D3311">
        <v>1</v>
      </c>
    </row>
    <row r="3312" spans="1:4" x14ac:dyDescent="0.25">
      <c r="A3312" t="s">
        <v>7</v>
      </c>
      <c r="B3312" t="s">
        <v>101</v>
      </c>
      <c r="C3312" s="1">
        <v>45840.708333333336</v>
      </c>
      <c r="D3312">
        <v>5</v>
      </c>
    </row>
    <row r="3313" spans="3:3" x14ac:dyDescent="0.25">
      <c r="C3313" s="1"/>
    </row>
    <row r="3314" spans="3:3" x14ac:dyDescent="0.25">
      <c r="C3314" s="1"/>
    </row>
    <row r="3315" spans="3:3" x14ac:dyDescent="0.25">
      <c r="C3315" s="1"/>
    </row>
    <row r="3316" spans="3:3" x14ac:dyDescent="0.25">
      <c r="C3316" s="1"/>
    </row>
    <row r="3317" spans="3:3" x14ac:dyDescent="0.25">
      <c r="C3317" s="1"/>
    </row>
    <row r="3318" spans="3:3" x14ac:dyDescent="0.25">
      <c r="C3318" s="1"/>
    </row>
    <row r="3319" spans="3:3" x14ac:dyDescent="0.25">
      <c r="C3319" s="1"/>
    </row>
    <row r="3320" spans="3:3" x14ac:dyDescent="0.25">
      <c r="C3320" s="1"/>
    </row>
    <row r="3321" spans="3:3" x14ac:dyDescent="0.25">
      <c r="C3321" s="1"/>
    </row>
    <row r="3322" spans="3:3" x14ac:dyDescent="0.25">
      <c r="C3322" s="1"/>
    </row>
    <row r="3323" spans="3:3" x14ac:dyDescent="0.25">
      <c r="C3323" s="1"/>
    </row>
    <row r="3324" spans="3:3" x14ac:dyDescent="0.25">
      <c r="C3324" s="1"/>
    </row>
    <row r="3325" spans="3:3" x14ac:dyDescent="0.25">
      <c r="C3325" s="1"/>
    </row>
    <row r="3326" spans="3:3" x14ac:dyDescent="0.25">
      <c r="C3326" s="1"/>
    </row>
    <row r="3327" spans="3:3" x14ac:dyDescent="0.25">
      <c r="C3327" s="1"/>
    </row>
    <row r="3328" spans="3:3" x14ac:dyDescent="0.25">
      <c r="C3328" s="1"/>
    </row>
    <row r="3329" spans="3:3" x14ac:dyDescent="0.25">
      <c r="C3329" s="1"/>
    </row>
    <row r="3330" spans="3:3" x14ac:dyDescent="0.25">
      <c r="C3330" s="1"/>
    </row>
    <row r="3331" spans="3:3" x14ac:dyDescent="0.25">
      <c r="C3331" s="1"/>
    </row>
    <row r="3332" spans="3:3" x14ac:dyDescent="0.25">
      <c r="C3332" s="1"/>
    </row>
    <row r="3333" spans="3:3" x14ac:dyDescent="0.25">
      <c r="C3333" s="1"/>
    </row>
    <row r="3334" spans="3:3" x14ac:dyDescent="0.25">
      <c r="C3334" s="1"/>
    </row>
    <row r="3335" spans="3:3" x14ac:dyDescent="0.25">
      <c r="C3335" s="1"/>
    </row>
    <row r="3336" spans="3:3" x14ac:dyDescent="0.25">
      <c r="C3336" s="1"/>
    </row>
    <row r="3337" spans="3:3" x14ac:dyDescent="0.25">
      <c r="C3337" s="1"/>
    </row>
    <row r="3338" spans="3:3" x14ac:dyDescent="0.25">
      <c r="C3338" s="1"/>
    </row>
    <row r="3339" spans="3:3" x14ac:dyDescent="0.25">
      <c r="C3339" s="1"/>
    </row>
    <row r="3340" spans="3:3" x14ac:dyDescent="0.25">
      <c r="C3340" s="1"/>
    </row>
    <row r="3341" spans="3:3" x14ac:dyDescent="0.25">
      <c r="C3341" s="1"/>
    </row>
    <row r="3342" spans="3:3" x14ac:dyDescent="0.25">
      <c r="C3342" s="1"/>
    </row>
    <row r="3343" spans="3:3" x14ac:dyDescent="0.25">
      <c r="C3343" s="1"/>
    </row>
    <row r="3344" spans="3:3" x14ac:dyDescent="0.25">
      <c r="C3344" s="1"/>
    </row>
    <row r="3345" spans="3:3" x14ac:dyDescent="0.25">
      <c r="C3345" s="1"/>
    </row>
    <row r="3346" spans="3:3" x14ac:dyDescent="0.25">
      <c r="C3346" s="1"/>
    </row>
    <row r="3347" spans="3:3" x14ac:dyDescent="0.25">
      <c r="C3347" s="1"/>
    </row>
    <row r="3348" spans="3:3" x14ac:dyDescent="0.25">
      <c r="C3348" s="1"/>
    </row>
    <row r="3349" spans="3:3" x14ac:dyDescent="0.25">
      <c r="C3349" s="1"/>
    </row>
    <row r="3350" spans="3:3" x14ac:dyDescent="0.25">
      <c r="C3350" s="1"/>
    </row>
    <row r="3351" spans="3:3" x14ac:dyDescent="0.25">
      <c r="C3351" s="1"/>
    </row>
    <row r="3352" spans="3:3" x14ac:dyDescent="0.25">
      <c r="C3352" s="1"/>
    </row>
    <row r="3353" spans="3:3" x14ac:dyDescent="0.25">
      <c r="C3353" s="1"/>
    </row>
    <row r="3354" spans="3:3" x14ac:dyDescent="0.25">
      <c r="C3354" s="1"/>
    </row>
    <row r="3355" spans="3:3" x14ac:dyDescent="0.25">
      <c r="C3355" s="1"/>
    </row>
    <row r="3356" spans="3:3" x14ac:dyDescent="0.25">
      <c r="C3356" s="1"/>
    </row>
    <row r="3357" spans="3:3" x14ac:dyDescent="0.25">
      <c r="C3357" s="1"/>
    </row>
    <row r="3358" spans="3:3" x14ac:dyDescent="0.25">
      <c r="C3358" s="1"/>
    </row>
    <row r="3359" spans="3:3" x14ac:dyDescent="0.25">
      <c r="C3359" s="1"/>
    </row>
    <row r="3360" spans="3:3" x14ac:dyDescent="0.25">
      <c r="C3360" s="1"/>
    </row>
    <row r="3361" spans="3:3" x14ac:dyDescent="0.25">
      <c r="C3361" s="1"/>
    </row>
    <row r="3362" spans="3:3" x14ac:dyDescent="0.25">
      <c r="C3362" s="1"/>
    </row>
    <row r="3363" spans="3:3" x14ac:dyDescent="0.25">
      <c r="C3363" s="1"/>
    </row>
    <row r="3364" spans="3:3" x14ac:dyDescent="0.25">
      <c r="C3364" s="1"/>
    </row>
    <row r="3365" spans="3:3" x14ac:dyDescent="0.25">
      <c r="C3365" s="1"/>
    </row>
    <row r="3366" spans="3:3" x14ac:dyDescent="0.25">
      <c r="C3366" s="1"/>
    </row>
    <row r="3367" spans="3:3" x14ac:dyDescent="0.25">
      <c r="C3367" s="1"/>
    </row>
    <row r="3368" spans="3:3" x14ac:dyDescent="0.25">
      <c r="C3368" s="1"/>
    </row>
    <row r="3369" spans="3:3" x14ac:dyDescent="0.25">
      <c r="C3369" s="1"/>
    </row>
    <row r="3370" spans="3:3" x14ac:dyDescent="0.25">
      <c r="C3370" s="1"/>
    </row>
    <row r="3371" spans="3:3" x14ac:dyDescent="0.25">
      <c r="C3371" s="1"/>
    </row>
    <row r="3372" spans="3:3" x14ac:dyDescent="0.25">
      <c r="C3372" s="1"/>
    </row>
    <row r="3373" spans="3:3" x14ac:dyDescent="0.25">
      <c r="C3373" s="1"/>
    </row>
    <row r="3374" spans="3:3" x14ac:dyDescent="0.25">
      <c r="C3374" s="1"/>
    </row>
    <row r="3375" spans="3:3" x14ac:dyDescent="0.25">
      <c r="C3375" s="1"/>
    </row>
    <row r="3376" spans="3:3" x14ac:dyDescent="0.25">
      <c r="C3376" s="1"/>
    </row>
    <row r="3377" spans="3:3" x14ac:dyDescent="0.25">
      <c r="C3377" s="1"/>
    </row>
    <row r="3378" spans="3:3" x14ac:dyDescent="0.25">
      <c r="C3378" s="1"/>
    </row>
    <row r="3379" spans="3:3" x14ac:dyDescent="0.25">
      <c r="C3379" s="1"/>
    </row>
    <row r="3380" spans="3:3" x14ac:dyDescent="0.25">
      <c r="C3380" s="1"/>
    </row>
    <row r="3381" spans="3:3" x14ac:dyDescent="0.25">
      <c r="C3381" s="1"/>
    </row>
    <row r="3382" spans="3:3" x14ac:dyDescent="0.25">
      <c r="C3382" s="1"/>
    </row>
    <row r="3383" spans="3:3" x14ac:dyDescent="0.25">
      <c r="C3383" s="1"/>
    </row>
    <row r="3384" spans="3:3" x14ac:dyDescent="0.25">
      <c r="C3384" s="1"/>
    </row>
    <row r="3385" spans="3:3" x14ac:dyDescent="0.25">
      <c r="C3385" s="1"/>
    </row>
    <row r="3386" spans="3:3" x14ac:dyDescent="0.25">
      <c r="C3386" s="1"/>
    </row>
    <row r="3387" spans="3:3" x14ac:dyDescent="0.25">
      <c r="C3387" s="1"/>
    </row>
    <row r="3388" spans="3:3" x14ac:dyDescent="0.25">
      <c r="C3388" s="1"/>
    </row>
    <row r="3389" spans="3:3" x14ac:dyDescent="0.25">
      <c r="C3389" s="1"/>
    </row>
    <row r="3390" spans="3:3" x14ac:dyDescent="0.25">
      <c r="C3390" s="1"/>
    </row>
    <row r="3391" spans="3:3" x14ac:dyDescent="0.25">
      <c r="C3391" s="1"/>
    </row>
    <row r="3392" spans="3:3" x14ac:dyDescent="0.25">
      <c r="C3392" s="1"/>
    </row>
    <row r="3393" spans="3:3" x14ac:dyDescent="0.25">
      <c r="C3393" s="1"/>
    </row>
    <row r="3394" spans="3:3" x14ac:dyDescent="0.25">
      <c r="C3394" s="1"/>
    </row>
    <row r="3395" spans="3:3" x14ac:dyDescent="0.25">
      <c r="C3395" s="1"/>
    </row>
    <row r="3396" spans="3:3" x14ac:dyDescent="0.25">
      <c r="C3396" s="1"/>
    </row>
    <row r="3397" spans="3:3" x14ac:dyDescent="0.25">
      <c r="C3397" s="1"/>
    </row>
    <row r="3398" spans="3:3" x14ac:dyDescent="0.25">
      <c r="C3398" s="1"/>
    </row>
    <row r="3399" spans="3:3" x14ac:dyDescent="0.25">
      <c r="C3399" s="1"/>
    </row>
    <row r="3400" spans="3:3" x14ac:dyDescent="0.25">
      <c r="C3400" s="1"/>
    </row>
    <row r="3401" spans="3:3" x14ac:dyDescent="0.25">
      <c r="C3401" s="1"/>
    </row>
    <row r="3402" spans="3:3" x14ac:dyDescent="0.25">
      <c r="C3402" s="1"/>
    </row>
    <row r="3403" spans="3:3" x14ac:dyDescent="0.25">
      <c r="C3403" s="1"/>
    </row>
    <row r="3404" spans="3:3" x14ac:dyDescent="0.25">
      <c r="C3404" s="1"/>
    </row>
    <row r="3405" spans="3:3" x14ac:dyDescent="0.25">
      <c r="C3405" s="1"/>
    </row>
    <row r="3406" spans="3:3" x14ac:dyDescent="0.25">
      <c r="C3406" s="1"/>
    </row>
    <row r="3407" spans="3:3" x14ac:dyDescent="0.25">
      <c r="C3407" s="1"/>
    </row>
    <row r="3408" spans="3:3" x14ac:dyDescent="0.25">
      <c r="C3408" s="1"/>
    </row>
    <row r="3409" spans="3:3" x14ac:dyDescent="0.25">
      <c r="C3409" s="1"/>
    </row>
    <row r="3410" spans="3:3" x14ac:dyDescent="0.25">
      <c r="C3410" s="1"/>
    </row>
    <row r="3411" spans="3:3" x14ac:dyDescent="0.25">
      <c r="C3411" s="1"/>
    </row>
    <row r="3412" spans="3:3" x14ac:dyDescent="0.25">
      <c r="C3412" s="1"/>
    </row>
    <row r="3413" spans="3:3" x14ac:dyDescent="0.25">
      <c r="C3413" s="1"/>
    </row>
    <row r="3414" spans="3:3" x14ac:dyDescent="0.25">
      <c r="C3414" s="1"/>
    </row>
    <row r="3415" spans="3:3" x14ac:dyDescent="0.25">
      <c r="C3415" s="1"/>
    </row>
    <row r="3416" spans="3:3" x14ac:dyDescent="0.25">
      <c r="C3416" s="1"/>
    </row>
    <row r="3417" spans="3:3" x14ac:dyDescent="0.25">
      <c r="C3417" s="1"/>
    </row>
    <row r="3418" spans="3:3" x14ac:dyDescent="0.25">
      <c r="C3418" s="1"/>
    </row>
    <row r="3419" spans="3:3" x14ac:dyDescent="0.25">
      <c r="C3419" s="1"/>
    </row>
    <row r="3420" spans="3:3" x14ac:dyDescent="0.25">
      <c r="C3420" s="1"/>
    </row>
    <row r="3421" spans="3:3" x14ac:dyDescent="0.25">
      <c r="C3421" s="1"/>
    </row>
    <row r="3422" spans="3:3" x14ac:dyDescent="0.25">
      <c r="C3422" s="1"/>
    </row>
    <row r="3423" spans="3:3" x14ac:dyDescent="0.25">
      <c r="C3423" s="1"/>
    </row>
    <row r="3424" spans="3:3" x14ac:dyDescent="0.25">
      <c r="C3424" s="1"/>
    </row>
    <row r="3425" spans="3:3" x14ac:dyDescent="0.25">
      <c r="C3425" s="1"/>
    </row>
    <row r="3426" spans="3:3" x14ac:dyDescent="0.25">
      <c r="C3426" s="1"/>
    </row>
    <row r="3427" spans="3:3" x14ac:dyDescent="0.25">
      <c r="C3427" s="1"/>
    </row>
    <row r="3428" spans="3:3" x14ac:dyDescent="0.25">
      <c r="C3428" s="1"/>
    </row>
    <row r="3429" spans="3:3" x14ac:dyDescent="0.25">
      <c r="C3429" s="1"/>
    </row>
    <row r="3430" spans="3:3" x14ac:dyDescent="0.25">
      <c r="C3430" s="1"/>
    </row>
    <row r="3431" spans="3:3" x14ac:dyDescent="0.25">
      <c r="C3431" s="1"/>
    </row>
    <row r="3432" spans="3:3" x14ac:dyDescent="0.25">
      <c r="C3432" s="1"/>
    </row>
    <row r="3433" spans="3:3" x14ac:dyDescent="0.25">
      <c r="C3433" s="1"/>
    </row>
    <row r="3434" spans="3:3" x14ac:dyDescent="0.25">
      <c r="C3434" s="1"/>
    </row>
    <row r="3435" spans="3:3" x14ac:dyDescent="0.25">
      <c r="C3435" s="1"/>
    </row>
    <row r="3436" spans="3:3" x14ac:dyDescent="0.25">
      <c r="C3436" s="1"/>
    </row>
    <row r="3437" spans="3:3" x14ac:dyDescent="0.25">
      <c r="C3437" s="1"/>
    </row>
    <row r="3438" spans="3:3" x14ac:dyDescent="0.25">
      <c r="C3438" s="1"/>
    </row>
    <row r="3439" spans="3:3" x14ac:dyDescent="0.25">
      <c r="C3439" s="1"/>
    </row>
    <row r="3440" spans="3:3" x14ac:dyDescent="0.25">
      <c r="C3440" s="1"/>
    </row>
    <row r="3441" spans="3:3" x14ac:dyDescent="0.25">
      <c r="C3441" s="1"/>
    </row>
    <row r="3442" spans="3:3" x14ac:dyDescent="0.25">
      <c r="C3442" s="1"/>
    </row>
    <row r="3443" spans="3:3" x14ac:dyDescent="0.25">
      <c r="C3443" s="1"/>
    </row>
    <row r="3444" spans="3:3" x14ac:dyDescent="0.25">
      <c r="C3444" s="1"/>
    </row>
    <row r="3445" spans="3:3" x14ac:dyDescent="0.25">
      <c r="C3445" s="1"/>
    </row>
    <row r="3446" spans="3:3" x14ac:dyDescent="0.25">
      <c r="C3446" s="1"/>
    </row>
    <row r="3447" spans="3:3" x14ac:dyDescent="0.25">
      <c r="C3447" s="1"/>
    </row>
    <row r="3448" spans="3:3" x14ac:dyDescent="0.25">
      <c r="C3448" s="1"/>
    </row>
    <row r="3449" spans="3:3" x14ac:dyDescent="0.25">
      <c r="C3449" s="1"/>
    </row>
    <row r="3450" spans="3:3" x14ac:dyDescent="0.25">
      <c r="C3450" s="1"/>
    </row>
    <row r="3451" spans="3:3" x14ac:dyDescent="0.25">
      <c r="C3451" s="1"/>
    </row>
    <row r="3452" spans="3:3" x14ac:dyDescent="0.25">
      <c r="C3452" s="1"/>
    </row>
    <row r="3453" spans="3:3" x14ac:dyDescent="0.25">
      <c r="C3453" s="1"/>
    </row>
    <row r="3454" spans="3:3" x14ac:dyDescent="0.25">
      <c r="C3454" s="1"/>
    </row>
    <row r="3455" spans="3:3" x14ac:dyDescent="0.25">
      <c r="C3455" s="1"/>
    </row>
    <row r="3456" spans="3:3" x14ac:dyDescent="0.25">
      <c r="C3456" s="1"/>
    </row>
    <row r="3457" spans="3:3" x14ac:dyDescent="0.25">
      <c r="C3457" s="1"/>
    </row>
    <row r="3458" spans="3:3" x14ac:dyDescent="0.25">
      <c r="C3458" s="1"/>
    </row>
    <row r="3459" spans="3:3" x14ac:dyDescent="0.25">
      <c r="C3459" s="1"/>
    </row>
    <row r="3460" spans="3:3" x14ac:dyDescent="0.25">
      <c r="C3460" s="1"/>
    </row>
    <row r="3461" spans="3:3" x14ac:dyDescent="0.25">
      <c r="C3461" s="1"/>
    </row>
    <row r="3462" spans="3:3" x14ac:dyDescent="0.25">
      <c r="C3462" s="1"/>
    </row>
    <row r="3463" spans="3:3" x14ac:dyDescent="0.25">
      <c r="C3463" s="1"/>
    </row>
    <row r="3464" spans="3:3" x14ac:dyDescent="0.25">
      <c r="C3464" s="1"/>
    </row>
    <row r="3465" spans="3:3" x14ac:dyDescent="0.25">
      <c r="C3465" s="1"/>
    </row>
    <row r="3466" spans="3:3" x14ac:dyDescent="0.25">
      <c r="C3466" s="1"/>
    </row>
    <row r="3467" spans="3:3" x14ac:dyDescent="0.25">
      <c r="C3467" s="1"/>
    </row>
    <row r="3468" spans="3:3" x14ac:dyDescent="0.25">
      <c r="C3468" s="1"/>
    </row>
    <row r="3469" spans="3:3" x14ac:dyDescent="0.25">
      <c r="C3469" s="1"/>
    </row>
    <row r="3470" spans="3:3" x14ac:dyDescent="0.25">
      <c r="C3470" s="1"/>
    </row>
    <row r="3471" spans="3:3" x14ac:dyDescent="0.25">
      <c r="C3471" s="1"/>
    </row>
    <row r="3472" spans="3:3" x14ac:dyDescent="0.25">
      <c r="C3472" s="1"/>
    </row>
    <row r="3473" spans="3:3" x14ac:dyDescent="0.25">
      <c r="C3473" s="1"/>
    </row>
    <row r="3474" spans="3:3" x14ac:dyDescent="0.25">
      <c r="C3474" s="1"/>
    </row>
    <row r="3475" spans="3:3" x14ac:dyDescent="0.25">
      <c r="C3475" s="1"/>
    </row>
    <row r="3476" spans="3:3" x14ac:dyDescent="0.25">
      <c r="C3476" s="1"/>
    </row>
    <row r="3477" spans="3:3" x14ac:dyDescent="0.25">
      <c r="C3477" s="1"/>
    </row>
    <row r="3478" spans="3:3" x14ac:dyDescent="0.25">
      <c r="C3478" s="1"/>
    </row>
    <row r="3479" spans="3:3" x14ac:dyDescent="0.25">
      <c r="C3479" s="1"/>
    </row>
    <row r="3480" spans="3:3" x14ac:dyDescent="0.25">
      <c r="C3480" s="1"/>
    </row>
    <row r="3481" spans="3:3" x14ac:dyDescent="0.25">
      <c r="C3481" s="1"/>
    </row>
    <row r="3482" spans="3:3" x14ac:dyDescent="0.25">
      <c r="C3482" s="1"/>
    </row>
    <row r="3483" spans="3:3" x14ac:dyDescent="0.25">
      <c r="C3483" s="1"/>
    </row>
    <row r="3484" spans="3:3" x14ac:dyDescent="0.25">
      <c r="C3484" s="1"/>
    </row>
    <row r="3485" spans="3:3" x14ac:dyDescent="0.25">
      <c r="C3485" s="1"/>
    </row>
    <row r="3486" spans="3:3" x14ac:dyDescent="0.25">
      <c r="C3486" s="1"/>
    </row>
    <row r="3487" spans="3:3" x14ac:dyDescent="0.25">
      <c r="C3487" s="1"/>
    </row>
    <row r="3488" spans="3:3" x14ac:dyDescent="0.25">
      <c r="C3488" s="1"/>
    </row>
    <row r="3489" spans="3:3" x14ac:dyDescent="0.25">
      <c r="C3489" s="1"/>
    </row>
    <row r="3490" spans="3:3" x14ac:dyDescent="0.25">
      <c r="C3490" s="1"/>
    </row>
    <row r="3491" spans="3:3" x14ac:dyDescent="0.25">
      <c r="C3491" s="1"/>
    </row>
    <row r="3492" spans="3:3" x14ac:dyDescent="0.25">
      <c r="C3492" s="1"/>
    </row>
    <row r="3493" spans="3:3" x14ac:dyDescent="0.25">
      <c r="C3493" s="1"/>
    </row>
    <row r="3494" spans="3:3" x14ac:dyDescent="0.25">
      <c r="C3494" s="1"/>
    </row>
    <row r="3495" spans="3:3" x14ac:dyDescent="0.25">
      <c r="C3495" s="1"/>
    </row>
    <row r="3496" spans="3:3" x14ac:dyDescent="0.25">
      <c r="C3496" s="1"/>
    </row>
    <row r="3497" spans="3:3" x14ac:dyDescent="0.25">
      <c r="C3497" s="1"/>
    </row>
    <row r="3498" spans="3:3" x14ac:dyDescent="0.25">
      <c r="C3498" s="1"/>
    </row>
    <row r="3499" spans="3:3" x14ac:dyDescent="0.25">
      <c r="C3499" s="1"/>
    </row>
    <row r="3500" spans="3:3" x14ac:dyDescent="0.25">
      <c r="C3500" s="1"/>
    </row>
    <row r="3501" spans="3:3" x14ac:dyDescent="0.25">
      <c r="C3501" s="1"/>
    </row>
    <row r="3502" spans="3:3" x14ac:dyDescent="0.25">
      <c r="C3502" s="1"/>
    </row>
    <row r="3503" spans="3:3" x14ac:dyDescent="0.25">
      <c r="C3503" s="1"/>
    </row>
    <row r="3504" spans="3:3" x14ac:dyDescent="0.25">
      <c r="C3504" s="1"/>
    </row>
    <row r="3505" spans="3:3" x14ac:dyDescent="0.25">
      <c r="C3505" s="1"/>
    </row>
    <row r="3506" spans="3:3" x14ac:dyDescent="0.25">
      <c r="C3506" s="1"/>
    </row>
    <row r="3507" spans="3:3" x14ac:dyDescent="0.25">
      <c r="C3507" s="1"/>
    </row>
    <row r="3508" spans="3:3" x14ac:dyDescent="0.25">
      <c r="C3508" s="1"/>
    </row>
    <row r="3509" spans="3:3" x14ac:dyDescent="0.25">
      <c r="C3509" s="1"/>
    </row>
    <row r="3510" spans="3:3" x14ac:dyDescent="0.25">
      <c r="C3510" s="1"/>
    </row>
    <row r="3511" spans="3:3" x14ac:dyDescent="0.25">
      <c r="C3511" s="1"/>
    </row>
    <row r="3512" spans="3:3" x14ac:dyDescent="0.25">
      <c r="C3512" s="1"/>
    </row>
    <row r="3513" spans="3:3" x14ac:dyDescent="0.25">
      <c r="C3513" s="1"/>
    </row>
    <row r="3514" spans="3:3" x14ac:dyDescent="0.25">
      <c r="C3514" s="1"/>
    </row>
    <row r="3515" spans="3:3" x14ac:dyDescent="0.25">
      <c r="C3515" s="1"/>
    </row>
    <row r="3516" spans="3:3" x14ac:dyDescent="0.25">
      <c r="C3516" s="1"/>
    </row>
    <row r="3517" spans="3:3" x14ac:dyDescent="0.25">
      <c r="C3517" s="1"/>
    </row>
    <row r="3518" spans="3:3" x14ac:dyDescent="0.25">
      <c r="C3518" s="1"/>
    </row>
    <row r="3519" spans="3:3" x14ac:dyDescent="0.25">
      <c r="C3519" s="1"/>
    </row>
    <row r="3520" spans="3:3" x14ac:dyDescent="0.25">
      <c r="C3520" s="1"/>
    </row>
    <row r="3521" spans="3:3" x14ac:dyDescent="0.25">
      <c r="C3521" s="1"/>
    </row>
    <row r="3522" spans="3:3" x14ac:dyDescent="0.25">
      <c r="C3522" s="1"/>
    </row>
    <row r="3523" spans="3:3" x14ac:dyDescent="0.25">
      <c r="C3523" s="1"/>
    </row>
    <row r="3524" spans="3:3" x14ac:dyDescent="0.25">
      <c r="C3524" s="1"/>
    </row>
    <row r="3525" spans="3:3" x14ac:dyDescent="0.25">
      <c r="C3525" s="1"/>
    </row>
    <row r="3526" spans="3:3" x14ac:dyDescent="0.25">
      <c r="C3526" s="1"/>
    </row>
    <row r="3527" spans="3:3" x14ac:dyDescent="0.25">
      <c r="C3527" s="1"/>
    </row>
    <row r="3528" spans="3:3" x14ac:dyDescent="0.25">
      <c r="C3528" s="1"/>
    </row>
    <row r="3529" spans="3:3" x14ac:dyDescent="0.25">
      <c r="C3529" s="1"/>
    </row>
    <row r="3530" spans="3:3" x14ac:dyDescent="0.25">
      <c r="C3530" s="1"/>
    </row>
    <row r="3531" spans="3:3" x14ac:dyDescent="0.25">
      <c r="C3531" s="1"/>
    </row>
    <row r="3532" spans="3:3" x14ac:dyDescent="0.25">
      <c r="C3532" s="1"/>
    </row>
    <row r="3533" spans="3:3" x14ac:dyDescent="0.25">
      <c r="C3533" s="1"/>
    </row>
    <row r="3534" spans="3:3" x14ac:dyDescent="0.25">
      <c r="C3534" s="1"/>
    </row>
    <row r="3535" spans="3:3" x14ac:dyDescent="0.25">
      <c r="C3535" s="1"/>
    </row>
    <row r="3536" spans="3:3" x14ac:dyDescent="0.25">
      <c r="C3536" s="1"/>
    </row>
    <row r="3537" spans="3:3" x14ac:dyDescent="0.25">
      <c r="C3537" s="1"/>
    </row>
    <row r="3538" spans="3:3" x14ac:dyDescent="0.25">
      <c r="C3538" s="1"/>
    </row>
    <row r="3539" spans="3:3" x14ac:dyDescent="0.25">
      <c r="C3539" s="1"/>
    </row>
    <row r="3540" spans="3:3" x14ac:dyDescent="0.25">
      <c r="C3540" s="1"/>
    </row>
    <row r="3541" spans="3:3" x14ac:dyDescent="0.25">
      <c r="C3541" s="1"/>
    </row>
    <row r="3542" spans="3:3" x14ac:dyDescent="0.25">
      <c r="C3542" s="1"/>
    </row>
    <row r="3543" spans="3:3" x14ac:dyDescent="0.25">
      <c r="C3543" s="1"/>
    </row>
    <row r="3544" spans="3:3" x14ac:dyDescent="0.25">
      <c r="C3544" s="1"/>
    </row>
    <row r="3545" spans="3:3" x14ac:dyDescent="0.25">
      <c r="C3545" s="1"/>
    </row>
    <row r="3546" spans="3:3" x14ac:dyDescent="0.25">
      <c r="C3546" s="1"/>
    </row>
    <row r="3547" spans="3:3" x14ac:dyDescent="0.25">
      <c r="C3547" s="1"/>
    </row>
    <row r="3548" spans="3:3" x14ac:dyDescent="0.25">
      <c r="C3548" s="1"/>
    </row>
    <row r="3549" spans="3:3" x14ac:dyDescent="0.25">
      <c r="C3549" s="1"/>
    </row>
    <row r="3550" spans="3:3" x14ac:dyDescent="0.25">
      <c r="C3550" s="1"/>
    </row>
    <row r="3551" spans="3:3" x14ac:dyDescent="0.25">
      <c r="C3551" s="1"/>
    </row>
    <row r="3552" spans="3:3" x14ac:dyDescent="0.25">
      <c r="C3552" s="1"/>
    </row>
    <row r="3553" spans="3:3" x14ac:dyDescent="0.25">
      <c r="C3553" s="1"/>
    </row>
    <row r="3554" spans="3:3" x14ac:dyDescent="0.25">
      <c r="C3554" s="1"/>
    </row>
    <row r="3555" spans="3:3" x14ac:dyDescent="0.25">
      <c r="C3555" s="1"/>
    </row>
    <row r="3556" spans="3:3" x14ac:dyDescent="0.25">
      <c r="C3556" s="1"/>
    </row>
    <row r="3557" spans="3:3" x14ac:dyDescent="0.25">
      <c r="C3557" s="1"/>
    </row>
    <row r="3558" spans="3:3" x14ac:dyDescent="0.25">
      <c r="C3558" s="1"/>
    </row>
    <row r="3559" spans="3:3" x14ac:dyDescent="0.25">
      <c r="C3559" s="1"/>
    </row>
    <row r="3560" spans="3:3" x14ac:dyDescent="0.25">
      <c r="C3560" s="1"/>
    </row>
    <row r="3561" spans="3:3" x14ac:dyDescent="0.25">
      <c r="C3561" s="1"/>
    </row>
    <row r="3562" spans="3:3" x14ac:dyDescent="0.25">
      <c r="C3562" s="1"/>
    </row>
    <row r="3563" spans="3:3" x14ac:dyDescent="0.25">
      <c r="C3563" s="1"/>
    </row>
    <row r="3564" spans="3:3" x14ac:dyDescent="0.25">
      <c r="C3564" s="1"/>
    </row>
    <row r="3565" spans="3:3" x14ac:dyDescent="0.25">
      <c r="C3565" s="1"/>
    </row>
    <row r="3566" spans="3:3" x14ac:dyDescent="0.25">
      <c r="C3566" s="1"/>
    </row>
    <row r="3567" spans="3:3" x14ac:dyDescent="0.25">
      <c r="C3567" s="1"/>
    </row>
    <row r="3568" spans="3:3" x14ac:dyDescent="0.25">
      <c r="C3568" s="1"/>
    </row>
    <row r="3569" spans="3:3" x14ac:dyDescent="0.25">
      <c r="C3569" s="1"/>
    </row>
    <row r="3570" spans="3:3" x14ac:dyDescent="0.25">
      <c r="C3570" s="1"/>
    </row>
    <row r="3571" spans="3:3" x14ac:dyDescent="0.25">
      <c r="C3571" s="1"/>
    </row>
    <row r="3572" spans="3:3" x14ac:dyDescent="0.25">
      <c r="C3572" s="1"/>
    </row>
    <row r="3573" spans="3:3" x14ac:dyDescent="0.25">
      <c r="C3573" s="1"/>
    </row>
    <row r="3574" spans="3:3" x14ac:dyDescent="0.25">
      <c r="C3574" s="1"/>
    </row>
    <row r="3575" spans="3:3" x14ac:dyDescent="0.25">
      <c r="C3575" s="1"/>
    </row>
    <row r="3576" spans="3:3" x14ac:dyDescent="0.25">
      <c r="C3576" s="1"/>
    </row>
    <row r="3577" spans="3:3" x14ac:dyDescent="0.25">
      <c r="C3577" s="1"/>
    </row>
    <row r="3578" spans="3:3" x14ac:dyDescent="0.25">
      <c r="C3578" s="1"/>
    </row>
    <row r="3579" spans="3:3" x14ac:dyDescent="0.25">
      <c r="C3579" s="1"/>
    </row>
    <row r="3580" spans="3:3" x14ac:dyDescent="0.25">
      <c r="C3580" s="1"/>
    </row>
    <row r="3581" spans="3:3" x14ac:dyDescent="0.25">
      <c r="C3581" s="1"/>
    </row>
    <row r="3582" spans="3:3" x14ac:dyDescent="0.25">
      <c r="C3582" s="1"/>
    </row>
    <row r="3583" spans="3:3" x14ac:dyDescent="0.25">
      <c r="C3583" s="1"/>
    </row>
    <row r="3584" spans="3:3" x14ac:dyDescent="0.25">
      <c r="C3584" s="1"/>
    </row>
    <row r="3585" spans="3:3" x14ac:dyDescent="0.25">
      <c r="C3585" s="1"/>
    </row>
    <row r="3586" spans="3:3" x14ac:dyDescent="0.25">
      <c r="C3586" s="1"/>
    </row>
    <row r="3587" spans="3:3" x14ac:dyDescent="0.25">
      <c r="C3587" s="1"/>
    </row>
    <row r="3588" spans="3:3" x14ac:dyDescent="0.25">
      <c r="C3588" s="1"/>
    </row>
    <row r="3589" spans="3:3" x14ac:dyDescent="0.25">
      <c r="C3589" s="1"/>
    </row>
    <row r="3590" spans="3:3" x14ac:dyDescent="0.25">
      <c r="C3590" s="1"/>
    </row>
    <row r="3591" spans="3:3" x14ac:dyDescent="0.25">
      <c r="C3591" s="1"/>
    </row>
    <row r="3592" spans="3:3" x14ac:dyDescent="0.25">
      <c r="C3592" s="1"/>
    </row>
    <row r="3593" spans="3:3" x14ac:dyDescent="0.25">
      <c r="C3593" s="1"/>
    </row>
    <row r="3594" spans="3:3" x14ac:dyDescent="0.25">
      <c r="C3594" s="1"/>
    </row>
    <row r="3595" spans="3:3" x14ac:dyDescent="0.25">
      <c r="C3595" s="1"/>
    </row>
    <row r="3596" spans="3:3" x14ac:dyDescent="0.25">
      <c r="C3596" s="1"/>
    </row>
    <row r="3597" spans="3:3" x14ac:dyDescent="0.25">
      <c r="C3597" s="1"/>
    </row>
    <row r="3598" spans="3:3" x14ac:dyDescent="0.25">
      <c r="C3598" s="1"/>
    </row>
    <row r="3599" spans="3:3" x14ac:dyDescent="0.25">
      <c r="C3599" s="1"/>
    </row>
    <row r="3600" spans="3:3" x14ac:dyDescent="0.25">
      <c r="C3600" s="1"/>
    </row>
    <row r="3601" spans="3:3" x14ac:dyDescent="0.25">
      <c r="C3601" s="1"/>
    </row>
    <row r="3602" spans="3:3" x14ac:dyDescent="0.25">
      <c r="C3602" s="1"/>
    </row>
    <row r="3603" spans="3:3" x14ac:dyDescent="0.25">
      <c r="C3603" s="1"/>
    </row>
    <row r="3604" spans="3:3" x14ac:dyDescent="0.25">
      <c r="C3604" s="1"/>
    </row>
    <row r="3605" spans="3:3" x14ac:dyDescent="0.25">
      <c r="C3605" s="1"/>
    </row>
    <row r="3606" spans="3:3" x14ac:dyDescent="0.25">
      <c r="C3606" s="1"/>
    </row>
    <row r="3607" spans="3:3" x14ac:dyDescent="0.25">
      <c r="C3607" s="1"/>
    </row>
    <row r="3608" spans="3:3" x14ac:dyDescent="0.25">
      <c r="C3608" s="1"/>
    </row>
    <row r="3609" spans="3:3" x14ac:dyDescent="0.25">
      <c r="C3609" s="1"/>
    </row>
    <row r="3610" spans="3:3" x14ac:dyDescent="0.25">
      <c r="C3610" s="1"/>
    </row>
    <row r="3611" spans="3:3" x14ac:dyDescent="0.25">
      <c r="C3611" s="1"/>
    </row>
    <row r="3612" spans="3:3" x14ac:dyDescent="0.25">
      <c r="C3612" s="1"/>
    </row>
    <row r="3613" spans="3:3" x14ac:dyDescent="0.25">
      <c r="C3613" s="1"/>
    </row>
    <row r="3614" spans="3:3" x14ac:dyDescent="0.25">
      <c r="C3614" s="1"/>
    </row>
    <row r="3615" spans="3:3" x14ac:dyDescent="0.25">
      <c r="C3615" s="1"/>
    </row>
    <row r="3616" spans="3:3" x14ac:dyDescent="0.25">
      <c r="C3616" s="1"/>
    </row>
    <row r="3617" spans="3:3" x14ac:dyDescent="0.25">
      <c r="C3617" s="1"/>
    </row>
    <row r="3618" spans="3:3" x14ac:dyDescent="0.25">
      <c r="C3618" s="1"/>
    </row>
    <row r="3619" spans="3:3" x14ac:dyDescent="0.25">
      <c r="C3619" s="1"/>
    </row>
    <row r="3620" spans="3:3" x14ac:dyDescent="0.25">
      <c r="C3620" s="1"/>
    </row>
    <row r="3621" spans="3:3" x14ac:dyDescent="0.25">
      <c r="C3621" s="1"/>
    </row>
    <row r="3622" spans="3:3" x14ac:dyDescent="0.25">
      <c r="C3622" s="1"/>
    </row>
    <row r="3623" spans="3:3" x14ac:dyDescent="0.25">
      <c r="C3623" s="1"/>
    </row>
    <row r="3624" spans="3:3" x14ac:dyDescent="0.25">
      <c r="C3624" s="1"/>
    </row>
    <row r="3625" spans="3:3" x14ac:dyDescent="0.25">
      <c r="C3625" s="1"/>
    </row>
    <row r="3626" spans="3:3" x14ac:dyDescent="0.25">
      <c r="C3626" s="1"/>
    </row>
    <row r="3627" spans="3:3" x14ac:dyDescent="0.25">
      <c r="C3627" s="1"/>
    </row>
    <row r="3628" spans="3:3" x14ac:dyDescent="0.25">
      <c r="C3628" s="1"/>
    </row>
    <row r="3629" spans="3:3" x14ac:dyDescent="0.25">
      <c r="C3629" s="1"/>
    </row>
    <row r="3630" spans="3:3" x14ac:dyDescent="0.25">
      <c r="C3630" s="1"/>
    </row>
    <row r="3631" spans="3:3" x14ac:dyDescent="0.25">
      <c r="C3631" s="1"/>
    </row>
    <row r="3632" spans="3:3" x14ac:dyDescent="0.25">
      <c r="C3632" s="1"/>
    </row>
    <row r="3633" spans="3:3" x14ac:dyDescent="0.25">
      <c r="C3633" s="1"/>
    </row>
    <row r="3634" spans="3:3" x14ac:dyDescent="0.25">
      <c r="C3634" s="1"/>
    </row>
    <row r="3635" spans="3:3" x14ac:dyDescent="0.25">
      <c r="C3635" s="1"/>
    </row>
    <row r="3636" spans="3:3" x14ac:dyDescent="0.25">
      <c r="C3636" s="1"/>
    </row>
    <row r="3637" spans="3:3" x14ac:dyDescent="0.25">
      <c r="C3637" s="1"/>
    </row>
    <row r="3638" spans="3:3" x14ac:dyDescent="0.25">
      <c r="C3638" s="1"/>
    </row>
    <row r="3639" spans="3:3" x14ac:dyDescent="0.25">
      <c r="C3639" s="1"/>
    </row>
    <row r="3640" spans="3:3" x14ac:dyDescent="0.25">
      <c r="C3640" s="1"/>
    </row>
    <row r="3641" spans="3:3" x14ac:dyDescent="0.25">
      <c r="C3641" s="1"/>
    </row>
    <row r="3642" spans="3:3" x14ac:dyDescent="0.25">
      <c r="C3642" s="1"/>
    </row>
    <row r="3643" spans="3:3" x14ac:dyDescent="0.25">
      <c r="C3643" s="1"/>
    </row>
    <row r="3644" spans="3:3" x14ac:dyDescent="0.25">
      <c r="C3644" s="1"/>
    </row>
    <row r="3645" spans="3:3" x14ac:dyDescent="0.25">
      <c r="C3645" s="1"/>
    </row>
    <row r="3646" spans="3:3" x14ac:dyDescent="0.25">
      <c r="C3646" s="1"/>
    </row>
    <row r="3647" spans="3:3" x14ac:dyDescent="0.25">
      <c r="C3647" s="1"/>
    </row>
    <row r="3648" spans="3:3" x14ac:dyDescent="0.25">
      <c r="C3648" s="1"/>
    </row>
    <row r="3649" spans="3:3" x14ac:dyDescent="0.25">
      <c r="C3649" s="1"/>
    </row>
    <row r="3650" spans="3:3" x14ac:dyDescent="0.25">
      <c r="C3650" s="1"/>
    </row>
    <row r="3651" spans="3:3" x14ac:dyDescent="0.25">
      <c r="C3651" s="1"/>
    </row>
    <row r="3652" spans="3:3" x14ac:dyDescent="0.25">
      <c r="C3652" s="1"/>
    </row>
    <row r="3653" spans="3:3" x14ac:dyDescent="0.25">
      <c r="C3653" s="1"/>
    </row>
    <row r="3654" spans="3:3" x14ac:dyDescent="0.25">
      <c r="C3654" s="1"/>
    </row>
    <row r="3655" spans="3:3" x14ac:dyDescent="0.25">
      <c r="C3655" s="1"/>
    </row>
    <row r="3656" spans="3:3" x14ac:dyDescent="0.25">
      <c r="C3656" s="1"/>
    </row>
    <row r="3657" spans="3:3" x14ac:dyDescent="0.25">
      <c r="C3657" s="1"/>
    </row>
    <row r="3658" spans="3:3" x14ac:dyDescent="0.25">
      <c r="C3658" s="1"/>
    </row>
    <row r="3659" spans="3:3" x14ac:dyDescent="0.25">
      <c r="C3659" s="1"/>
    </row>
    <row r="3660" spans="3:3" x14ac:dyDescent="0.25">
      <c r="C3660" s="1"/>
    </row>
    <row r="3661" spans="3:3" x14ac:dyDescent="0.25">
      <c r="C3661" s="1"/>
    </row>
    <row r="3662" spans="3:3" x14ac:dyDescent="0.25">
      <c r="C3662" s="1"/>
    </row>
    <row r="3663" spans="3:3" x14ac:dyDescent="0.25">
      <c r="C3663" s="1"/>
    </row>
    <row r="3664" spans="3:3" x14ac:dyDescent="0.25">
      <c r="C3664" s="1"/>
    </row>
    <row r="3665" spans="3:3" x14ac:dyDescent="0.25">
      <c r="C3665" s="1"/>
    </row>
    <row r="3666" spans="3:3" x14ac:dyDescent="0.25">
      <c r="C3666" s="1"/>
    </row>
    <row r="3667" spans="3:3" x14ac:dyDescent="0.25">
      <c r="C3667" s="1"/>
    </row>
    <row r="3668" spans="3:3" x14ac:dyDescent="0.25">
      <c r="C3668" s="1"/>
    </row>
    <row r="3669" spans="3:3" x14ac:dyDescent="0.25">
      <c r="C3669" s="1"/>
    </row>
    <row r="3670" spans="3:3" x14ac:dyDescent="0.25">
      <c r="C3670" s="1"/>
    </row>
    <row r="3671" spans="3:3" x14ac:dyDescent="0.25">
      <c r="C3671" s="1"/>
    </row>
    <row r="3672" spans="3:3" x14ac:dyDescent="0.25">
      <c r="C3672" s="1"/>
    </row>
    <row r="3673" spans="3:3" x14ac:dyDescent="0.25">
      <c r="C3673" s="1"/>
    </row>
    <row r="3674" spans="3:3" x14ac:dyDescent="0.25">
      <c r="C3674" s="1"/>
    </row>
    <row r="3675" spans="3:3" x14ac:dyDescent="0.25">
      <c r="C3675" s="1"/>
    </row>
    <row r="3676" spans="3:3" x14ac:dyDescent="0.25">
      <c r="C3676" s="1"/>
    </row>
    <row r="3677" spans="3:3" x14ac:dyDescent="0.25">
      <c r="C3677" s="1"/>
    </row>
    <row r="3678" spans="3:3" x14ac:dyDescent="0.25">
      <c r="C3678" s="1"/>
    </row>
    <row r="3679" spans="3:3" x14ac:dyDescent="0.25">
      <c r="C3679" s="1"/>
    </row>
    <row r="3680" spans="3:3" x14ac:dyDescent="0.25">
      <c r="C3680" s="1"/>
    </row>
    <row r="3681" spans="3:3" x14ac:dyDescent="0.25">
      <c r="C3681" s="1"/>
    </row>
    <row r="3682" spans="3:3" x14ac:dyDescent="0.25">
      <c r="C3682" s="1"/>
    </row>
    <row r="3683" spans="3:3" x14ac:dyDescent="0.25">
      <c r="C3683" s="1"/>
    </row>
    <row r="3684" spans="3:3" x14ac:dyDescent="0.25">
      <c r="C3684" s="1"/>
    </row>
    <row r="3685" spans="3:3" x14ac:dyDescent="0.25">
      <c r="C3685" s="1"/>
    </row>
    <row r="3686" spans="3:3" x14ac:dyDescent="0.25">
      <c r="C3686" s="1"/>
    </row>
    <row r="3687" spans="3:3" x14ac:dyDescent="0.25">
      <c r="C3687" s="1"/>
    </row>
    <row r="3688" spans="3:3" x14ac:dyDescent="0.25">
      <c r="C3688" s="1"/>
    </row>
    <row r="3689" spans="3:3" x14ac:dyDescent="0.25">
      <c r="C3689" s="1"/>
    </row>
    <row r="3690" spans="3:3" x14ac:dyDescent="0.25">
      <c r="C3690" s="1"/>
    </row>
    <row r="3691" spans="3:3" x14ac:dyDescent="0.25">
      <c r="C3691" s="1"/>
    </row>
    <row r="3692" spans="3:3" x14ac:dyDescent="0.25">
      <c r="C3692" s="1"/>
    </row>
    <row r="3693" spans="3:3" x14ac:dyDescent="0.25">
      <c r="C3693" s="1"/>
    </row>
    <row r="3694" spans="3:3" x14ac:dyDescent="0.25">
      <c r="C3694" s="1"/>
    </row>
    <row r="3695" spans="3:3" x14ac:dyDescent="0.25">
      <c r="C3695" s="1"/>
    </row>
    <row r="3696" spans="3:3" x14ac:dyDescent="0.25">
      <c r="C3696" s="1"/>
    </row>
    <row r="3697" spans="3:3" x14ac:dyDescent="0.25">
      <c r="C3697" s="1"/>
    </row>
    <row r="3698" spans="3:3" x14ac:dyDescent="0.25">
      <c r="C3698" s="1"/>
    </row>
    <row r="3699" spans="3:3" x14ac:dyDescent="0.25">
      <c r="C3699" s="1"/>
    </row>
    <row r="3700" spans="3:3" x14ac:dyDescent="0.25">
      <c r="C3700" s="1"/>
    </row>
    <row r="3701" spans="3:3" x14ac:dyDescent="0.25">
      <c r="C3701" s="1"/>
    </row>
    <row r="3702" spans="3:3" x14ac:dyDescent="0.25">
      <c r="C3702" s="1"/>
    </row>
    <row r="3703" spans="3:3" x14ac:dyDescent="0.25">
      <c r="C3703" s="1"/>
    </row>
    <row r="3704" spans="3:3" x14ac:dyDescent="0.25">
      <c r="C3704" s="1"/>
    </row>
    <row r="3705" spans="3:3" x14ac:dyDescent="0.25">
      <c r="C3705" s="1"/>
    </row>
    <row r="3706" spans="3:3" x14ac:dyDescent="0.25">
      <c r="C3706" s="1"/>
    </row>
    <row r="3707" spans="3:3" x14ac:dyDescent="0.25">
      <c r="C3707" s="1"/>
    </row>
    <row r="3708" spans="3:3" x14ac:dyDescent="0.25">
      <c r="C3708" s="1"/>
    </row>
    <row r="3709" spans="3:3" x14ac:dyDescent="0.25">
      <c r="C3709" s="1"/>
    </row>
    <row r="3710" spans="3:3" x14ac:dyDescent="0.25">
      <c r="C3710" s="1"/>
    </row>
    <row r="3711" spans="3:3" x14ac:dyDescent="0.25">
      <c r="C3711" s="1"/>
    </row>
    <row r="3712" spans="3:3" x14ac:dyDescent="0.25">
      <c r="C3712" s="1"/>
    </row>
    <row r="3713" spans="3:3" x14ac:dyDescent="0.25">
      <c r="C3713" s="1"/>
    </row>
    <row r="3714" spans="3:3" x14ac:dyDescent="0.25">
      <c r="C3714" s="1"/>
    </row>
    <row r="3715" spans="3:3" x14ac:dyDescent="0.25">
      <c r="C3715" s="1"/>
    </row>
    <row r="3716" spans="3:3" x14ac:dyDescent="0.25">
      <c r="C3716" s="1"/>
    </row>
    <row r="3717" spans="3:3" x14ac:dyDescent="0.25">
      <c r="C3717" s="1"/>
    </row>
    <row r="3718" spans="3:3" x14ac:dyDescent="0.25">
      <c r="C3718" s="1"/>
    </row>
    <row r="3719" spans="3:3" x14ac:dyDescent="0.25">
      <c r="C3719" s="1"/>
    </row>
    <row r="3720" spans="3:3" x14ac:dyDescent="0.25">
      <c r="C3720" s="1"/>
    </row>
    <row r="3721" spans="3:3" x14ac:dyDescent="0.25">
      <c r="C3721" s="1"/>
    </row>
    <row r="3722" spans="3:3" x14ac:dyDescent="0.25">
      <c r="C3722" s="1"/>
    </row>
    <row r="3723" spans="3:3" x14ac:dyDescent="0.25">
      <c r="C3723" s="1"/>
    </row>
    <row r="3724" spans="3:3" x14ac:dyDescent="0.25">
      <c r="C3724" s="1"/>
    </row>
    <row r="3725" spans="3:3" x14ac:dyDescent="0.25">
      <c r="C3725" s="1"/>
    </row>
    <row r="3726" spans="3:3" x14ac:dyDescent="0.25">
      <c r="C3726" s="1"/>
    </row>
    <row r="3727" spans="3:3" x14ac:dyDescent="0.25">
      <c r="C3727" s="1"/>
    </row>
    <row r="3728" spans="3:3" x14ac:dyDescent="0.25">
      <c r="C3728" s="1"/>
    </row>
    <row r="3729" spans="3:3" x14ac:dyDescent="0.25">
      <c r="C3729" s="1"/>
    </row>
    <row r="3730" spans="3:3" x14ac:dyDescent="0.25">
      <c r="C3730" s="1"/>
    </row>
    <row r="3731" spans="3:3" x14ac:dyDescent="0.25">
      <c r="C3731" s="1"/>
    </row>
    <row r="3732" spans="3:3" x14ac:dyDescent="0.25">
      <c r="C3732" s="1"/>
    </row>
    <row r="3733" spans="3:3" x14ac:dyDescent="0.25">
      <c r="C3733" s="1"/>
    </row>
    <row r="3734" spans="3:3" x14ac:dyDescent="0.25">
      <c r="C3734" s="1"/>
    </row>
    <row r="3735" spans="3:3" x14ac:dyDescent="0.25">
      <c r="C3735" s="1"/>
    </row>
    <row r="3736" spans="3:3" x14ac:dyDescent="0.25">
      <c r="C3736" s="1"/>
    </row>
    <row r="3737" spans="3:3" x14ac:dyDescent="0.25">
      <c r="C3737" s="1"/>
    </row>
    <row r="3738" spans="3:3" x14ac:dyDescent="0.25">
      <c r="C3738" s="1"/>
    </row>
    <row r="3739" spans="3:3" x14ac:dyDescent="0.25">
      <c r="C3739" s="1"/>
    </row>
    <row r="3740" spans="3:3" x14ac:dyDescent="0.25">
      <c r="C3740" s="1"/>
    </row>
    <row r="3741" spans="3:3" x14ac:dyDescent="0.25">
      <c r="C3741" s="1"/>
    </row>
    <row r="3742" spans="3:3" x14ac:dyDescent="0.25">
      <c r="C3742" s="1"/>
    </row>
    <row r="3743" spans="3:3" x14ac:dyDescent="0.25">
      <c r="C3743" s="1"/>
    </row>
    <row r="3744" spans="3:3" x14ac:dyDescent="0.25">
      <c r="C3744" s="1"/>
    </row>
    <row r="3745" spans="3:3" x14ac:dyDescent="0.25">
      <c r="C3745" s="1"/>
    </row>
    <row r="3746" spans="3:3" x14ac:dyDescent="0.25">
      <c r="C3746" s="1"/>
    </row>
    <row r="3747" spans="3:3" x14ac:dyDescent="0.25">
      <c r="C3747" s="1"/>
    </row>
    <row r="3748" spans="3:3" x14ac:dyDescent="0.25">
      <c r="C3748" s="1"/>
    </row>
    <row r="3749" spans="3:3" x14ac:dyDescent="0.25">
      <c r="C3749" s="1"/>
    </row>
    <row r="3750" spans="3:3" x14ac:dyDescent="0.25">
      <c r="C3750" s="1"/>
    </row>
    <row r="3751" spans="3:3" x14ac:dyDescent="0.25">
      <c r="C3751" s="1"/>
    </row>
    <row r="3752" spans="3:3" x14ac:dyDescent="0.25">
      <c r="C3752" s="1"/>
    </row>
    <row r="3753" spans="3:3" x14ac:dyDescent="0.25">
      <c r="C3753" s="1"/>
    </row>
    <row r="3754" spans="3:3" x14ac:dyDescent="0.25">
      <c r="C3754" s="1"/>
    </row>
    <row r="3755" spans="3:3" x14ac:dyDescent="0.25">
      <c r="C3755" s="1"/>
    </row>
    <row r="3756" spans="3:3" x14ac:dyDescent="0.25">
      <c r="C3756" s="1"/>
    </row>
    <row r="3757" spans="3:3" x14ac:dyDescent="0.25">
      <c r="C3757" s="1"/>
    </row>
    <row r="3758" spans="3:3" x14ac:dyDescent="0.25">
      <c r="C3758" s="1"/>
    </row>
    <row r="3759" spans="3:3" x14ac:dyDescent="0.25">
      <c r="C3759" s="1"/>
    </row>
    <row r="3760" spans="3:3" x14ac:dyDescent="0.25">
      <c r="C3760" s="1"/>
    </row>
    <row r="3761" spans="3:3" x14ac:dyDescent="0.25">
      <c r="C3761" s="1"/>
    </row>
    <row r="3762" spans="3:3" x14ac:dyDescent="0.25">
      <c r="C3762" s="1"/>
    </row>
    <row r="3763" spans="3:3" x14ac:dyDescent="0.25">
      <c r="C3763" s="1"/>
    </row>
    <row r="3764" spans="3:3" x14ac:dyDescent="0.25">
      <c r="C3764" s="1"/>
    </row>
    <row r="3765" spans="3:3" x14ac:dyDescent="0.25">
      <c r="C3765" s="1"/>
    </row>
    <row r="3766" spans="3:3" x14ac:dyDescent="0.25">
      <c r="C3766" s="1"/>
    </row>
    <row r="3767" spans="3:3" x14ac:dyDescent="0.25">
      <c r="C3767" s="1"/>
    </row>
    <row r="3768" spans="3:3" x14ac:dyDescent="0.25">
      <c r="C3768" s="1"/>
    </row>
    <row r="3769" spans="3:3" x14ac:dyDescent="0.25">
      <c r="C3769" s="1"/>
    </row>
    <row r="3770" spans="3:3" x14ac:dyDescent="0.25">
      <c r="C3770" s="1"/>
    </row>
    <row r="3771" spans="3:3" x14ac:dyDescent="0.25">
      <c r="C3771" s="1"/>
    </row>
    <row r="3772" spans="3:3" x14ac:dyDescent="0.25">
      <c r="C3772" s="1"/>
    </row>
    <row r="3773" spans="3:3" x14ac:dyDescent="0.25">
      <c r="C3773" s="1"/>
    </row>
    <row r="3774" spans="3:3" x14ac:dyDescent="0.25">
      <c r="C3774" s="1"/>
    </row>
    <row r="3775" spans="3:3" x14ac:dyDescent="0.25">
      <c r="C3775" s="1"/>
    </row>
    <row r="3776" spans="3:3" x14ac:dyDescent="0.25">
      <c r="C3776" s="1"/>
    </row>
    <row r="3777" spans="3:3" x14ac:dyDescent="0.25">
      <c r="C3777" s="1"/>
    </row>
    <row r="3778" spans="3:3" x14ac:dyDescent="0.25">
      <c r="C3778" s="1"/>
    </row>
    <row r="3779" spans="3:3" x14ac:dyDescent="0.25">
      <c r="C3779" s="1"/>
    </row>
    <row r="3780" spans="3:3" x14ac:dyDescent="0.25">
      <c r="C3780" s="1"/>
    </row>
    <row r="3781" spans="3:3" x14ac:dyDescent="0.25">
      <c r="C3781" s="1"/>
    </row>
    <row r="3782" spans="3:3" x14ac:dyDescent="0.25">
      <c r="C3782" s="1"/>
    </row>
    <row r="3783" spans="3:3" x14ac:dyDescent="0.25">
      <c r="C3783" s="1"/>
    </row>
    <row r="3784" spans="3:3" x14ac:dyDescent="0.25">
      <c r="C3784" s="1"/>
    </row>
    <row r="3785" spans="3:3" x14ac:dyDescent="0.25">
      <c r="C3785" s="1"/>
    </row>
    <row r="3786" spans="3:3" x14ac:dyDescent="0.25">
      <c r="C3786" s="1"/>
    </row>
    <row r="3787" spans="3:3" x14ac:dyDescent="0.25">
      <c r="C3787" s="1"/>
    </row>
    <row r="3788" spans="3:3" x14ac:dyDescent="0.25">
      <c r="C3788" s="1"/>
    </row>
    <row r="3789" spans="3:3" x14ac:dyDescent="0.25">
      <c r="C3789" s="1"/>
    </row>
    <row r="3790" spans="3:3" x14ac:dyDescent="0.25">
      <c r="C3790" s="1"/>
    </row>
    <row r="3791" spans="3:3" x14ac:dyDescent="0.25">
      <c r="C3791" s="1"/>
    </row>
    <row r="3792" spans="3:3" x14ac:dyDescent="0.25">
      <c r="C3792" s="1"/>
    </row>
    <row r="3793" spans="3:3" x14ac:dyDescent="0.25">
      <c r="C3793" s="1"/>
    </row>
    <row r="3794" spans="3:3" x14ac:dyDescent="0.25">
      <c r="C3794" s="1"/>
    </row>
    <row r="3795" spans="3:3" x14ac:dyDescent="0.25">
      <c r="C3795" s="1"/>
    </row>
    <row r="3796" spans="3:3" x14ac:dyDescent="0.25">
      <c r="C3796" s="1"/>
    </row>
    <row r="3797" spans="3:3" x14ac:dyDescent="0.25">
      <c r="C3797" s="1"/>
    </row>
    <row r="3798" spans="3:3" x14ac:dyDescent="0.25">
      <c r="C3798" s="1"/>
    </row>
    <row r="3799" spans="3:3" x14ac:dyDescent="0.25">
      <c r="C3799" s="1"/>
    </row>
    <row r="3800" spans="3:3" x14ac:dyDescent="0.25">
      <c r="C3800" s="1"/>
    </row>
    <row r="3801" spans="3:3" x14ac:dyDescent="0.25">
      <c r="C3801" s="1"/>
    </row>
    <row r="3802" spans="3:3" x14ac:dyDescent="0.25">
      <c r="C3802" s="1"/>
    </row>
    <row r="3803" spans="3:3" x14ac:dyDescent="0.25">
      <c r="C3803" s="1"/>
    </row>
    <row r="3804" spans="3:3" x14ac:dyDescent="0.25">
      <c r="C3804" s="1"/>
    </row>
    <row r="3805" spans="3:3" x14ac:dyDescent="0.25">
      <c r="C3805" s="1"/>
    </row>
    <row r="3806" spans="3:3" x14ac:dyDescent="0.25">
      <c r="C3806" s="1"/>
    </row>
    <row r="3807" spans="3:3" x14ac:dyDescent="0.25">
      <c r="C3807" s="1"/>
    </row>
    <row r="3808" spans="3:3" x14ac:dyDescent="0.25">
      <c r="C3808" s="1"/>
    </row>
    <row r="3809" spans="3:3" x14ac:dyDescent="0.25">
      <c r="C3809" s="1"/>
    </row>
    <row r="3810" spans="3:3" x14ac:dyDescent="0.25">
      <c r="C3810" s="1"/>
    </row>
    <row r="3811" spans="3:3" x14ac:dyDescent="0.25">
      <c r="C3811" s="1"/>
    </row>
    <row r="3812" spans="3:3" x14ac:dyDescent="0.25">
      <c r="C3812" s="1"/>
    </row>
    <row r="3813" spans="3:3" x14ac:dyDescent="0.25">
      <c r="C3813" s="1"/>
    </row>
    <row r="3814" spans="3:3" x14ac:dyDescent="0.25">
      <c r="C3814" s="1"/>
    </row>
    <row r="3815" spans="3:3" x14ac:dyDescent="0.25">
      <c r="C3815" s="1"/>
    </row>
    <row r="3816" spans="3:3" x14ac:dyDescent="0.25">
      <c r="C3816" s="1"/>
    </row>
    <row r="3817" spans="3:3" x14ac:dyDescent="0.25">
      <c r="C3817" s="1"/>
    </row>
    <row r="3818" spans="3:3" x14ac:dyDescent="0.25">
      <c r="C3818" s="1"/>
    </row>
    <row r="3819" spans="3:3" x14ac:dyDescent="0.25">
      <c r="C3819" s="1"/>
    </row>
    <row r="3820" spans="3:3" x14ac:dyDescent="0.25">
      <c r="C3820" s="1"/>
    </row>
    <row r="3821" spans="3:3" x14ac:dyDescent="0.25">
      <c r="C3821" s="1"/>
    </row>
    <row r="3822" spans="3:3" x14ac:dyDescent="0.25">
      <c r="C3822" s="1"/>
    </row>
    <row r="3823" spans="3:3" x14ac:dyDescent="0.25">
      <c r="C3823" s="1"/>
    </row>
    <row r="3824" spans="3:3" x14ac:dyDescent="0.25">
      <c r="C3824" s="1"/>
    </row>
    <row r="3825" spans="3:3" x14ac:dyDescent="0.25">
      <c r="C3825" s="1"/>
    </row>
    <row r="3826" spans="3:3" x14ac:dyDescent="0.25">
      <c r="C3826" s="1"/>
    </row>
    <row r="3827" spans="3:3" x14ac:dyDescent="0.25">
      <c r="C3827" s="1"/>
    </row>
    <row r="3828" spans="3:3" x14ac:dyDescent="0.25">
      <c r="C3828" s="1"/>
    </row>
    <row r="3829" spans="3:3" x14ac:dyDescent="0.25">
      <c r="C3829" s="1"/>
    </row>
    <row r="3830" spans="3:3" x14ac:dyDescent="0.25">
      <c r="C3830" s="1"/>
    </row>
    <row r="3831" spans="3:3" x14ac:dyDescent="0.25">
      <c r="C3831" s="1"/>
    </row>
    <row r="3832" spans="3:3" x14ac:dyDescent="0.25">
      <c r="C3832" s="1"/>
    </row>
    <row r="3833" spans="3:3" x14ac:dyDescent="0.25">
      <c r="C3833" s="1"/>
    </row>
    <row r="3834" spans="3:3" x14ac:dyDescent="0.25">
      <c r="C3834" s="1"/>
    </row>
    <row r="3835" spans="3:3" x14ac:dyDescent="0.25">
      <c r="C3835" s="1"/>
    </row>
    <row r="3836" spans="3:3" x14ac:dyDescent="0.25">
      <c r="C3836" s="1"/>
    </row>
    <row r="3837" spans="3:3" x14ac:dyDescent="0.25">
      <c r="C3837" s="1"/>
    </row>
    <row r="3838" spans="3:3" x14ac:dyDescent="0.25">
      <c r="C3838" s="1"/>
    </row>
    <row r="3839" spans="3:3" x14ac:dyDescent="0.25">
      <c r="C3839" s="1"/>
    </row>
    <row r="3840" spans="3:3" x14ac:dyDescent="0.25">
      <c r="C3840" s="1"/>
    </row>
    <row r="3841" spans="3:3" x14ac:dyDescent="0.25">
      <c r="C3841" s="1"/>
    </row>
    <row r="3842" spans="3:3" x14ac:dyDescent="0.25">
      <c r="C3842" s="1"/>
    </row>
    <row r="3843" spans="3:3" x14ac:dyDescent="0.25">
      <c r="C3843" s="1"/>
    </row>
    <row r="3844" spans="3:3" x14ac:dyDescent="0.25">
      <c r="C3844" s="1"/>
    </row>
    <row r="3845" spans="3:3" x14ac:dyDescent="0.25">
      <c r="C3845" s="1"/>
    </row>
    <row r="3846" spans="3:3" x14ac:dyDescent="0.25">
      <c r="C3846" s="1"/>
    </row>
    <row r="3847" spans="3:3" x14ac:dyDescent="0.25">
      <c r="C3847" s="1"/>
    </row>
    <row r="3848" spans="3:3" x14ac:dyDescent="0.25">
      <c r="C3848" s="1"/>
    </row>
    <row r="3849" spans="3:3" x14ac:dyDescent="0.25">
      <c r="C3849" s="1"/>
    </row>
    <row r="3850" spans="3:3" x14ac:dyDescent="0.25">
      <c r="C3850" s="1"/>
    </row>
    <row r="3851" spans="3:3" x14ac:dyDescent="0.25">
      <c r="C3851" s="1"/>
    </row>
    <row r="3852" spans="3:3" x14ac:dyDescent="0.25">
      <c r="C3852" s="1"/>
    </row>
    <row r="3853" spans="3:3" x14ac:dyDescent="0.25">
      <c r="C3853" s="1"/>
    </row>
    <row r="3854" spans="3:3" x14ac:dyDescent="0.25">
      <c r="C3854" s="1"/>
    </row>
    <row r="3855" spans="3:3" x14ac:dyDescent="0.25">
      <c r="C3855" s="1"/>
    </row>
    <row r="3856" spans="3:3" x14ac:dyDescent="0.25">
      <c r="C3856" s="1"/>
    </row>
    <row r="3857" spans="3:3" x14ac:dyDescent="0.25">
      <c r="C3857" s="1"/>
    </row>
    <row r="3858" spans="3:3" x14ac:dyDescent="0.25">
      <c r="C3858" s="1"/>
    </row>
    <row r="3859" spans="3:3" x14ac:dyDescent="0.25">
      <c r="C3859" s="1"/>
    </row>
    <row r="3860" spans="3:3" x14ac:dyDescent="0.25">
      <c r="C3860" s="1"/>
    </row>
    <row r="3861" spans="3:3" x14ac:dyDescent="0.25">
      <c r="C3861" s="1"/>
    </row>
    <row r="3862" spans="3:3" x14ac:dyDescent="0.25">
      <c r="C3862" s="1"/>
    </row>
    <row r="3863" spans="3:3" x14ac:dyDescent="0.25">
      <c r="C3863" s="1"/>
    </row>
    <row r="3864" spans="3:3" x14ac:dyDescent="0.25">
      <c r="C3864" s="1"/>
    </row>
    <row r="3865" spans="3:3" x14ac:dyDescent="0.25">
      <c r="C3865" s="1"/>
    </row>
    <row r="3866" spans="3:3" x14ac:dyDescent="0.25">
      <c r="C3866" s="1"/>
    </row>
    <row r="3867" spans="3:3" x14ac:dyDescent="0.25">
      <c r="C3867" s="1"/>
    </row>
    <row r="3868" spans="3:3" x14ac:dyDescent="0.25">
      <c r="C3868" s="1"/>
    </row>
    <row r="3869" spans="3:3" x14ac:dyDescent="0.25">
      <c r="C3869" s="1"/>
    </row>
    <row r="3870" spans="3:3" x14ac:dyDescent="0.25">
      <c r="C3870" s="1"/>
    </row>
    <row r="3871" spans="3:3" x14ac:dyDescent="0.25">
      <c r="C3871" s="1"/>
    </row>
    <row r="3872" spans="3:3" x14ac:dyDescent="0.25">
      <c r="C3872" s="1"/>
    </row>
    <row r="3873" spans="3:3" x14ac:dyDescent="0.25">
      <c r="C3873" s="1"/>
    </row>
    <row r="3874" spans="3:3" x14ac:dyDescent="0.25">
      <c r="C3874" s="1"/>
    </row>
    <row r="3875" spans="3:3" x14ac:dyDescent="0.25">
      <c r="C3875" s="1"/>
    </row>
    <row r="3876" spans="3:3" x14ac:dyDescent="0.25">
      <c r="C3876" s="1"/>
    </row>
    <row r="3877" spans="3:3" x14ac:dyDescent="0.25">
      <c r="C3877" s="1"/>
    </row>
    <row r="3878" spans="3:3" x14ac:dyDescent="0.25">
      <c r="C3878" s="1"/>
    </row>
    <row r="3879" spans="3:3" x14ac:dyDescent="0.25">
      <c r="C3879" s="1"/>
    </row>
    <row r="3880" spans="3:3" x14ac:dyDescent="0.25">
      <c r="C3880" s="1"/>
    </row>
    <row r="3881" spans="3:3" x14ac:dyDescent="0.25">
      <c r="C3881" s="1"/>
    </row>
    <row r="3882" spans="3:3" x14ac:dyDescent="0.25">
      <c r="C3882" s="1"/>
    </row>
    <row r="3883" spans="3:3" x14ac:dyDescent="0.25">
      <c r="C3883" s="1"/>
    </row>
    <row r="3884" spans="3:3" x14ac:dyDescent="0.25">
      <c r="C3884" s="1"/>
    </row>
    <row r="3885" spans="3:3" x14ac:dyDescent="0.25">
      <c r="C3885" s="1"/>
    </row>
    <row r="3886" spans="3:3" x14ac:dyDescent="0.25">
      <c r="C3886" s="1"/>
    </row>
    <row r="3887" spans="3:3" x14ac:dyDescent="0.25">
      <c r="C3887" s="1"/>
    </row>
    <row r="3888" spans="3:3" x14ac:dyDescent="0.25">
      <c r="C3888" s="1"/>
    </row>
    <row r="3889" spans="3:3" x14ac:dyDescent="0.25">
      <c r="C3889" s="1"/>
    </row>
    <row r="3890" spans="3:3" x14ac:dyDescent="0.25">
      <c r="C3890" s="1"/>
    </row>
    <row r="3891" spans="3:3" x14ac:dyDescent="0.25">
      <c r="C3891" s="1"/>
    </row>
    <row r="3892" spans="3:3" x14ac:dyDescent="0.25">
      <c r="C3892" s="1"/>
    </row>
    <row r="3893" spans="3:3" x14ac:dyDescent="0.25">
      <c r="C3893" s="1"/>
    </row>
    <row r="3894" spans="3:3" x14ac:dyDescent="0.25">
      <c r="C3894" s="1"/>
    </row>
    <row r="3895" spans="3:3" x14ac:dyDescent="0.25">
      <c r="C3895" s="1"/>
    </row>
    <row r="3896" spans="3:3" x14ac:dyDescent="0.25">
      <c r="C3896" s="1"/>
    </row>
    <row r="3897" spans="3:3" x14ac:dyDescent="0.25">
      <c r="C3897" s="1"/>
    </row>
    <row r="3898" spans="3:3" x14ac:dyDescent="0.25">
      <c r="C3898" s="1"/>
    </row>
    <row r="3899" spans="3:3" x14ac:dyDescent="0.25">
      <c r="C3899" s="1"/>
    </row>
    <row r="3900" spans="3:3" x14ac:dyDescent="0.25">
      <c r="C3900" s="1"/>
    </row>
    <row r="3901" spans="3:3" x14ac:dyDescent="0.25">
      <c r="C3901" s="1"/>
    </row>
    <row r="3902" spans="3:3" x14ac:dyDescent="0.25">
      <c r="C3902" s="1"/>
    </row>
    <row r="3903" spans="3:3" x14ac:dyDescent="0.25">
      <c r="C3903" s="1"/>
    </row>
    <row r="3904" spans="3:3" x14ac:dyDescent="0.25">
      <c r="C3904" s="1"/>
    </row>
    <row r="3905" spans="3:3" x14ac:dyDescent="0.25">
      <c r="C3905" s="1"/>
    </row>
    <row r="3906" spans="3:3" x14ac:dyDescent="0.25">
      <c r="C3906" s="1"/>
    </row>
    <row r="3907" spans="3:3" x14ac:dyDescent="0.25">
      <c r="C3907" s="1"/>
    </row>
    <row r="3908" spans="3:3" x14ac:dyDescent="0.25">
      <c r="C3908" s="1"/>
    </row>
    <row r="3909" spans="3:3" x14ac:dyDescent="0.25">
      <c r="C3909" s="1"/>
    </row>
    <row r="3910" spans="3:3" x14ac:dyDescent="0.25">
      <c r="C3910" s="1"/>
    </row>
    <row r="3911" spans="3:3" x14ac:dyDescent="0.25">
      <c r="C3911" s="1"/>
    </row>
    <row r="3912" spans="3:3" x14ac:dyDescent="0.25">
      <c r="C3912" s="1"/>
    </row>
    <row r="3913" spans="3:3" x14ac:dyDescent="0.25">
      <c r="C3913" s="1"/>
    </row>
    <row r="3914" spans="3:3" x14ac:dyDescent="0.25">
      <c r="C3914" s="1"/>
    </row>
    <row r="3915" spans="3:3" x14ac:dyDescent="0.25">
      <c r="C3915" s="1"/>
    </row>
    <row r="3916" spans="3:3" x14ac:dyDescent="0.25">
      <c r="C3916" s="1"/>
    </row>
    <row r="3917" spans="3:3" x14ac:dyDescent="0.25">
      <c r="C3917" s="1"/>
    </row>
    <row r="3918" spans="3:3" x14ac:dyDescent="0.25">
      <c r="C3918" s="1"/>
    </row>
    <row r="3919" spans="3:3" x14ac:dyDescent="0.25">
      <c r="C3919" s="1"/>
    </row>
    <row r="3920" spans="3:3" x14ac:dyDescent="0.25">
      <c r="C3920" s="1"/>
    </row>
    <row r="3921" spans="3:3" x14ac:dyDescent="0.25">
      <c r="C3921" s="1"/>
    </row>
    <row r="3922" spans="3:3" x14ac:dyDescent="0.25">
      <c r="C3922" s="1"/>
    </row>
    <row r="3923" spans="3:3" x14ac:dyDescent="0.25">
      <c r="C3923" s="1"/>
    </row>
    <row r="3924" spans="3:3" x14ac:dyDescent="0.25">
      <c r="C3924" s="1"/>
    </row>
    <row r="3925" spans="3:3" x14ac:dyDescent="0.25">
      <c r="C3925" s="1"/>
    </row>
    <row r="3926" spans="3:3" x14ac:dyDescent="0.25">
      <c r="C3926" s="1"/>
    </row>
    <row r="3927" spans="3:3" x14ac:dyDescent="0.25">
      <c r="C3927" s="1"/>
    </row>
    <row r="3928" spans="3:3" x14ac:dyDescent="0.25">
      <c r="C3928" s="1"/>
    </row>
    <row r="3929" spans="3:3" x14ac:dyDescent="0.25">
      <c r="C3929" s="1"/>
    </row>
    <row r="3930" spans="3:3" x14ac:dyDescent="0.25">
      <c r="C3930" s="1"/>
    </row>
    <row r="3931" spans="3:3" x14ac:dyDescent="0.25">
      <c r="C3931" s="1"/>
    </row>
    <row r="3932" spans="3:3" x14ac:dyDescent="0.25">
      <c r="C3932" s="1"/>
    </row>
    <row r="3933" spans="3:3" x14ac:dyDescent="0.25">
      <c r="C3933" s="1"/>
    </row>
    <row r="3934" spans="3:3" x14ac:dyDescent="0.25">
      <c r="C3934" s="1"/>
    </row>
    <row r="3935" spans="3:3" x14ac:dyDescent="0.25">
      <c r="C3935" s="1"/>
    </row>
    <row r="3936" spans="3:3" x14ac:dyDescent="0.25">
      <c r="C3936" s="1"/>
    </row>
    <row r="3937" spans="3:3" x14ac:dyDescent="0.25">
      <c r="C3937" s="1"/>
    </row>
    <row r="3938" spans="3:3" x14ac:dyDescent="0.25">
      <c r="C3938" s="1"/>
    </row>
    <row r="3939" spans="3:3" x14ac:dyDescent="0.25">
      <c r="C3939" s="1"/>
    </row>
    <row r="3940" spans="3:3" x14ac:dyDescent="0.25">
      <c r="C3940" s="1"/>
    </row>
    <row r="3941" spans="3:3" x14ac:dyDescent="0.25">
      <c r="C3941" s="1"/>
    </row>
    <row r="3942" spans="3:3" x14ac:dyDescent="0.25">
      <c r="C3942" s="1"/>
    </row>
    <row r="3943" spans="3:3" x14ac:dyDescent="0.25">
      <c r="C3943" s="1"/>
    </row>
    <row r="3944" spans="3:3" x14ac:dyDescent="0.25">
      <c r="C3944" s="1"/>
    </row>
    <row r="3945" spans="3:3" x14ac:dyDescent="0.25">
      <c r="C3945" s="1"/>
    </row>
    <row r="3946" spans="3:3" x14ac:dyDescent="0.25">
      <c r="C3946" s="1"/>
    </row>
    <row r="3947" spans="3:3" x14ac:dyDescent="0.25">
      <c r="C3947" s="1"/>
    </row>
    <row r="3948" spans="3:3" x14ac:dyDescent="0.25">
      <c r="C3948" s="1"/>
    </row>
    <row r="3949" spans="3:3" x14ac:dyDescent="0.25">
      <c r="C3949" s="1"/>
    </row>
    <row r="3950" spans="3:3" x14ac:dyDescent="0.25">
      <c r="C3950" s="1"/>
    </row>
    <row r="3951" spans="3:3" x14ac:dyDescent="0.25">
      <c r="C3951" s="1"/>
    </row>
    <row r="3952" spans="3:3" x14ac:dyDescent="0.25">
      <c r="C3952" s="1"/>
    </row>
    <row r="3953" spans="3:3" x14ac:dyDescent="0.25">
      <c r="C3953" s="1"/>
    </row>
    <row r="3954" spans="3:3" x14ac:dyDescent="0.25">
      <c r="C3954" s="1"/>
    </row>
    <row r="3955" spans="3:3" x14ac:dyDescent="0.25">
      <c r="C3955" s="1"/>
    </row>
    <row r="3956" spans="3:3" x14ac:dyDescent="0.25">
      <c r="C3956" s="1"/>
    </row>
    <row r="3957" spans="3:3" x14ac:dyDescent="0.25">
      <c r="C3957" s="1"/>
    </row>
    <row r="3958" spans="3:3" x14ac:dyDescent="0.25">
      <c r="C3958" s="1"/>
    </row>
    <row r="3959" spans="3:3" x14ac:dyDescent="0.25">
      <c r="C3959" s="1"/>
    </row>
    <row r="3960" spans="3:3" x14ac:dyDescent="0.25">
      <c r="C3960" s="1"/>
    </row>
    <row r="3961" spans="3:3" x14ac:dyDescent="0.25">
      <c r="C3961" s="1"/>
    </row>
    <row r="3962" spans="3:3" x14ac:dyDescent="0.25">
      <c r="C3962" s="1"/>
    </row>
    <row r="3963" spans="3:3" x14ac:dyDescent="0.25">
      <c r="C3963" s="1"/>
    </row>
    <row r="3964" spans="3:3" x14ac:dyDescent="0.25">
      <c r="C3964" s="1"/>
    </row>
    <row r="3965" spans="3:3" x14ac:dyDescent="0.25">
      <c r="C3965" s="1"/>
    </row>
    <row r="3966" spans="3:3" x14ac:dyDescent="0.25">
      <c r="C3966" s="1"/>
    </row>
    <row r="3967" spans="3:3" x14ac:dyDescent="0.25">
      <c r="C3967" s="1"/>
    </row>
    <row r="3968" spans="3:3" x14ac:dyDescent="0.25">
      <c r="C3968" s="1"/>
    </row>
    <row r="3969" spans="3:3" x14ac:dyDescent="0.25">
      <c r="C3969" s="1"/>
    </row>
    <row r="3970" spans="3:3" x14ac:dyDescent="0.25">
      <c r="C3970" s="1"/>
    </row>
    <row r="3971" spans="3:3" x14ac:dyDescent="0.25">
      <c r="C3971" s="1"/>
    </row>
    <row r="3972" spans="3:3" x14ac:dyDescent="0.25">
      <c r="C3972" s="1"/>
    </row>
    <row r="3973" spans="3:3" x14ac:dyDescent="0.25">
      <c r="C3973" s="1"/>
    </row>
    <row r="3974" spans="3:3" x14ac:dyDescent="0.25">
      <c r="C3974" s="1"/>
    </row>
    <row r="3975" spans="3:3" x14ac:dyDescent="0.25">
      <c r="C3975" s="1"/>
    </row>
    <row r="3976" spans="3:3" x14ac:dyDescent="0.25">
      <c r="C3976" s="1"/>
    </row>
    <row r="3977" spans="3:3" x14ac:dyDescent="0.25">
      <c r="C3977" s="1"/>
    </row>
    <row r="3978" spans="3:3" x14ac:dyDescent="0.25">
      <c r="C3978" s="1"/>
    </row>
    <row r="3979" spans="3:3" x14ac:dyDescent="0.25">
      <c r="C3979" s="1"/>
    </row>
    <row r="3980" spans="3:3" x14ac:dyDescent="0.25">
      <c r="C3980" s="1"/>
    </row>
    <row r="3981" spans="3:3" x14ac:dyDescent="0.25">
      <c r="C3981" s="1"/>
    </row>
    <row r="3982" spans="3:3" x14ac:dyDescent="0.25">
      <c r="C3982" s="1"/>
    </row>
    <row r="3983" spans="3:3" x14ac:dyDescent="0.25">
      <c r="C3983" s="1"/>
    </row>
    <row r="3984" spans="3:3" x14ac:dyDescent="0.25">
      <c r="C3984" s="1"/>
    </row>
    <row r="3985" spans="3:3" x14ac:dyDescent="0.25">
      <c r="C3985" s="1"/>
    </row>
    <row r="3986" spans="3:3" x14ac:dyDescent="0.25">
      <c r="C3986" s="1"/>
    </row>
    <row r="3987" spans="3:3" x14ac:dyDescent="0.25">
      <c r="C3987" s="1"/>
    </row>
    <row r="3988" spans="3:3" x14ac:dyDescent="0.25">
      <c r="C3988" s="1"/>
    </row>
    <row r="3989" spans="3:3" x14ac:dyDescent="0.25">
      <c r="C3989" s="1"/>
    </row>
    <row r="3990" spans="3:3" x14ac:dyDescent="0.25">
      <c r="C3990" s="1"/>
    </row>
    <row r="3991" spans="3:3" x14ac:dyDescent="0.25">
      <c r="C3991" s="1"/>
    </row>
    <row r="3992" spans="3:3" x14ac:dyDescent="0.25">
      <c r="C3992" s="1"/>
    </row>
    <row r="3993" spans="3:3" x14ac:dyDescent="0.25">
      <c r="C3993" s="1"/>
    </row>
    <row r="3994" spans="3:3" x14ac:dyDescent="0.25">
      <c r="C3994" s="1"/>
    </row>
    <row r="3995" spans="3:3" x14ac:dyDescent="0.25">
      <c r="C3995" s="1"/>
    </row>
    <row r="3996" spans="3:3" x14ac:dyDescent="0.25">
      <c r="C3996" s="1"/>
    </row>
    <row r="3997" spans="3:3" x14ac:dyDescent="0.25">
      <c r="C3997" s="1"/>
    </row>
    <row r="3998" spans="3:3" x14ac:dyDescent="0.25">
      <c r="C3998" s="1"/>
    </row>
    <row r="3999" spans="3:3" x14ac:dyDescent="0.25">
      <c r="C3999" s="1"/>
    </row>
    <row r="4000" spans="3:3" x14ac:dyDescent="0.25">
      <c r="C4000" s="1"/>
    </row>
    <row r="4001" spans="3:3" x14ac:dyDescent="0.25">
      <c r="C4001" s="1"/>
    </row>
    <row r="4002" spans="3:3" x14ac:dyDescent="0.25">
      <c r="C4002" s="1"/>
    </row>
    <row r="4003" spans="3:3" x14ac:dyDescent="0.25">
      <c r="C4003" s="1"/>
    </row>
    <row r="4004" spans="3:3" x14ac:dyDescent="0.25">
      <c r="C4004" s="1"/>
    </row>
    <row r="4005" spans="3:3" x14ac:dyDescent="0.25">
      <c r="C4005" s="1"/>
    </row>
    <row r="4006" spans="3:3" x14ac:dyDescent="0.25">
      <c r="C4006" s="1"/>
    </row>
    <row r="4007" spans="3:3" x14ac:dyDescent="0.25">
      <c r="C4007" s="1"/>
    </row>
    <row r="4008" spans="3:3" x14ac:dyDescent="0.25">
      <c r="C4008" s="1"/>
    </row>
    <row r="4009" spans="3:3" x14ac:dyDescent="0.25">
      <c r="C4009" s="1"/>
    </row>
    <row r="4010" spans="3:3" x14ac:dyDescent="0.25">
      <c r="C4010" s="1"/>
    </row>
    <row r="4011" spans="3:3" x14ac:dyDescent="0.25">
      <c r="C4011" s="1"/>
    </row>
    <row r="4012" spans="3:3" x14ac:dyDescent="0.25">
      <c r="C4012" s="1"/>
    </row>
    <row r="4013" spans="3:3" x14ac:dyDescent="0.25">
      <c r="C4013" s="1"/>
    </row>
    <row r="4014" spans="3:3" x14ac:dyDescent="0.25">
      <c r="C4014" s="1"/>
    </row>
    <row r="4015" spans="3:3" x14ac:dyDescent="0.25">
      <c r="C4015" s="1"/>
    </row>
    <row r="4016" spans="3:3" x14ac:dyDescent="0.25">
      <c r="C4016" s="1"/>
    </row>
    <row r="4017" spans="3:3" x14ac:dyDescent="0.25">
      <c r="C4017" s="1"/>
    </row>
    <row r="4018" spans="3:3" x14ac:dyDescent="0.25">
      <c r="C4018" s="1"/>
    </row>
    <row r="4019" spans="3:3" x14ac:dyDescent="0.25">
      <c r="C4019" s="1"/>
    </row>
    <row r="4020" spans="3:3" x14ac:dyDescent="0.25">
      <c r="C4020" s="1"/>
    </row>
    <row r="4021" spans="3:3" x14ac:dyDescent="0.25">
      <c r="C4021" s="1"/>
    </row>
    <row r="4022" spans="3:3" x14ac:dyDescent="0.25">
      <c r="C4022" s="1"/>
    </row>
    <row r="4023" spans="3:3" x14ac:dyDescent="0.25">
      <c r="C4023" s="1"/>
    </row>
    <row r="4024" spans="3:3" x14ac:dyDescent="0.25">
      <c r="C4024" s="1"/>
    </row>
    <row r="4025" spans="3:3" x14ac:dyDescent="0.25">
      <c r="C4025" s="1"/>
    </row>
    <row r="4026" spans="3:3" x14ac:dyDescent="0.25">
      <c r="C4026" s="1"/>
    </row>
    <row r="4027" spans="3:3" x14ac:dyDescent="0.25">
      <c r="C4027" s="1"/>
    </row>
    <row r="4028" spans="3:3" x14ac:dyDescent="0.25">
      <c r="C4028" s="1"/>
    </row>
    <row r="4029" spans="3:3" x14ac:dyDescent="0.25">
      <c r="C4029" s="1"/>
    </row>
    <row r="4030" spans="3:3" x14ac:dyDescent="0.25">
      <c r="C4030" s="1"/>
    </row>
    <row r="4031" spans="3:3" x14ac:dyDescent="0.25">
      <c r="C4031" s="1"/>
    </row>
    <row r="4032" spans="3:3" x14ac:dyDescent="0.25">
      <c r="C4032" s="1"/>
    </row>
    <row r="4033" spans="3:3" x14ac:dyDescent="0.25">
      <c r="C4033" s="1"/>
    </row>
    <row r="4034" spans="3:3" x14ac:dyDescent="0.25">
      <c r="C4034" s="1"/>
    </row>
    <row r="4035" spans="3:3" x14ac:dyDescent="0.25">
      <c r="C4035" s="1"/>
    </row>
    <row r="4036" spans="3:3" x14ac:dyDescent="0.25">
      <c r="C4036" s="1"/>
    </row>
    <row r="4037" spans="3:3" x14ac:dyDescent="0.25">
      <c r="C4037" s="1"/>
    </row>
    <row r="4038" spans="3:3" x14ac:dyDescent="0.25">
      <c r="C4038" s="1"/>
    </row>
    <row r="4039" spans="3:3" x14ac:dyDescent="0.25">
      <c r="C4039" s="1"/>
    </row>
    <row r="4040" spans="3:3" x14ac:dyDescent="0.25">
      <c r="C4040" s="1"/>
    </row>
    <row r="4041" spans="3:3" x14ac:dyDescent="0.25">
      <c r="C4041" s="1"/>
    </row>
    <row r="4042" spans="3:3" x14ac:dyDescent="0.25">
      <c r="C4042" s="1"/>
    </row>
    <row r="4043" spans="3:3" x14ac:dyDescent="0.25">
      <c r="C4043" s="1"/>
    </row>
    <row r="4044" spans="3:3" x14ac:dyDescent="0.25">
      <c r="C4044" s="1"/>
    </row>
    <row r="4045" spans="3:3" x14ac:dyDescent="0.25">
      <c r="C4045" s="1"/>
    </row>
    <row r="4046" spans="3:3" x14ac:dyDescent="0.25">
      <c r="C4046" s="1"/>
    </row>
    <row r="4047" spans="3:3" x14ac:dyDescent="0.25">
      <c r="C4047" s="1"/>
    </row>
    <row r="4048" spans="3:3" x14ac:dyDescent="0.25">
      <c r="C4048" s="1"/>
    </row>
    <row r="4049" spans="3:3" x14ac:dyDescent="0.25">
      <c r="C4049" s="1"/>
    </row>
    <row r="4050" spans="3:3" x14ac:dyDescent="0.25">
      <c r="C4050" s="1"/>
    </row>
    <row r="4051" spans="3:3" x14ac:dyDescent="0.25">
      <c r="C4051" s="1"/>
    </row>
    <row r="4052" spans="3:3" x14ac:dyDescent="0.25">
      <c r="C4052" s="1"/>
    </row>
    <row r="4053" spans="3:3" x14ac:dyDescent="0.25">
      <c r="C4053" s="1"/>
    </row>
    <row r="4054" spans="3:3" x14ac:dyDescent="0.25">
      <c r="C4054" s="1"/>
    </row>
    <row r="4055" spans="3:3" x14ac:dyDescent="0.25">
      <c r="C4055" s="1"/>
    </row>
    <row r="4056" spans="3:3" x14ac:dyDescent="0.25">
      <c r="C4056" s="1"/>
    </row>
    <row r="4057" spans="3:3" x14ac:dyDescent="0.25">
      <c r="C4057" s="1"/>
    </row>
    <row r="4058" spans="3:3" x14ac:dyDescent="0.25">
      <c r="C4058" s="1"/>
    </row>
    <row r="4059" spans="3:3" x14ac:dyDescent="0.25">
      <c r="C4059" s="1"/>
    </row>
    <row r="4060" spans="3:3" x14ac:dyDescent="0.25">
      <c r="C4060" s="1"/>
    </row>
    <row r="4061" spans="3:3" x14ac:dyDescent="0.25">
      <c r="C4061" s="1"/>
    </row>
    <row r="4062" spans="3:3" x14ac:dyDescent="0.25">
      <c r="C4062" s="1"/>
    </row>
    <row r="4063" spans="3:3" x14ac:dyDescent="0.25">
      <c r="C4063" s="1"/>
    </row>
    <row r="4064" spans="3:3" x14ac:dyDescent="0.25">
      <c r="C4064" s="1"/>
    </row>
    <row r="4065" spans="3:3" x14ac:dyDescent="0.25">
      <c r="C4065" s="1"/>
    </row>
    <row r="4066" spans="3:3" x14ac:dyDescent="0.25">
      <c r="C4066" s="1"/>
    </row>
    <row r="4067" spans="3:3" x14ac:dyDescent="0.25">
      <c r="C4067" s="1"/>
    </row>
    <row r="4068" spans="3:3" x14ac:dyDescent="0.25">
      <c r="C4068" s="1"/>
    </row>
    <row r="4069" spans="3:3" x14ac:dyDescent="0.25">
      <c r="C4069" s="1"/>
    </row>
    <row r="4070" spans="3:3" x14ac:dyDescent="0.25">
      <c r="C4070" s="1"/>
    </row>
    <row r="4071" spans="3:3" x14ac:dyDescent="0.25">
      <c r="C4071" s="1"/>
    </row>
    <row r="4072" spans="3:3" x14ac:dyDescent="0.25">
      <c r="C4072" s="1"/>
    </row>
    <row r="4073" spans="3:3" x14ac:dyDescent="0.25">
      <c r="C4073" s="1"/>
    </row>
    <row r="4074" spans="3:3" x14ac:dyDescent="0.25">
      <c r="C4074" s="1"/>
    </row>
    <row r="4075" spans="3:3" x14ac:dyDescent="0.25">
      <c r="C4075" s="1"/>
    </row>
    <row r="4076" spans="3:3" x14ac:dyDescent="0.25">
      <c r="C4076" s="1"/>
    </row>
    <row r="4077" spans="3:3" x14ac:dyDescent="0.25">
      <c r="C4077" s="1"/>
    </row>
    <row r="4078" spans="3:3" x14ac:dyDescent="0.25">
      <c r="C4078" s="1"/>
    </row>
    <row r="4079" spans="3:3" x14ac:dyDescent="0.25">
      <c r="C4079" s="1"/>
    </row>
    <row r="4080" spans="3:3" x14ac:dyDescent="0.25">
      <c r="C4080" s="1"/>
    </row>
    <row r="4081" spans="3:3" x14ac:dyDescent="0.25">
      <c r="C4081" s="1"/>
    </row>
    <row r="4082" spans="3:3" x14ac:dyDescent="0.25">
      <c r="C4082" s="1"/>
    </row>
    <row r="4083" spans="3:3" x14ac:dyDescent="0.25">
      <c r="C4083" s="1"/>
    </row>
    <row r="4084" spans="3:3" x14ac:dyDescent="0.25">
      <c r="C4084" s="1"/>
    </row>
    <row r="4085" spans="3:3" x14ac:dyDescent="0.25">
      <c r="C4085" s="1"/>
    </row>
    <row r="4086" spans="3:3" x14ac:dyDescent="0.25">
      <c r="C4086" s="1"/>
    </row>
    <row r="4087" spans="3:3" x14ac:dyDescent="0.25">
      <c r="C4087" s="1"/>
    </row>
    <row r="4088" spans="3:3" x14ac:dyDescent="0.25">
      <c r="C4088" s="1"/>
    </row>
    <row r="4089" spans="3:3" x14ac:dyDescent="0.25">
      <c r="C4089" s="1"/>
    </row>
    <row r="4090" spans="3:3" x14ac:dyDescent="0.25">
      <c r="C4090" s="1"/>
    </row>
    <row r="4091" spans="3:3" x14ac:dyDescent="0.25">
      <c r="C4091" s="1"/>
    </row>
    <row r="4092" spans="3:3" x14ac:dyDescent="0.25">
      <c r="C4092" s="1"/>
    </row>
    <row r="4093" spans="3:3" x14ac:dyDescent="0.25">
      <c r="C4093" s="1"/>
    </row>
    <row r="4094" spans="3:3" x14ac:dyDescent="0.25">
      <c r="C4094" s="1"/>
    </row>
    <row r="4095" spans="3:3" x14ac:dyDescent="0.25">
      <c r="C4095" s="1"/>
    </row>
    <row r="4096" spans="3:3" x14ac:dyDescent="0.25">
      <c r="C4096" s="1"/>
    </row>
    <row r="4097" spans="3:3" x14ac:dyDescent="0.25">
      <c r="C4097" s="1"/>
    </row>
    <row r="4098" spans="3:3" x14ac:dyDescent="0.25">
      <c r="C4098" s="1"/>
    </row>
    <row r="4099" spans="3:3" x14ac:dyDescent="0.25">
      <c r="C4099" s="1"/>
    </row>
    <row r="4100" spans="3:3" x14ac:dyDescent="0.25">
      <c r="C4100" s="1"/>
    </row>
    <row r="4101" spans="3:3" x14ac:dyDescent="0.25">
      <c r="C4101" s="1"/>
    </row>
    <row r="4102" spans="3:3" x14ac:dyDescent="0.25">
      <c r="C4102" s="1"/>
    </row>
    <row r="4103" spans="3:3" x14ac:dyDescent="0.25">
      <c r="C4103" s="1"/>
    </row>
    <row r="4104" spans="3:3" x14ac:dyDescent="0.25">
      <c r="C4104" s="1"/>
    </row>
    <row r="4105" spans="3:3" x14ac:dyDescent="0.25">
      <c r="C4105" s="1"/>
    </row>
    <row r="4106" spans="3:3" x14ac:dyDescent="0.25">
      <c r="C4106" s="1"/>
    </row>
    <row r="4107" spans="3:3" x14ac:dyDescent="0.25">
      <c r="C4107" s="1"/>
    </row>
    <row r="4108" spans="3:3" x14ac:dyDescent="0.25">
      <c r="C4108" s="1"/>
    </row>
    <row r="4109" spans="3:3" x14ac:dyDescent="0.25">
      <c r="C4109" s="1"/>
    </row>
    <row r="4110" spans="3:3" x14ac:dyDescent="0.25">
      <c r="C4110" s="1"/>
    </row>
    <row r="4111" spans="3:3" x14ac:dyDescent="0.25">
      <c r="C4111" s="1"/>
    </row>
    <row r="4112" spans="3:3" x14ac:dyDescent="0.25">
      <c r="C4112" s="1"/>
    </row>
    <row r="4113" spans="3:3" x14ac:dyDescent="0.25">
      <c r="C4113" s="1"/>
    </row>
    <row r="4114" spans="3:3" x14ac:dyDescent="0.25">
      <c r="C4114" s="1"/>
    </row>
    <row r="4115" spans="3:3" x14ac:dyDescent="0.25">
      <c r="C4115" s="1"/>
    </row>
    <row r="4116" spans="3:3" x14ac:dyDescent="0.25">
      <c r="C4116" s="1"/>
    </row>
    <row r="4117" spans="3:3" x14ac:dyDescent="0.25">
      <c r="C4117" s="1"/>
    </row>
    <row r="4118" spans="3:3" x14ac:dyDescent="0.25">
      <c r="C4118" s="1"/>
    </row>
    <row r="4119" spans="3:3" x14ac:dyDescent="0.25">
      <c r="C4119" s="1"/>
    </row>
    <row r="4120" spans="3:3" x14ac:dyDescent="0.25">
      <c r="C4120" s="1"/>
    </row>
    <row r="4121" spans="3:3" x14ac:dyDescent="0.25">
      <c r="C4121" s="1"/>
    </row>
    <row r="4122" spans="3:3" x14ac:dyDescent="0.25">
      <c r="C4122" s="1"/>
    </row>
    <row r="4123" spans="3:3" x14ac:dyDescent="0.25">
      <c r="C4123" s="1"/>
    </row>
    <row r="4124" spans="3:3" x14ac:dyDescent="0.25">
      <c r="C4124" s="1"/>
    </row>
    <row r="4125" spans="3:3" x14ac:dyDescent="0.25">
      <c r="C4125" s="1"/>
    </row>
    <row r="4126" spans="3:3" x14ac:dyDescent="0.25">
      <c r="C4126" s="1"/>
    </row>
    <row r="4127" spans="3:3" x14ac:dyDescent="0.25">
      <c r="C4127" s="1"/>
    </row>
    <row r="4128" spans="3:3" x14ac:dyDescent="0.25">
      <c r="C4128" s="1"/>
    </row>
    <row r="4129" spans="3:3" x14ac:dyDescent="0.25">
      <c r="C4129" s="1"/>
    </row>
    <row r="4130" spans="3:3" x14ac:dyDescent="0.25">
      <c r="C4130" s="1"/>
    </row>
    <row r="4131" spans="3:3" x14ac:dyDescent="0.25">
      <c r="C4131" s="1"/>
    </row>
    <row r="4132" spans="3:3" x14ac:dyDescent="0.25">
      <c r="C4132" s="1"/>
    </row>
    <row r="4133" spans="3:3" x14ac:dyDescent="0.25">
      <c r="C4133" s="1"/>
    </row>
    <row r="4134" spans="3:3" x14ac:dyDescent="0.25">
      <c r="C4134" s="1"/>
    </row>
    <row r="4135" spans="3:3" x14ac:dyDescent="0.25">
      <c r="C4135" s="1"/>
    </row>
    <row r="4136" spans="3:3" x14ac:dyDescent="0.25">
      <c r="C4136" s="1"/>
    </row>
    <row r="4137" spans="3:3" x14ac:dyDescent="0.25">
      <c r="C4137" s="1"/>
    </row>
    <row r="4138" spans="3:3" x14ac:dyDescent="0.25">
      <c r="C4138" s="1"/>
    </row>
    <row r="4139" spans="3:3" x14ac:dyDescent="0.25">
      <c r="C4139" s="1"/>
    </row>
    <row r="4140" spans="3:3" x14ac:dyDescent="0.25">
      <c r="C4140" s="1"/>
    </row>
    <row r="4141" spans="3:3" x14ac:dyDescent="0.25">
      <c r="C4141" s="1"/>
    </row>
    <row r="4142" spans="3:3" x14ac:dyDescent="0.25">
      <c r="C4142" s="1"/>
    </row>
    <row r="4143" spans="3:3" x14ac:dyDescent="0.25">
      <c r="C4143" s="1"/>
    </row>
    <row r="4144" spans="3:3" x14ac:dyDescent="0.25">
      <c r="C4144" s="1"/>
    </row>
    <row r="4145" spans="3:3" x14ac:dyDescent="0.25">
      <c r="C4145" s="1"/>
    </row>
    <row r="4146" spans="3:3" x14ac:dyDescent="0.25">
      <c r="C4146" s="1"/>
    </row>
    <row r="4147" spans="3:3" x14ac:dyDescent="0.25">
      <c r="C4147" s="1"/>
    </row>
    <row r="4148" spans="3:3" x14ac:dyDescent="0.25">
      <c r="C4148" s="1"/>
    </row>
    <row r="4149" spans="3:3" x14ac:dyDescent="0.25">
      <c r="C4149" s="1"/>
    </row>
    <row r="4150" spans="3:3" x14ac:dyDescent="0.25">
      <c r="C4150" s="1"/>
    </row>
    <row r="4151" spans="3:3" x14ac:dyDescent="0.25">
      <c r="C4151" s="1"/>
    </row>
    <row r="4152" spans="3:3" x14ac:dyDescent="0.25">
      <c r="C4152" s="1"/>
    </row>
    <row r="4153" spans="3:3" x14ac:dyDescent="0.25">
      <c r="C4153" s="1"/>
    </row>
    <row r="4154" spans="3:3" x14ac:dyDescent="0.25">
      <c r="C4154" s="1"/>
    </row>
    <row r="4155" spans="3:3" x14ac:dyDescent="0.25">
      <c r="C4155" s="1"/>
    </row>
    <row r="4156" spans="3:3" x14ac:dyDescent="0.25">
      <c r="C4156" s="1"/>
    </row>
    <row r="4157" spans="3:3" x14ac:dyDescent="0.25">
      <c r="C4157" s="1"/>
    </row>
    <row r="4158" spans="3:3" x14ac:dyDescent="0.25">
      <c r="C4158" s="1"/>
    </row>
    <row r="4159" spans="3:3" x14ac:dyDescent="0.25">
      <c r="C4159" s="1"/>
    </row>
    <row r="4160" spans="3:3" x14ac:dyDescent="0.25">
      <c r="C4160" s="1"/>
    </row>
    <row r="4161" spans="3:3" x14ac:dyDescent="0.25">
      <c r="C4161" s="1"/>
    </row>
    <row r="4162" spans="3:3" x14ac:dyDescent="0.25">
      <c r="C4162" s="1"/>
    </row>
    <row r="4163" spans="3:3" x14ac:dyDescent="0.25">
      <c r="C4163" s="1"/>
    </row>
    <row r="4164" spans="3:3" x14ac:dyDescent="0.25">
      <c r="C4164" s="1"/>
    </row>
    <row r="4165" spans="3:3" x14ac:dyDescent="0.25">
      <c r="C4165" s="1"/>
    </row>
    <row r="4166" spans="3:3" x14ac:dyDescent="0.25">
      <c r="C4166" s="1"/>
    </row>
    <row r="4167" spans="3:3" x14ac:dyDescent="0.25">
      <c r="C4167" s="1"/>
    </row>
    <row r="4168" spans="3:3" x14ac:dyDescent="0.25">
      <c r="C4168" s="1"/>
    </row>
    <row r="4169" spans="3:3" x14ac:dyDescent="0.25">
      <c r="C4169" s="1"/>
    </row>
    <row r="4170" spans="3:3" x14ac:dyDescent="0.25">
      <c r="C4170" s="1"/>
    </row>
    <row r="4171" spans="3:3" x14ac:dyDescent="0.25">
      <c r="C4171" s="1"/>
    </row>
    <row r="4172" spans="3:3" x14ac:dyDescent="0.25">
      <c r="C4172" s="1"/>
    </row>
    <row r="4173" spans="3:3" x14ac:dyDescent="0.25">
      <c r="C4173" s="1"/>
    </row>
    <row r="4174" spans="3:3" x14ac:dyDescent="0.25">
      <c r="C4174" s="1"/>
    </row>
    <row r="4175" spans="3:3" x14ac:dyDescent="0.25">
      <c r="C4175" s="1"/>
    </row>
    <row r="4176" spans="3:3" x14ac:dyDescent="0.25">
      <c r="C4176" s="1"/>
    </row>
    <row r="4177" spans="3:3" x14ac:dyDescent="0.25">
      <c r="C4177" s="1"/>
    </row>
    <row r="4178" spans="3:3" x14ac:dyDescent="0.25">
      <c r="C4178" s="1"/>
    </row>
    <row r="4179" spans="3:3" x14ac:dyDescent="0.25">
      <c r="C4179" s="1"/>
    </row>
    <row r="4180" spans="3:3" x14ac:dyDescent="0.25">
      <c r="C4180" s="1"/>
    </row>
    <row r="4181" spans="3:3" x14ac:dyDescent="0.25">
      <c r="C4181" s="1"/>
    </row>
    <row r="4182" spans="3:3" x14ac:dyDescent="0.25">
      <c r="C4182" s="1"/>
    </row>
    <row r="4183" spans="3:3" x14ac:dyDescent="0.25">
      <c r="C4183" s="1"/>
    </row>
    <row r="4184" spans="3:3" x14ac:dyDescent="0.25">
      <c r="C4184" s="1"/>
    </row>
    <row r="4185" spans="3:3" x14ac:dyDescent="0.25">
      <c r="C4185" s="1"/>
    </row>
    <row r="4186" spans="3:3" x14ac:dyDescent="0.25">
      <c r="C4186" s="1"/>
    </row>
    <row r="4187" spans="3:3" x14ac:dyDescent="0.25">
      <c r="C4187" s="1"/>
    </row>
    <row r="4188" spans="3:3" x14ac:dyDescent="0.25">
      <c r="C4188" s="1"/>
    </row>
    <row r="4189" spans="3:3" x14ac:dyDescent="0.25">
      <c r="C4189" s="1"/>
    </row>
    <row r="4190" spans="3:3" x14ac:dyDescent="0.25">
      <c r="C4190" s="1"/>
    </row>
    <row r="4191" spans="3:3" x14ac:dyDescent="0.25">
      <c r="C4191" s="1"/>
    </row>
    <row r="4192" spans="3:3" x14ac:dyDescent="0.25">
      <c r="C4192" s="1"/>
    </row>
    <row r="4193" spans="3:3" x14ac:dyDescent="0.25">
      <c r="C4193" s="1"/>
    </row>
    <row r="4194" spans="3:3" x14ac:dyDescent="0.25">
      <c r="C4194" s="1"/>
    </row>
    <row r="4195" spans="3:3" x14ac:dyDescent="0.25">
      <c r="C4195" s="1"/>
    </row>
    <row r="4196" spans="3:3" x14ac:dyDescent="0.25">
      <c r="C4196" s="1"/>
    </row>
    <row r="4197" spans="3:3" x14ac:dyDescent="0.25">
      <c r="C4197" s="1"/>
    </row>
    <row r="4198" spans="3:3" x14ac:dyDescent="0.25">
      <c r="C4198" s="1"/>
    </row>
    <row r="4199" spans="3:3" x14ac:dyDescent="0.25">
      <c r="C4199" s="1"/>
    </row>
    <row r="4200" spans="3:3" x14ac:dyDescent="0.25">
      <c r="C4200" s="1"/>
    </row>
    <row r="4201" spans="3:3" x14ac:dyDescent="0.25">
      <c r="C4201" s="1"/>
    </row>
    <row r="4202" spans="3:3" x14ac:dyDescent="0.25">
      <c r="C4202" s="1"/>
    </row>
    <row r="4203" spans="3:3" x14ac:dyDescent="0.25">
      <c r="C4203" s="1"/>
    </row>
    <row r="4204" spans="3:3" x14ac:dyDescent="0.25">
      <c r="C4204" s="1"/>
    </row>
    <row r="4205" spans="3:3" x14ac:dyDescent="0.25">
      <c r="C4205" s="1"/>
    </row>
    <row r="4206" spans="3:3" x14ac:dyDescent="0.25">
      <c r="C4206" s="1"/>
    </row>
    <row r="4207" spans="3:3" x14ac:dyDescent="0.25">
      <c r="C4207" s="1"/>
    </row>
    <row r="4208" spans="3:3" x14ac:dyDescent="0.25">
      <c r="C4208" s="1"/>
    </row>
    <row r="4209" spans="3:3" x14ac:dyDescent="0.25">
      <c r="C4209" s="1"/>
    </row>
    <row r="4210" spans="3:3" x14ac:dyDescent="0.25">
      <c r="C4210" s="1"/>
    </row>
    <row r="4211" spans="3:3" x14ac:dyDescent="0.25">
      <c r="C4211" s="1"/>
    </row>
    <row r="4212" spans="3:3" x14ac:dyDescent="0.25">
      <c r="C4212" s="1"/>
    </row>
    <row r="4213" spans="3:3" x14ac:dyDescent="0.25">
      <c r="C4213" s="1"/>
    </row>
    <row r="4214" spans="3:3" x14ac:dyDescent="0.25">
      <c r="C4214" s="1"/>
    </row>
    <row r="4215" spans="3:3" x14ac:dyDescent="0.25">
      <c r="C4215" s="1"/>
    </row>
    <row r="4216" spans="3:3" x14ac:dyDescent="0.25">
      <c r="C4216" s="1"/>
    </row>
    <row r="4217" spans="3:3" x14ac:dyDescent="0.25">
      <c r="C4217" s="1"/>
    </row>
    <row r="4218" spans="3:3" x14ac:dyDescent="0.25">
      <c r="C4218" s="1"/>
    </row>
    <row r="4219" spans="3:3" x14ac:dyDescent="0.25">
      <c r="C4219" s="1"/>
    </row>
    <row r="4220" spans="3:3" x14ac:dyDescent="0.25">
      <c r="C4220" s="1"/>
    </row>
    <row r="4221" spans="3:3" x14ac:dyDescent="0.25">
      <c r="C4221" s="1"/>
    </row>
    <row r="4222" spans="3:3" x14ac:dyDescent="0.25">
      <c r="C4222" s="1"/>
    </row>
    <row r="4223" spans="3:3" x14ac:dyDescent="0.25">
      <c r="C4223" s="1"/>
    </row>
    <row r="4224" spans="3:3" x14ac:dyDescent="0.25">
      <c r="C4224" s="1"/>
    </row>
    <row r="4225" spans="3:3" x14ac:dyDescent="0.25">
      <c r="C4225" s="1"/>
    </row>
    <row r="4226" spans="3:3" x14ac:dyDescent="0.25">
      <c r="C4226" s="1"/>
    </row>
    <row r="4227" spans="3:3" x14ac:dyDescent="0.25">
      <c r="C4227" s="1"/>
    </row>
    <row r="4228" spans="3:3" x14ac:dyDescent="0.25">
      <c r="C4228" s="1"/>
    </row>
    <row r="4229" spans="3:3" x14ac:dyDescent="0.25">
      <c r="C4229" s="1"/>
    </row>
    <row r="4230" spans="3:3" x14ac:dyDescent="0.25">
      <c r="C4230" s="1"/>
    </row>
    <row r="4231" spans="3:3" x14ac:dyDescent="0.25">
      <c r="C4231" s="1"/>
    </row>
    <row r="4232" spans="3:3" x14ac:dyDescent="0.25">
      <c r="C4232" s="1"/>
    </row>
    <row r="4233" spans="3:3" x14ac:dyDescent="0.25">
      <c r="C4233" s="1"/>
    </row>
    <row r="4234" spans="3:3" x14ac:dyDescent="0.25">
      <c r="C4234" s="1"/>
    </row>
    <row r="4235" spans="3:3" x14ac:dyDescent="0.25">
      <c r="C4235" s="1"/>
    </row>
    <row r="4236" spans="3:3" x14ac:dyDescent="0.25">
      <c r="C4236" s="1"/>
    </row>
    <row r="4237" spans="3:3" x14ac:dyDescent="0.25">
      <c r="C4237" s="1"/>
    </row>
    <row r="4238" spans="3:3" x14ac:dyDescent="0.25">
      <c r="C4238" s="1"/>
    </row>
    <row r="4239" spans="3:3" x14ac:dyDescent="0.25">
      <c r="C4239" s="1"/>
    </row>
    <row r="4240" spans="3:3" x14ac:dyDescent="0.25">
      <c r="C4240" s="1"/>
    </row>
    <row r="4241" spans="3:3" x14ac:dyDescent="0.25">
      <c r="C4241" s="1"/>
    </row>
    <row r="4242" spans="3:3" x14ac:dyDescent="0.25">
      <c r="C4242" s="1"/>
    </row>
    <row r="4243" spans="3:3" x14ac:dyDescent="0.25">
      <c r="C4243" s="1"/>
    </row>
    <row r="4244" spans="3:3" x14ac:dyDescent="0.25">
      <c r="C4244" s="1"/>
    </row>
    <row r="4245" spans="3:3" x14ac:dyDescent="0.25">
      <c r="C4245" s="1"/>
    </row>
    <row r="4246" spans="3:3" x14ac:dyDescent="0.25">
      <c r="C4246" s="1"/>
    </row>
    <row r="4247" spans="3:3" x14ac:dyDescent="0.25">
      <c r="C4247" s="1"/>
    </row>
    <row r="4248" spans="3:3" x14ac:dyDescent="0.25">
      <c r="C4248" s="1"/>
    </row>
    <row r="4249" spans="3:3" x14ac:dyDescent="0.25">
      <c r="C4249" s="1"/>
    </row>
    <row r="4250" spans="3:3" x14ac:dyDescent="0.25">
      <c r="C4250" s="1"/>
    </row>
    <row r="4251" spans="3:3" x14ac:dyDescent="0.25">
      <c r="C4251" s="1"/>
    </row>
    <row r="4252" spans="3:3" x14ac:dyDescent="0.25">
      <c r="C4252" s="1"/>
    </row>
    <row r="4253" spans="3:3" x14ac:dyDescent="0.25">
      <c r="C4253" s="1"/>
    </row>
    <row r="4254" spans="3:3" x14ac:dyDescent="0.25">
      <c r="C4254" s="1"/>
    </row>
    <row r="4255" spans="3:3" x14ac:dyDescent="0.25">
      <c r="C4255" s="1"/>
    </row>
    <row r="4256" spans="3:3" x14ac:dyDescent="0.25">
      <c r="C4256" s="1"/>
    </row>
    <row r="4257" spans="3:3" x14ac:dyDescent="0.25">
      <c r="C4257" s="1"/>
    </row>
    <row r="4258" spans="3:3" x14ac:dyDescent="0.25">
      <c r="C4258" s="1"/>
    </row>
    <row r="4259" spans="3:3" x14ac:dyDescent="0.25">
      <c r="C4259" s="1"/>
    </row>
    <row r="4260" spans="3:3" x14ac:dyDescent="0.25">
      <c r="C4260" s="1"/>
    </row>
    <row r="4261" spans="3:3" x14ac:dyDescent="0.25">
      <c r="C4261" s="1"/>
    </row>
    <row r="4262" spans="3:3" x14ac:dyDescent="0.25">
      <c r="C4262" s="1"/>
    </row>
    <row r="4263" spans="3:3" x14ac:dyDescent="0.25">
      <c r="C4263" s="1"/>
    </row>
    <row r="4264" spans="3:3" x14ac:dyDescent="0.25">
      <c r="C4264" s="1"/>
    </row>
    <row r="4265" spans="3:3" x14ac:dyDescent="0.25">
      <c r="C4265" s="1"/>
    </row>
    <row r="4266" spans="3:3" x14ac:dyDescent="0.25">
      <c r="C4266" s="1"/>
    </row>
    <row r="4267" spans="3:3" x14ac:dyDescent="0.25">
      <c r="C4267" s="1"/>
    </row>
    <row r="4268" spans="3:3" x14ac:dyDescent="0.25">
      <c r="C4268" s="1"/>
    </row>
    <row r="4269" spans="3:3" x14ac:dyDescent="0.25">
      <c r="C4269" s="1"/>
    </row>
    <row r="4270" spans="3:3" x14ac:dyDescent="0.25">
      <c r="C4270" s="1"/>
    </row>
    <row r="4271" spans="3:3" x14ac:dyDescent="0.25">
      <c r="C4271" s="1"/>
    </row>
    <row r="4272" spans="3:3" x14ac:dyDescent="0.25">
      <c r="C4272" s="1"/>
    </row>
    <row r="4273" spans="3:3" x14ac:dyDescent="0.25">
      <c r="C4273" s="1"/>
    </row>
    <row r="4274" spans="3:3" x14ac:dyDescent="0.25">
      <c r="C4274" s="1"/>
    </row>
    <row r="4275" spans="3:3" x14ac:dyDescent="0.25">
      <c r="C4275" s="1"/>
    </row>
    <row r="4276" spans="3:3" x14ac:dyDescent="0.25">
      <c r="C4276" s="1"/>
    </row>
    <row r="4277" spans="3:3" x14ac:dyDescent="0.25">
      <c r="C4277" s="1"/>
    </row>
    <row r="4278" spans="3:3" x14ac:dyDescent="0.25">
      <c r="C4278" s="1"/>
    </row>
    <row r="4279" spans="3:3" x14ac:dyDescent="0.25">
      <c r="C4279" s="1"/>
    </row>
    <row r="4280" spans="3:3" x14ac:dyDescent="0.25">
      <c r="C4280" s="1"/>
    </row>
    <row r="4281" spans="3:3" x14ac:dyDescent="0.25">
      <c r="C4281" s="1"/>
    </row>
    <row r="4282" spans="3:3" x14ac:dyDescent="0.25">
      <c r="C4282" s="1"/>
    </row>
    <row r="4283" spans="3:3" x14ac:dyDescent="0.25">
      <c r="C4283" s="1"/>
    </row>
    <row r="4284" spans="3:3" x14ac:dyDescent="0.25">
      <c r="C4284" s="1"/>
    </row>
    <row r="4285" spans="3:3" x14ac:dyDescent="0.25">
      <c r="C4285" s="1"/>
    </row>
    <row r="4286" spans="3:3" x14ac:dyDescent="0.25">
      <c r="C4286" s="1"/>
    </row>
    <row r="4287" spans="3:3" x14ac:dyDescent="0.25">
      <c r="C4287" s="1"/>
    </row>
    <row r="4288" spans="3:3" x14ac:dyDescent="0.25">
      <c r="C4288" s="1"/>
    </row>
    <row r="4289" spans="3:3" x14ac:dyDescent="0.25">
      <c r="C4289" s="1"/>
    </row>
    <row r="4290" spans="3:3" x14ac:dyDescent="0.25">
      <c r="C4290" s="1"/>
    </row>
    <row r="4291" spans="3:3" x14ac:dyDescent="0.25">
      <c r="C4291" s="1"/>
    </row>
    <row r="4292" spans="3:3" x14ac:dyDescent="0.25">
      <c r="C4292" s="1"/>
    </row>
    <row r="4293" spans="3:3" x14ac:dyDescent="0.25">
      <c r="C4293" s="1"/>
    </row>
    <row r="4294" spans="3:3" x14ac:dyDescent="0.25">
      <c r="C4294" s="1"/>
    </row>
    <row r="4295" spans="3:3" x14ac:dyDescent="0.25">
      <c r="C4295" s="1"/>
    </row>
    <row r="4296" spans="3:3" x14ac:dyDescent="0.25">
      <c r="C4296" s="1"/>
    </row>
    <row r="4297" spans="3:3" x14ac:dyDescent="0.25">
      <c r="C4297" s="1"/>
    </row>
    <row r="4298" spans="3:3" x14ac:dyDescent="0.25">
      <c r="C4298" s="1"/>
    </row>
    <row r="4299" spans="3:3" x14ac:dyDescent="0.25">
      <c r="C4299" s="1"/>
    </row>
    <row r="4300" spans="3:3" x14ac:dyDescent="0.25">
      <c r="C4300" s="1"/>
    </row>
    <row r="4301" spans="3:3" x14ac:dyDescent="0.25">
      <c r="C4301" s="1"/>
    </row>
    <row r="4302" spans="3:3" x14ac:dyDescent="0.25">
      <c r="C4302" s="1"/>
    </row>
    <row r="4303" spans="3:3" x14ac:dyDescent="0.25">
      <c r="C4303" s="1"/>
    </row>
    <row r="4304" spans="3:3" x14ac:dyDescent="0.25">
      <c r="C4304" s="1"/>
    </row>
    <row r="4305" spans="3:3" x14ac:dyDescent="0.25">
      <c r="C4305" s="1"/>
    </row>
    <row r="4306" spans="3:3" x14ac:dyDescent="0.25">
      <c r="C4306" s="1"/>
    </row>
    <row r="4307" spans="3:3" x14ac:dyDescent="0.25">
      <c r="C4307" s="1"/>
    </row>
    <row r="4308" spans="3:3" x14ac:dyDescent="0.25">
      <c r="C4308" s="1"/>
    </row>
    <row r="4309" spans="3:3" x14ac:dyDescent="0.25">
      <c r="C4309" s="1"/>
    </row>
    <row r="4310" spans="3:3" x14ac:dyDescent="0.25">
      <c r="C4310" s="1"/>
    </row>
    <row r="4311" spans="3:3" x14ac:dyDescent="0.25">
      <c r="C4311" s="1"/>
    </row>
    <row r="4312" spans="3:3" x14ac:dyDescent="0.25">
      <c r="C4312" s="1"/>
    </row>
    <row r="4313" spans="3:3" x14ac:dyDescent="0.25">
      <c r="C4313" s="1"/>
    </row>
    <row r="4314" spans="3:3" x14ac:dyDescent="0.25">
      <c r="C4314" s="1"/>
    </row>
    <row r="4315" spans="3:3" x14ac:dyDescent="0.25">
      <c r="C4315" s="1"/>
    </row>
    <row r="4316" spans="3:3" x14ac:dyDescent="0.25">
      <c r="C4316" s="1"/>
    </row>
    <row r="4317" spans="3:3" x14ac:dyDescent="0.25">
      <c r="C4317" s="1"/>
    </row>
    <row r="4318" spans="3:3" x14ac:dyDescent="0.25">
      <c r="C4318" s="1"/>
    </row>
    <row r="4319" spans="3:3" x14ac:dyDescent="0.25">
      <c r="C4319" s="1"/>
    </row>
    <row r="4320" spans="3:3" x14ac:dyDescent="0.25">
      <c r="C4320" s="1"/>
    </row>
    <row r="4321" spans="3:3" x14ac:dyDescent="0.25">
      <c r="C4321" s="1"/>
    </row>
    <row r="4322" spans="3:3" x14ac:dyDescent="0.25">
      <c r="C4322" s="1"/>
    </row>
    <row r="4323" spans="3:3" x14ac:dyDescent="0.25">
      <c r="C4323" s="1"/>
    </row>
    <row r="4324" spans="3:3" x14ac:dyDescent="0.25">
      <c r="C4324" s="1"/>
    </row>
    <row r="4325" spans="3:3" x14ac:dyDescent="0.25">
      <c r="C4325" s="1"/>
    </row>
    <row r="4326" spans="3:3" x14ac:dyDescent="0.25">
      <c r="C4326" s="1"/>
    </row>
    <row r="4327" spans="3:3" x14ac:dyDescent="0.25">
      <c r="C4327" s="1"/>
    </row>
    <row r="4328" spans="3:3" x14ac:dyDescent="0.25">
      <c r="C4328" s="1"/>
    </row>
    <row r="4329" spans="3:3" x14ac:dyDescent="0.25">
      <c r="C4329" s="1"/>
    </row>
    <row r="4330" spans="3:3" x14ac:dyDescent="0.25">
      <c r="C4330" s="1"/>
    </row>
    <row r="4331" spans="3:3" x14ac:dyDescent="0.25">
      <c r="C4331" s="1"/>
    </row>
    <row r="4332" spans="3:3" x14ac:dyDescent="0.25">
      <c r="C4332" s="1"/>
    </row>
    <row r="4333" spans="3:3" x14ac:dyDescent="0.25">
      <c r="C4333" s="1"/>
    </row>
    <row r="4334" spans="3:3" x14ac:dyDescent="0.25">
      <c r="C4334" s="1"/>
    </row>
    <row r="4335" spans="3:3" x14ac:dyDescent="0.25">
      <c r="C4335" s="1"/>
    </row>
    <row r="4336" spans="3:3" x14ac:dyDescent="0.25">
      <c r="C4336" s="1"/>
    </row>
    <row r="4337" spans="3:3" x14ac:dyDescent="0.25">
      <c r="C4337" s="1"/>
    </row>
    <row r="4338" spans="3:3" x14ac:dyDescent="0.25">
      <c r="C4338" s="1"/>
    </row>
    <row r="4339" spans="3:3" x14ac:dyDescent="0.25">
      <c r="C4339" s="1"/>
    </row>
    <row r="4340" spans="3:3" x14ac:dyDescent="0.25">
      <c r="C4340" s="1"/>
    </row>
    <row r="4341" spans="3:3" x14ac:dyDescent="0.25">
      <c r="C4341" s="1"/>
    </row>
    <row r="4342" spans="3:3" x14ac:dyDescent="0.25">
      <c r="C4342" s="1"/>
    </row>
    <row r="4343" spans="3:3" x14ac:dyDescent="0.25">
      <c r="C4343" s="1"/>
    </row>
    <row r="4344" spans="3:3" x14ac:dyDescent="0.25">
      <c r="C4344" s="1"/>
    </row>
    <row r="4345" spans="3:3" x14ac:dyDescent="0.25">
      <c r="C4345" s="1"/>
    </row>
    <row r="4346" spans="3:3" x14ac:dyDescent="0.25">
      <c r="C4346" s="1"/>
    </row>
    <row r="4347" spans="3:3" x14ac:dyDescent="0.25">
      <c r="C4347" s="1"/>
    </row>
    <row r="4348" spans="3:3" x14ac:dyDescent="0.25">
      <c r="C4348" s="1"/>
    </row>
    <row r="4349" spans="3:3" x14ac:dyDescent="0.25">
      <c r="C4349" s="1"/>
    </row>
    <row r="4350" spans="3:3" x14ac:dyDescent="0.25">
      <c r="C4350" s="1"/>
    </row>
    <row r="4351" spans="3:3" x14ac:dyDescent="0.25">
      <c r="C4351" s="1"/>
    </row>
    <row r="4352" spans="3:3" x14ac:dyDescent="0.25">
      <c r="C4352" s="1"/>
    </row>
    <row r="4353" spans="3:3" x14ac:dyDescent="0.25">
      <c r="C4353" s="1"/>
    </row>
    <row r="4354" spans="3:3" x14ac:dyDescent="0.25">
      <c r="C4354" s="1"/>
    </row>
    <row r="4355" spans="3:3" x14ac:dyDescent="0.25">
      <c r="C4355" s="1"/>
    </row>
    <row r="4356" spans="3:3" x14ac:dyDescent="0.25">
      <c r="C4356" s="1"/>
    </row>
    <row r="4357" spans="3:3" x14ac:dyDescent="0.25">
      <c r="C4357" s="1"/>
    </row>
    <row r="4358" spans="3:3" x14ac:dyDescent="0.25">
      <c r="C4358" s="1"/>
    </row>
    <row r="4359" spans="3:3" x14ac:dyDescent="0.25">
      <c r="C4359" s="1"/>
    </row>
    <row r="4360" spans="3:3" x14ac:dyDescent="0.25">
      <c r="C4360" s="1"/>
    </row>
    <row r="4361" spans="3:3" x14ac:dyDescent="0.25">
      <c r="C4361" s="1"/>
    </row>
    <row r="4362" spans="3:3" x14ac:dyDescent="0.25">
      <c r="C4362" s="1"/>
    </row>
    <row r="4363" spans="3:3" x14ac:dyDescent="0.25">
      <c r="C4363" s="1"/>
    </row>
    <row r="4364" spans="3:3" x14ac:dyDescent="0.25">
      <c r="C4364" s="1"/>
    </row>
    <row r="4365" spans="3:3" x14ac:dyDescent="0.25">
      <c r="C4365" s="1"/>
    </row>
    <row r="4366" spans="3:3" x14ac:dyDescent="0.25">
      <c r="C4366" s="1"/>
    </row>
    <row r="4367" spans="3:3" x14ac:dyDescent="0.25">
      <c r="C4367" s="1"/>
    </row>
    <row r="4368" spans="3:3" x14ac:dyDescent="0.25">
      <c r="C4368" s="1"/>
    </row>
    <row r="4369" spans="3:3" x14ac:dyDescent="0.25">
      <c r="C4369" s="1"/>
    </row>
    <row r="4370" spans="3:3" x14ac:dyDescent="0.25">
      <c r="C4370" s="1"/>
    </row>
    <row r="4371" spans="3:3" x14ac:dyDescent="0.25">
      <c r="C4371" s="1"/>
    </row>
    <row r="4372" spans="3:3" x14ac:dyDescent="0.25">
      <c r="C4372" s="1"/>
    </row>
    <row r="4373" spans="3:3" x14ac:dyDescent="0.25">
      <c r="C4373" s="1"/>
    </row>
    <row r="4374" spans="3:3" x14ac:dyDescent="0.25">
      <c r="C4374" s="1"/>
    </row>
    <row r="4375" spans="3:3" x14ac:dyDescent="0.25">
      <c r="C4375" s="1"/>
    </row>
    <row r="4376" spans="3:3" x14ac:dyDescent="0.25">
      <c r="C4376" s="1"/>
    </row>
    <row r="4377" spans="3:3" x14ac:dyDescent="0.25">
      <c r="C4377" s="1"/>
    </row>
    <row r="4378" spans="3:3" x14ac:dyDescent="0.25">
      <c r="C4378" s="1"/>
    </row>
    <row r="4379" spans="3:3" x14ac:dyDescent="0.25">
      <c r="C4379" s="1"/>
    </row>
    <row r="4380" spans="3:3" x14ac:dyDescent="0.25">
      <c r="C4380" s="1"/>
    </row>
    <row r="4381" spans="3:3" x14ac:dyDescent="0.25">
      <c r="C4381" s="1"/>
    </row>
    <row r="4382" spans="3:3" x14ac:dyDescent="0.25">
      <c r="C4382" s="1"/>
    </row>
    <row r="4383" spans="3:3" x14ac:dyDescent="0.25">
      <c r="C4383" s="1"/>
    </row>
    <row r="4384" spans="3:3" x14ac:dyDescent="0.25">
      <c r="C4384" s="1"/>
    </row>
    <row r="4385" spans="3:3" x14ac:dyDescent="0.25">
      <c r="C4385" s="1"/>
    </row>
    <row r="4386" spans="3:3" x14ac:dyDescent="0.25">
      <c r="C4386" s="1"/>
    </row>
    <row r="4387" spans="3:3" x14ac:dyDescent="0.25">
      <c r="C4387" s="1"/>
    </row>
    <row r="4388" spans="3:3" x14ac:dyDescent="0.25">
      <c r="C4388" s="1"/>
    </row>
    <row r="4389" spans="3:3" x14ac:dyDescent="0.25">
      <c r="C4389" s="1"/>
    </row>
    <row r="4390" spans="3:3" x14ac:dyDescent="0.25">
      <c r="C4390" s="1"/>
    </row>
    <row r="4391" spans="3:3" x14ac:dyDescent="0.25">
      <c r="C4391" s="1"/>
    </row>
    <row r="4392" spans="3:3" x14ac:dyDescent="0.25">
      <c r="C4392" s="1"/>
    </row>
    <row r="4393" spans="3:3" x14ac:dyDescent="0.25">
      <c r="C4393" s="1"/>
    </row>
    <row r="4394" spans="3:3" x14ac:dyDescent="0.25">
      <c r="C4394" s="1"/>
    </row>
    <row r="4395" spans="3:3" x14ac:dyDescent="0.25">
      <c r="C4395" s="1"/>
    </row>
    <row r="4396" spans="3:3" x14ac:dyDescent="0.25">
      <c r="C4396" s="1"/>
    </row>
    <row r="4397" spans="3:3" x14ac:dyDescent="0.25">
      <c r="C4397" s="1"/>
    </row>
    <row r="4398" spans="3:3" x14ac:dyDescent="0.25">
      <c r="C4398" s="1"/>
    </row>
    <row r="4399" spans="3:3" x14ac:dyDescent="0.25">
      <c r="C4399" s="1"/>
    </row>
    <row r="4400" spans="3:3" x14ac:dyDescent="0.25">
      <c r="C4400" s="1"/>
    </row>
    <row r="4401" spans="3:3" x14ac:dyDescent="0.25">
      <c r="C4401" s="1"/>
    </row>
    <row r="4402" spans="3:3" x14ac:dyDescent="0.25">
      <c r="C4402" s="1"/>
    </row>
    <row r="4403" spans="3:3" x14ac:dyDescent="0.25">
      <c r="C4403" s="1"/>
    </row>
    <row r="4404" spans="3:3" x14ac:dyDescent="0.25">
      <c r="C4404" s="1"/>
    </row>
    <row r="4405" spans="3:3" x14ac:dyDescent="0.25">
      <c r="C4405" s="1"/>
    </row>
    <row r="4406" spans="3:3" x14ac:dyDescent="0.25">
      <c r="C4406" s="1"/>
    </row>
    <row r="4407" spans="3:3" x14ac:dyDescent="0.25">
      <c r="C4407" s="1"/>
    </row>
    <row r="4408" spans="3:3" x14ac:dyDescent="0.25">
      <c r="C4408" s="1"/>
    </row>
    <row r="4409" spans="3:3" x14ac:dyDescent="0.25">
      <c r="C4409" s="1"/>
    </row>
    <row r="4410" spans="3:3" x14ac:dyDescent="0.25">
      <c r="C4410" s="1"/>
    </row>
    <row r="4411" spans="3:3" x14ac:dyDescent="0.25">
      <c r="C4411" s="1"/>
    </row>
    <row r="4412" spans="3:3" x14ac:dyDescent="0.25">
      <c r="C4412" s="1"/>
    </row>
    <row r="4413" spans="3:3" x14ac:dyDescent="0.25">
      <c r="C4413" s="1"/>
    </row>
    <row r="4414" spans="3:3" x14ac:dyDescent="0.25">
      <c r="C4414" s="1"/>
    </row>
    <row r="4415" spans="3:3" x14ac:dyDescent="0.25">
      <c r="C4415" s="1"/>
    </row>
    <row r="4416" spans="3:3" x14ac:dyDescent="0.25">
      <c r="C4416" s="1"/>
    </row>
    <row r="4417" spans="3:3" x14ac:dyDescent="0.25">
      <c r="C4417" s="1"/>
    </row>
    <row r="4418" spans="3:3" x14ac:dyDescent="0.25">
      <c r="C4418" s="1"/>
    </row>
    <row r="4419" spans="3:3" x14ac:dyDescent="0.25">
      <c r="C4419" s="1"/>
    </row>
    <row r="4420" spans="3:3" x14ac:dyDescent="0.25">
      <c r="C4420" s="1"/>
    </row>
    <row r="4421" spans="3:3" x14ac:dyDescent="0.25">
      <c r="C4421" s="1"/>
    </row>
    <row r="4422" spans="3:3" x14ac:dyDescent="0.25">
      <c r="C4422" s="1"/>
    </row>
    <row r="4423" spans="3:3" x14ac:dyDescent="0.25">
      <c r="C4423" s="1"/>
    </row>
    <row r="4424" spans="3:3" x14ac:dyDescent="0.25">
      <c r="C4424" s="1"/>
    </row>
    <row r="4425" spans="3:3" x14ac:dyDescent="0.25">
      <c r="C4425" s="1"/>
    </row>
    <row r="4426" spans="3:3" x14ac:dyDescent="0.25">
      <c r="C4426" s="1"/>
    </row>
    <row r="4427" spans="3:3" x14ac:dyDescent="0.25">
      <c r="C4427" s="1"/>
    </row>
    <row r="4428" spans="3:3" x14ac:dyDescent="0.25">
      <c r="C4428" s="1"/>
    </row>
    <row r="4429" spans="3:3" x14ac:dyDescent="0.25">
      <c r="C4429" s="1"/>
    </row>
    <row r="4430" spans="3:3" x14ac:dyDescent="0.25">
      <c r="C4430" s="1"/>
    </row>
    <row r="4431" spans="3:3" x14ac:dyDescent="0.25">
      <c r="C4431" s="1"/>
    </row>
    <row r="4432" spans="3:3" x14ac:dyDescent="0.25">
      <c r="C4432" s="1"/>
    </row>
    <row r="4433" spans="3:3" x14ac:dyDescent="0.25">
      <c r="C4433" s="1"/>
    </row>
    <row r="4434" spans="3:3" x14ac:dyDescent="0.25">
      <c r="C4434" s="1"/>
    </row>
    <row r="4435" spans="3:3" x14ac:dyDescent="0.25">
      <c r="C4435" s="1"/>
    </row>
    <row r="4436" spans="3:3" x14ac:dyDescent="0.25">
      <c r="C4436" s="1"/>
    </row>
    <row r="4437" spans="3:3" x14ac:dyDescent="0.25">
      <c r="C4437" s="1"/>
    </row>
    <row r="4438" spans="3:3" x14ac:dyDescent="0.25">
      <c r="C4438" s="1"/>
    </row>
    <row r="4439" spans="3:3" x14ac:dyDescent="0.25">
      <c r="C4439" s="1"/>
    </row>
    <row r="4440" spans="3:3" x14ac:dyDescent="0.25">
      <c r="C4440" s="1"/>
    </row>
    <row r="4441" spans="3:3" x14ac:dyDescent="0.25">
      <c r="C4441" s="1"/>
    </row>
    <row r="4442" spans="3:3" x14ac:dyDescent="0.25">
      <c r="C4442" s="1"/>
    </row>
    <row r="4443" spans="3:3" x14ac:dyDescent="0.25">
      <c r="C4443" s="1"/>
    </row>
    <row r="4444" spans="3:3" x14ac:dyDescent="0.25">
      <c r="C4444" s="1"/>
    </row>
    <row r="4445" spans="3:3" x14ac:dyDescent="0.25">
      <c r="C4445" s="1"/>
    </row>
    <row r="4446" spans="3:3" x14ac:dyDescent="0.25">
      <c r="C4446" s="1"/>
    </row>
    <row r="4447" spans="3:3" x14ac:dyDescent="0.25">
      <c r="C4447" s="1"/>
    </row>
    <row r="4448" spans="3:3" x14ac:dyDescent="0.25">
      <c r="C4448" s="1"/>
    </row>
    <row r="4449" spans="3:3" x14ac:dyDescent="0.25">
      <c r="C4449" s="1"/>
    </row>
    <row r="4450" spans="3:3" x14ac:dyDescent="0.25">
      <c r="C4450" s="1"/>
    </row>
    <row r="4451" spans="3:3" x14ac:dyDescent="0.25">
      <c r="C4451" s="1"/>
    </row>
    <row r="4452" spans="3:3" x14ac:dyDescent="0.25">
      <c r="C4452" s="1"/>
    </row>
    <row r="4453" spans="3:3" x14ac:dyDescent="0.25">
      <c r="C4453" s="1"/>
    </row>
    <row r="4454" spans="3:3" x14ac:dyDescent="0.25">
      <c r="C4454" s="1"/>
    </row>
    <row r="4455" spans="3:3" x14ac:dyDescent="0.25">
      <c r="C4455" s="1"/>
    </row>
    <row r="4456" spans="3:3" x14ac:dyDescent="0.25">
      <c r="C4456" s="1"/>
    </row>
    <row r="4457" spans="3:3" x14ac:dyDescent="0.25">
      <c r="C4457" s="1"/>
    </row>
    <row r="4458" spans="3:3" x14ac:dyDescent="0.25">
      <c r="C4458" s="1"/>
    </row>
    <row r="4459" spans="3:3" x14ac:dyDescent="0.25">
      <c r="C4459" s="1"/>
    </row>
    <row r="4460" spans="3:3" x14ac:dyDescent="0.25">
      <c r="C4460" s="1"/>
    </row>
    <row r="4461" spans="3:3" x14ac:dyDescent="0.25">
      <c r="C4461" s="1"/>
    </row>
    <row r="4462" spans="3:3" x14ac:dyDescent="0.25">
      <c r="C4462" s="1"/>
    </row>
    <row r="4463" spans="3:3" x14ac:dyDescent="0.25">
      <c r="C4463" s="1"/>
    </row>
    <row r="4464" spans="3:3" x14ac:dyDescent="0.25">
      <c r="C4464" s="1"/>
    </row>
    <row r="4465" spans="3:3" x14ac:dyDescent="0.25">
      <c r="C4465" s="1"/>
    </row>
    <row r="4466" spans="3:3" x14ac:dyDescent="0.25">
      <c r="C4466" s="1"/>
    </row>
    <row r="4467" spans="3:3" x14ac:dyDescent="0.25">
      <c r="C4467" s="1"/>
    </row>
    <row r="4468" spans="3:3" x14ac:dyDescent="0.25">
      <c r="C4468" s="1"/>
    </row>
    <row r="4469" spans="3:3" x14ac:dyDescent="0.25">
      <c r="C4469" s="1"/>
    </row>
    <row r="4470" spans="3:3" x14ac:dyDescent="0.25">
      <c r="C4470" s="1"/>
    </row>
    <row r="4471" spans="3:3" x14ac:dyDescent="0.25">
      <c r="C4471" s="1"/>
    </row>
    <row r="4472" spans="3:3" x14ac:dyDescent="0.25">
      <c r="C4472" s="1"/>
    </row>
    <row r="4473" spans="3:3" x14ac:dyDescent="0.25">
      <c r="C4473" s="1"/>
    </row>
    <row r="4474" spans="3:3" x14ac:dyDescent="0.25">
      <c r="C4474" s="1"/>
    </row>
    <row r="4475" spans="3:3" x14ac:dyDescent="0.25">
      <c r="C4475" s="1"/>
    </row>
    <row r="4476" spans="3:3" x14ac:dyDescent="0.25">
      <c r="C4476" s="1"/>
    </row>
    <row r="4477" spans="3:3" x14ac:dyDescent="0.25">
      <c r="C4477" s="1"/>
    </row>
    <row r="4478" spans="3:3" x14ac:dyDescent="0.25">
      <c r="C4478" s="1"/>
    </row>
    <row r="4479" spans="3:3" x14ac:dyDescent="0.25">
      <c r="C4479" s="1"/>
    </row>
    <row r="4480" spans="3:3" x14ac:dyDescent="0.25">
      <c r="C4480" s="1"/>
    </row>
    <row r="4481" spans="3:3" x14ac:dyDescent="0.25">
      <c r="C4481" s="1"/>
    </row>
    <row r="4482" spans="3:3" x14ac:dyDescent="0.25">
      <c r="C4482" s="1"/>
    </row>
    <row r="4483" spans="3:3" x14ac:dyDescent="0.25">
      <c r="C4483" s="1"/>
    </row>
    <row r="4484" spans="3:3" x14ac:dyDescent="0.25">
      <c r="C4484" s="1"/>
    </row>
    <row r="4485" spans="3:3" x14ac:dyDescent="0.25">
      <c r="C4485" s="1"/>
    </row>
    <row r="4486" spans="3:3" x14ac:dyDescent="0.25">
      <c r="C4486" s="1"/>
    </row>
    <row r="4487" spans="3:3" x14ac:dyDescent="0.25">
      <c r="C4487" s="1"/>
    </row>
    <row r="4488" spans="3:3" x14ac:dyDescent="0.25">
      <c r="C4488" s="1"/>
    </row>
    <row r="4489" spans="3:3" x14ac:dyDescent="0.25">
      <c r="C4489" s="1"/>
    </row>
    <row r="4490" spans="3:3" x14ac:dyDescent="0.25">
      <c r="C4490" s="1"/>
    </row>
    <row r="4491" spans="3:3" x14ac:dyDescent="0.25">
      <c r="C4491" s="1"/>
    </row>
    <row r="4492" spans="3:3" x14ac:dyDescent="0.25">
      <c r="C4492" s="1"/>
    </row>
    <row r="4493" spans="3:3" x14ac:dyDescent="0.25">
      <c r="C4493" s="1"/>
    </row>
    <row r="4494" spans="3:3" x14ac:dyDescent="0.25">
      <c r="C4494" s="1"/>
    </row>
    <row r="4495" spans="3:3" x14ac:dyDescent="0.25">
      <c r="C4495" s="1"/>
    </row>
    <row r="4496" spans="3:3" x14ac:dyDescent="0.25">
      <c r="C4496" s="1"/>
    </row>
    <row r="4497" spans="3:3" x14ac:dyDescent="0.25">
      <c r="C4497" s="1"/>
    </row>
    <row r="4498" spans="3:3" x14ac:dyDescent="0.25">
      <c r="C4498" s="1"/>
    </row>
    <row r="4499" spans="3:3" x14ac:dyDescent="0.25">
      <c r="C4499" s="1"/>
    </row>
    <row r="4500" spans="3:3" x14ac:dyDescent="0.25">
      <c r="C4500" s="1"/>
    </row>
    <row r="4501" spans="3:3" x14ac:dyDescent="0.25">
      <c r="C4501" s="1"/>
    </row>
    <row r="4502" spans="3:3" x14ac:dyDescent="0.25">
      <c r="C4502" s="1"/>
    </row>
    <row r="4503" spans="3:3" x14ac:dyDescent="0.25">
      <c r="C4503" s="1"/>
    </row>
    <row r="4504" spans="3:3" x14ac:dyDescent="0.25">
      <c r="C4504" s="1"/>
    </row>
    <row r="4505" spans="3:3" x14ac:dyDescent="0.25">
      <c r="C4505" s="1"/>
    </row>
    <row r="4506" spans="3:3" x14ac:dyDescent="0.25">
      <c r="C4506" s="1"/>
    </row>
    <row r="4507" spans="3:3" x14ac:dyDescent="0.25">
      <c r="C4507" s="1"/>
    </row>
    <row r="4508" spans="3:3" x14ac:dyDescent="0.25">
      <c r="C4508" s="1"/>
    </row>
    <row r="4509" spans="3:3" x14ac:dyDescent="0.25">
      <c r="C4509" s="1"/>
    </row>
    <row r="4510" spans="3:3" x14ac:dyDescent="0.25">
      <c r="C4510" s="1"/>
    </row>
    <row r="4511" spans="3:3" x14ac:dyDescent="0.25">
      <c r="C4511" s="1"/>
    </row>
    <row r="4512" spans="3:3" x14ac:dyDescent="0.25">
      <c r="C4512" s="1"/>
    </row>
    <row r="4513" spans="3:3" x14ac:dyDescent="0.25">
      <c r="C4513" s="1"/>
    </row>
    <row r="4514" spans="3:3" x14ac:dyDescent="0.25">
      <c r="C4514" s="1"/>
    </row>
    <row r="4515" spans="3:3" x14ac:dyDescent="0.25">
      <c r="C4515" s="1"/>
    </row>
    <row r="4516" spans="3:3" x14ac:dyDescent="0.25">
      <c r="C4516" s="1"/>
    </row>
    <row r="4517" spans="3:3" x14ac:dyDescent="0.25">
      <c r="C4517" s="1"/>
    </row>
    <row r="4518" spans="3:3" x14ac:dyDescent="0.25">
      <c r="C4518" s="1"/>
    </row>
    <row r="4519" spans="3:3" x14ac:dyDescent="0.25">
      <c r="C4519" s="1"/>
    </row>
    <row r="4520" spans="3:3" x14ac:dyDescent="0.25">
      <c r="C4520" s="1"/>
    </row>
    <row r="4521" spans="3:3" x14ac:dyDescent="0.25">
      <c r="C4521" s="1"/>
    </row>
    <row r="4522" spans="3:3" x14ac:dyDescent="0.25">
      <c r="C4522" s="1"/>
    </row>
    <row r="4523" spans="3:3" x14ac:dyDescent="0.25">
      <c r="C4523" s="1"/>
    </row>
    <row r="4524" spans="3:3" x14ac:dyDescent="0.25">
      <c r="C4524" s="1"/>
    </row>
    <row r="4525" spans="3:3" x14ac:dyDescent="0.25">
      <c r="C4525" s="1"/>
    </row>
    <row r="4526" spans="3:3" x14ac:dyDescent="0.25">
      <c r="C4526" s="1"/>
    </row>
    <row r="4527" spans="3:3" x14ac:dyDescent="0.25">
      <c r="C4527" s="1"/>
    </row>
    <row r="4528" spans="3:3" x14ac:dyDescent="0.25">
      <c r="C4528" s="1"/>
    </row>
    <row r="4529" spans="3:3" x14ac:dyDescent="0.25">
      <c r="C4529" s="1"/>
    </row>
    <row r="4530" spans="3:3" x14ac:dyDescent="0.25">
      <c r="C4530" s="1"/>
    </row>
    <row r="4531" spans="3:3" x14ac:dyDescent="0.25">
      <c r="C4531" s="1"/>
    </row>
    <row r="4532" spans="3:3" x14ac:dyDescent="0.25">
      <c r="C4532" s="1"/>
    </row>
    <row r="4533" spans="3:3" x14ac:dyDescent="0.25">
      <c r="C4533" s="1"/>
    </row>
    <row r="4534" spans="3:3" x14ac:dyDescent="0.25">
      <c r="C4534" s="1"/>
    </row>
    <row r="4535" spans="3:3" x14ac:dyDescent="0.25">
      <c r="C4535" s="1"/>
    </row>
    <row r="4536" spans="3:3" x14ac:dyDescent="0.25">
      <c r="C4536" s="1"/>
    </row>
    <row r="4537" spans="3:3" x14ac:dyDescent="0.25">
      <c r="C4537" s="1"/>
    </row>
    <row r="4538" spans="3:3" x14ac:dyDescent="0.25">
      <c r="C4538" s="1"/>
    </row>
    <row r="4539" spans="3:3" x14ac:dyDescent="0.25">
      <c r="C4539" s="1"/>
    </row>
    <row r="4540" spans="3:3" x14ac:dyDescent="0.25">
      <c r="C4540" s="1"/>
    </row>
    <row r="4541" spans="3:3" x14ac:dyDescent="0.25">
      <c r="C4541" s="1"/>
    </row>
    <row r="4542" spans="3:3" x14ac:dyDescent="0.25">
      <c r="C4542" s="1"/>
    </row>
    <row r="4543" spans="3:3" x14ac:dyDescent="0.25">
      <c r="C4543" s="1"/>
    </row>
    <row r="4544" spans="3:3" x14ac:dyDescent="0.25">
      <c r="C4544" s="1"/>
    </row>
    <row r="4545" spans="3:3" x14ac:dyDescent="0.25">
      <c r="C4545" s="1"/>
    </row>
    <row r="4546" spans="3:3" x14ac:dyDescent="0.25">
      <c r="C4546" s="1"/>
    </row>
    <row r="4547" spans="3:3" x14ac:dyDescent="0.25">
      <c r="C4547" s="1"/>
    </row>
    <row r="4548" spans="3:3" x14ac:dyDescent="0.25">
      <c r="C4548" s="1"/>
    </row>
    <row r="4549" spans="3:3" x14ac:dyDescent="0.25">
      <c r="C4549" s="1"/>
    </row>
    <row r="4550" spans="3:3" x14ac:dyDescent="0.25">
      <c r="C4550" s="1"/>
    </row>
    <row r="4551" spans="3:3" x14ac:dyDescent="0.25">
      <c r="C4551" s="1"/>
    </row>
    <row r="4552" spans="3:3" x14ac:dyDescent="0.25">
      <c r="C4552" s="1"/>
    </row>
    <row r="4553" spans="3:3" x14ac:dyDescent="0.25">
      <c r="C4553" s="1"/>
    </row>
    <row r="4554" spans="3:3" x14ac:dyDescent="0.25">
      <c r="C4554" s="1"/>
    </row>
    <row r="4555" spans="3:3" x14ac:dyDescent="0.25">
      <c r="C4555" s="1"/>
    </row>
    <row r="4556" spans="3:3" x14ac:dyDescent="0.25">
      <c r="C4556" s="1"/>
    </row>
    <row r="4557" spans="3:3" x14ac:dyDescent="0.25">
      <c r="C4557" s="1"/>
    </row>
    <row r="4558" spans="3:3" x14ac:dyDescent="0.25">
      <c r="C4558" s="1"/>
    </row>
    <row r="4559" spans="3:3" x14ac:dyDescent="0.25">
      <c r="C4559" s="1"/>
    </row>
    <row r="4560" spans="3:3" x14ac:dyDescent="0.25">
      <c r="C4560" s="1"/>
    </row>
    <row r="4561" spans="3:3" x14ac:dyDescent="0.25">
      <c r="C4561" s="1"/>
    </row>
    <row r="4562" spans="3:3" x14ac:dyDescent="0.25">
      <c r="C4562" s="1"/>
    </row>
    <row r="4563" spans="3:3" x14ac:dyDescent="0.25">
      <c r="C4563" s="1"/>
    </row>
    <row r="4564" spans="3:3" x14ac:dyDescent="0.25">
      <c r="C4564" s="1"/>
    </row>
    <row r="4565" spans="3:3" x14ac:dyDescent="0.25">
      <c r="C4565" s="1"/>
    </row>
    <row r="4566" spans="3:3" x14ac:dyDescent="0.25">
      <c r="C4566" s="1"/>
    </row>
    <row r="4567" spans="3:3" x14ac:dyDescent="0.25">
      <c r="C4567" s="1"/>
    </row>
    <row r="4568" spans="3:3" x14ac:dyDescent="0.25">
      <c r="C4568" s="1"/>
    </row>
    <row r="4569" spans="3:3" x14ac:dyDescent="0.25">
      <c r="C4569" s="1"/>
    </row>
    <row r="4570" spans="3:3" x14ac:dyDescent="0.25">
      <c r="C4570" s="1"/>
    </row>
    <row r="4571" spans="3:3" x14ac:dyDescent="0.25">
      <c r="C4571" s="1"/>
    </row>
    <row r="4572" spans="3:3" x14ac:dyDescent="0.25">
      <c r="C4572" s="1"/>
    </row>
    <row r="4573" spans="3:3" x14ac:dyDescent="0.25">
      <c r="C4573" s="1"/>
    </row>
    <row r="4574" spans="3:3" x14ac:dyDescent="0.25">
      <c r="C4574" s="1"/>
    </row>
    <row r="4575" spans="3:3" x14ac:dyDescent="0.25">
      <c r="C4575" s="1"/>
    </row>
    <row r="4576" spans="3:3" x14ac:dyDescent="0.25">
      <c r="C4576" s="1"/>
    </row>
    <row r="4577" spans="3:3" x14ac:dyDescent="0.25">
      <c r="C4577" s="1"/>
    </row>
    <row r="4578" spans="3:3" x14ac:dyDescent="0.25">
      <c r="C4578" s="1"/>
    </row>
    <row r="4579" spans="3:3" x14ac:dyDescent="0.25">
      <c r="C4579" s="1"/>
    </row>
    <row r="4580" spans="3:3" x14ac:dyDescent="0.25">
      <c r="C4580" s="1"/>
    </row>
    <row r="4581" spans="3:3" x14ac:dyDescent="0.25">
      <c r="C4581" s="1"/>
    </row>
    <row r="4582" spans="3:3" x14ac:dyDescent="0.25">
      <c r="C4582" s="1"/>
    </row>
    <row r="4583" spans="3:3" x14ac:dyDescent="0.25">
      <c r="C4583" s="1"/>
    </row>
    <row r="4584" spans="3:3" x14ac:dyDescent="0.25">
      <c r="C4584" s="1"/>
    </row>
    <row r="4585" spans="3:3" x14ac:dyDescent="0.25">
      <c r="C4585" s="1"/>
    </row>
    <row r="4586" spans="3:3" x14ac:dyDescent="0.25">
      <c r="C4586" s="1"/>
    </row>
    <row r="4587" spans="3:3" x14ac:dyDescent="0.25">
      <c r="C4587" s="1"/>
    </row>
    <row r="4588" spans="3:3" x14ac:dyDescent="0.25">
      <c r="C4588" s="1"/>
    </row>
    <row r="4589" spans="3:3" x14ac:dyDescent="0.25">
      <c r="C4589" s="1"/>
    </row>
    <row r="4590" spans="3:3" x14ac:dyDescent="0.25">
      <c r="C4590" s="1"/>
    </row>
    <row r="4591" spans="3:3" x14ac:dyDescent="0.25">
      <c r="C4591" s="1"/>
    </row>
    <row r="4592" spans="3:3" x14ac:dyDescent="0.25">
      <c r="C4592" s="1"/>
    </row>
    <row r="4593" spans="3:3" x14ac:dyDescent="0.25">
      <c r="C4593" s="1"/>
    </row>
    <row r="4594" spans="3:3" x14ac:dyDescent="0.25">
      <c r="C4594" s="1"/>
    </row>
    <row r="4595" spans="3:3" x14ac:dyDescent="0.25">
      <c r="C4595" s="1"/>
    </row>
    <row r="4596" spans="3:3" x14ac:dyDescent="0.25">
      <c r="C4596" s="1"/>
    </row>
    <row r="4597" spans="3:3" x14ac:dyDescent="0.25">
      <c r="C4597" s="1"/>
    </row>
    <row r="4598" spans="3:3" x14ac:dyDescent="0.25">
      <c r="C4598" s="1"/>
    </row>
    <row r="4599" spans="3:3" x14ac:dyDescent="0.25">
      <c r="C4599" s="1"/>
    </row>
    <row r="4600" spans="3:3" x14ac:dyDescent="0.25">
      <c r="C4600" s="1"/>
    </row>
    <row r="4601" spans="3:3" x14ac:dyDescent="0.25">
      <c r="C4601" s="1"/>
    </row>
    <row r="4602" spans="3:3" x14ac:dyDescent="0.25">
      <c r="C4602" s="1"/>
    </row>
    <row r="4603" spans="3:3" x14ac:dyDescent="0.25">
      <c r="C4603" s="1"/>
    </row>
    <row r="4604" spans="3:3" x14ac:dyDescent="0.25">
      <c r="C4604" s="1"/>
    </row>
    <row r="4605" spans="3:3" x14ac:dyDescent="0.25">
      <c r="C4605" s="1"/>
    </row>
    <row r="4606" spans="3:3" x14ac:dyDescent="0.25">
      <c r="C4606" s="1"/>
    </row>
    <row r="4607" spans="3:3" x14ac:dyDescent="0.25">
      <c r="C4607" s="1"/>
    </row>
    <row r="4608" spans="3:3" x14ac:dyDescent="0.25">
      <c r="C4608" s="1"/>
    </row>
    <row r="4609" spans="3:3" x14ac:dyDescent="0.25">
      <c r="C4609" s="1"/>
    </row>
    <row r="4610" spans="3:3" x14ac:dyDescent="0.25">
      <c r="C4610" s="1"/>
    </row>
    <row r="4611" spans="3:3" x14ac:dyDescent="0.25">
      <c r="C4611" s="1"/>
    </row>
    <row r="4612" spans="3:3" x14ac:dyDescent="0.25">
      <c r="C4612" s="1"/>
    </row>
    <row r="4613" spans="3:3" x14ac:dyDescent="0.25">
      <c r="C4613" s="1"/>
    </row>
    <row r="4614" spans="3:3" x14ac:dyDescent="0.25">
      <c r="C4614" s="1"/>
    </row>
    <row r="4615" spans="3:3" x14ac:dyDescent="0.25">
      <c r="C4615" s="1"/>
    </row>
    <row r="4616" spans="3:3" x14ac:dyDescent="0.25">
      <c r="C4616" s="1"/>
    </row>
    <row r="4617" spans="3:3" x14ac:dyDescent="0.25">
      <c r="C4617" s="1"/>
    </row>
    <row r="4618" spans="3:3" x14ac:dyDescent="0.25">
      <c r="C4618" s="1"/>
    </row>
    <row r="4619" spans="3:3" x14ac:dyDescent="0.25">
      <c r="C4619" s="1"/>
    </row>
    <row r="4620" spans="3:3" x14ac:dyDescent="0.25">
      <c r="C4620" s="1"/>
    </row>
    <row r="4621" spans="3:3" x14ac:dyDescent="0.25">
      <c r="C4621" s="1"/>
    </row>
    <row r="4622" spans="3:3" x14ac:dyDescent="0.25">
      <c r="C4622" s="1"/>
    </row>
    <row r="4623" spans="3:3" x14ac:dyDescent="0.25">
      <c r="C4623" s="1"/>
    </row>
    <row r="4624" spans="3:3" x14ac:dyDescent="0.25">
      <c r="C4624" s="1"/>
    </row>
    <row r="4625" spans="3:3" x14ac:dyDescent="0.25">
      <c r="C4625" s="1"/>
    </row>
    <row r="4626" spans="3:3" x14ac:dyDescent="0.25">
      <c r="C4626" s="1"/>
    </row>
    <row r="4627" spans="3:3" x14ac:dyDescent="0.25">
      <c r="C4627" s="1"/>
    </row>
    <row r="4628" spans="3:3" x14ac:dyDescent="0.25">
      <c r="C4628" s="1"/>
    </row>
    <row r="4629" spans="3:3" x14ac:dyDescent="0.25">
      <c r="C4629" s="1"/>
    </row>
    <row r="4630" spans="3:3" x14ac:dyDescent="0.25">
      <c r="C4630" s="1"/>
    </row>
    <row r="4631" spans="3:3" x14ac:dyDescent="0.25">
      <c r="C4631" s="1"/>
    </row>
    <row r="4632" spans="3:3" x14ac:dyDescent="0.25">
      <c r="C4632" s="1"/>
    </row>
    <row r="4633" spans="3:3" x14ac:dyDescent="0.25">
      <c r="C4633" s="1"/>
    </row>
    <row r="4634" spans="3:3" x14ac:dyDescent="0.25">
      <c r="C4634" s="1"/>
    </row>
    <row r="4635" spans="3:3" x14ac:dyDescent="0.25">
      <c r="C4635" s="1"/>
    </row>
    <row r="4636" spans="3:3" x14ac:dyDescent="0.25">
      <c r="C4636" s="1"/>
    </row>
    <row r="4637" spans="3:3" x14ac:dyDescent="0.25">
      <c r="C4637" s="1"/>
    </row>
    <row r="4638" spans="3:3" x14ac:dyDescent="0.25">
      <c r="C4638" s="1"/>
    </row>
    <row r="4639" spans="3:3" x14ac:dyDescent="0.25">
      <c r="C4639" s="1"/>
    </row>
    <row r="4640" spans="3:3" x14ac:dyDescent="0.25">
      <c r="C4640" s="1"/>
    </row>
    <row r="4641" spans="3:3" x14ac:dyDescent="0.25">
      <c r="C4641" s="1"/>
    </row>
    <row r="4642" spans="3:3" x14ac:dyDescent="0.25">
      <c r="C4642" s="1"/>
    </row>
    <row r="4643" spans="3:3" x14ac:dyDescent="0.25">
      <c r="C4643" s="1"/>
    </row>
    <row r="4644" spans="3:3" x14ac:dyDescent="0.25">
      <c r="C4644" s="1"/>
    </row>
    <row r="4645" spans="3:3" x14ac:dyDescent="0.25">
      <c r="C4645" s="1"/>
    </row>
    <row r="4646" spans="3:3" x14ac:dyDescent="0.25">
      <c r="C4646" s="1"/>
    </row>
    <row r="4647" spans="3:3" x14ac:dyDescent="0.25">
      <c r="C4647" s="1"/>
    </row>
    <row r="4648" spans="3:3" x14ac:dyDescent="0.25">
      <c r="C4648" s="1"/>
    </row>
    <row r="4649" spans="3:3" x14ac:dyDescent="0.25">
      <c r="C4649" s="1"/>
    </row>
    <row r="4650" spans="3:3" x14ac:dyDescent="0.25">
      <c r="C4650" s="1"/>
    </row>
    <row r="4651" spans="3:3" x14ac:dyDescent="0.25">
      <c r="C4651" s="1"/>
    </row>
    <row r="4652" spans="3:3" x14ac:dyDescent="0.25">
      <c r="C4652" s="1"/>
    </row>
    <row r="4653" spans="3:3" x14ac:dyDescent="0.25">
      <c r="C4653" s="1"/>
    </row>
    <row r="4654" spans="3:3" x14ac:dyDescent="0.25">
      <c r="C4654" s="1"/>
    </row>
    <row r="4655" spans="3:3" x14ac:dyDescent="0.25">
      <c r="C4655" s="1"/>
    </row>
    <row r="4656" spans="3:3" x14ac:dyDescent="0.25">
      <c r="C4656" s="1"/>
    </row>
    <row r="4657" spans="3:3" x14ac:dyDescent="0.25">
      <c r="C4657" s="1"/>
    </row>
    <row r="4658" spans="3:3" x14ac:dyDescent="0.25">
      <c r="C4658" s="1"/>
    </row>
    <row r="4659" spans="3:3" x14ac:dyDescent="0.25">
      <c r="C4659" s="1"/>
    </row>
    <row r="4660" spans="3:3" x14ac:dyDescent="0.25">
      <c r="C4660" s="1"/>
    </row>
    <row r="4661" spans="3:3" x14ac:dyDescent="0.25">
      <c r="C4661" s="1"/>
    </row>
    <row r="4662" spans="3:3" x14ac:dyDescent="0.25">
      <c r="C4662" s="1"/>
    </row>
    <row r="4663" spans="3:3" x14ac:dyDescent="0.25">
      <c r="C4663" s="1"/>
    </row>
    <row r="4664" spans="3:3" x14ac:dyDescent="0.25">
      <c r="C4664" s="1"/>
    </row>
    <row r="4665" spans="3:3" x14ac:dyDescent="0.25">
      <c r="C4665" s="1"/>
    </row>
    <row r="4666" spans="3:3" x14ac:dyDescent="0.25">
      <c r="C4666" s="1"/>
    </row>
    <row r="4667" spans="3:3" x14ac:dyDescent="0.25">
      <c r="C4667" s="1"/>
    </row>
    <row r="4668" spans="3:3" x14ac:dyDescent="0.25">
      <c r="C4668" s="1"/>
    </row>
    <row r="4669" spans="3:3" x14ac:dyDescent="0.25">
      <c r="C4669" s="1"/>
    </row>
    <row r="4670" spans="3:3" x14ac:dyDescent="0.25">
      <c r="C4670" s="1"/>
    </row>
    <row r="4671" spans="3:3" x14ac:dyDescent="0.25">
      <c r="C4671" s="1"/>
    </row>
    <row r="4672" spans="3:3" x14ac:dyDescent="0.25">
      <c r="C4672" s="1"/>
    </row>
    <row r="4673" spans="3:3" x14ac:dyDescent="0.25">
      <c r="C4673" s="1"/>
    </row>
    <row r="4674" spans="3:3" x14ac:dyDescent="0.25">
      <c r="C4674" s="1"/>
    </row>
    <row r="4675" spans="3:3" x14ac:dyDescent="0.25">
      <c r="C4675" s="1"/>
    </row>
    <row r="4676" spans="3:3" x14ac:dyDescent="0.25">
      <c r="C4676" s="1"/>
    </row>
    <row r="4677" spans="3:3" x14ac:dyDescent="0.25">
      <c r="C4677" s="1"/>
    </row>
    <row r="4678" spans="3:3" x14ac:dyDescent="0.25">
      <c r="C4678" s="1"/>
    </row>
    <row r="4679" spans="3:3" x14ac:dyDescent="0.25">
      <c r="C4679" s="1"/>
    </row>
    <row r="4680" spans="3:3" x14ac:dyDescent="0.25">
      <c r="C4680" s="1"/>
    </row>
    <row r="4681" spans="3:3" x14ac:dyDescent="0.25">
      <c r="C4681" s="1"/>
    </row>
    <row r="4682" spans="3:3" x14ac:dyDescent="0.25">
      <c r="C4682" s="1"/>
    </row>
    <row r="4683" spans="3:3" x14ac:dyDescent="0.25">
      <c r="C4683" s="1"/>
    </row>
    <row r="4684" spans="3:3" x14ac:dyDescent="0.25">
      <c r="C4684" s="1"/>
    </row>
    <row r="4685" spans="3:3" x14ac:dyDescent="0.25">
      <c r="C4685" s="1"/>
    </row>
    <row r="4686" spans="3:3" x14ac:dyDescent="0.25">
      <c r="C4686" s="1"/>
    </row>
    <row r="4687" spans="3:3" x14ac:dyDescent="0.25">
      <c r="C4687" s="1"/>
    </row>
    <row r="4688" spans="3:3" x14ac:dyDescent="0.25">
      <c r="C4688" s="1"/>
    </row>
    <row r="4689" spans="3:3" x14ac:dyDescent="0.25">
      <c r="C4689" s="1"/>
    </row>
    <row r="4690" spans="3:3" x14ac:dyDescent="0.25">
      <c r="C4690" s="1"/>
    </row>
    <row r="4691" spans="3:3" x14ac:dyDescent="0.25">
      <c r="C4691" s="1"/>
    </row>
    <row r="4692" spans="3:3" x14ac:dyDescent="0.25">
      <c r="C4692" s="1"/>
    </row>
    <row r="4693" spans="3:3" x14ac:dyDescent="0.25">
      <c r="C4693" s="1"/>
    </row>
    <row r="4694" spans="3:3" x14ac:dyDescent="0.25">
      <c r="C4694" s="1"/>
    </row>
    <row r="4695" spans="3:3" x14ac:dyDescent="0.25">
      <c r="C4695" s="1"/>
    </row>
    <row r="4696" spans="3:3" x14ac:dyDescent="0.25">
      <c r="C4696" s="1"/>
    </row>
    <row r="4697" spans="3:3" x14ac:dyDescent="0.25">
      <c r="C4697" s="1"/>
    </row>
    <row r="4698" spans="3:3" x14ac:dyDescent="0.25">
      <c r="C4698" s="1"/>
    </row>
    <row r="4699" spans="3:3" x14ac:dyDescent="0.25">
      <c r="C4699" s="1"/>
    </row>
    <row r="4700" spans="3:3" x14ac:dyDescent="0.25">
      <c r="C4700" s="1"/>
    </row>
    <row r="4701" spans="3:3" x14ac:dyDescent="0.25">
      <c r="C4701" s="1"/>
    </row>
    <row r="4702" spans="3:3" x14ac:dyDescent="0.25">
      <c r="C4702" s="1"/>
    </row>
    <row r="4703" spans="3:3" x14ac:dyDescent="0.25">
      <c r="C4703" s="1"/>
    </row>
    <row r="4704" spans="3:3" x14ac:dyDescent="0.25">
      <c r="C4704" s="1"/>
    </row>
    <row r="4705" spans="3:3" x14ac:dyDescent="0.25">
      <c r="C4705" s="1"/>
    </row>
    <row r="4706" spans="3:3" x14ac:dyDescent="0.25">
      <c r="C4706" s="1"/>
    </row>
    <row r="4707" spans="3:3" x14ac:dyDescent="0.25">
      <c r="C4707" s="1"/>
    </row>
    <row r="4708" spans="3:3" x14ac:dyDescent="0.25">
      <c r="C4708" s="1"/>
    </row>
    <row r="4709" spans="3:3" x14ac:dyDescent="0.25">
      <c r="C4709" s="1"/>
    </row>
    <row r="4710" spans="3:3" x14ac:dyDescent="0.25">
      <c r="C4710" s="1"/>
    </row>
    <row r="4711" spans="3:3" x14ac:dyDescent="0.25">
      <c r="C4711" s="1"/>
    </row>
    <row r="4712" spans="3:3" x14ac:dyDescent="0.25">
      <c r="C4712" s="1"/>
    </row>
    <row r="4713" spans="3:3" x14ac:dyDescent="0.25">
      <c r="C4713" s="1"/>
    </row>
    <row r="4714" spans="3:3" x14ac:dyDescent="0.25">
      <c r="C4714" s="1"/>
    </row>
    <row r="4715" spans="3:3" x14ac:dyDescent="0.25">
      <c r="C4715" s="1"/>
    </row>
    <row r="4716" spans="3:3" x14ac:dyDescent="0.25">
      <c r="C4716" s="1"/>
    </row>
    <row r="4717" spans="3:3" x14ac:dyDescent="0.25">
      <c r="C4717" s="1"/>
    </row>
    <row r="4718" spans="3:3" x14ac:dyDescent="0.25">
      <c r="C4718" s="1"/>
    </row>
    <row r="4719" spans="3:3" x14ac:dyDescent="0.25">
      <c r="C4719" s="1"/>
    </row>
    <row r="4720" spans="3:3" x14ac:dyDescent="0.25">
      <c r="C4720" s="1"/>
    </row>
    <row r="4721" spans="3:3" x14ac:dyDescent="0.25">
      <c r="C4721" s="1"/>
    </row>
    <row r="4722" spans="3:3" x14ac:dyDescent="0.25">
      <c r="C4722" s="1"/>
    </row>
    <row r="4723" spans="3:3" x14ac:dyDescent="0.25">
      <c r="C4723" s="1"/>
    </row>
    <row r="4724" spans="3:3" x14ac:dyDescent="0.25">
      <c r="C4724" s="1"/>
    </row>
    <row r="4725" spans="3:3" x14ac:dyDescent="0.25">
      <c r="C4725" s="1"/>
    </row>
    <row r="4726" spans="3:3" x14ac:dyDescent="0.25">
      <c r="C4726" s="1"/>
    </row>
    <row r="4727" spans="3:3" x14ac:dyDescent="0.25">
      <c r="C4727" s="1"/>
    </row>
    <row r="4728" spans="3:3" x14ac:dyDescent="0.25">
      <c r="C4728" s="1"/>
    </row>
    <row r="4729" spans="3:3" x14ac:dyDescent="0.25">
      <c r="C4729" s="1"/>
    </row>
    <row r="4730" spans="3:3" x14ac:dyDescent="0.25">
      <c r="C4730" s="1"/>
    </row>
    <row r="4731" spans="3:3" x14ac:dyDescent="0.25">
      <c r="C4731" s="1"/>
    </row>
    <row r="4732" spans="3:3" x14ac:dyDescent="0.25">
      <c r="C4732" s="1"/>
    </row>
    <row r="4733" spans="3:3" x14ac:dyDescent="0.25">
      <c r="C4733" s="1"/>
    </row>
    <row r="4734" spans="3:3" x14ac:dyDescent="0.25">
      <c r="C4734" s="1"/>
    </row>
    <row r="4735" spans="3:3" x14ac:dyDescent="0.25">
      <c r="C4735" s="1"/>
    </row>
    <row r="4736" spans="3:3" x14ac:dyDescent="0.25">
      <c r="C4736" s="1"/>
    </row>
    <row r="4737" spans="3:3" x14ac:dyDescent="0.25">
      <c r="C4737" s="1"/>
    </row>
    <row r="4738" spans="3:3" x14ac:dyDescent="0.25">
      <c r="C4738" s="1"/>
    </row>
    <row r="4739" spans="3:3" x14ac:dyDescent="0.25">
      <c r="C4739" s="1"/>
    </row>
    <row r="4740" spans="3:3" x14ac:dyDescent="0.25">
      <c r="C4740" s="1"/>
    </row>
    <row r="4741" spans="3:3" x14ac:dyDescent="0.25">
      <c r="C4741" s="1"/>
    </row>
    <row r="4742" spans="3:3" x14ac:dyDescent="0.25">
      <c r="C4742" s="1"/>
    </row>
    <row r="4743" spans="3:3" x14ac:dyDescent="0.25">
      <c r="C4743" s="1"/>
    </row>
    <row r="4744" spans="3:3" x14ac:dyDescent="0.25">
      <c r="C4744" s="1"/>
    </row>
    <row r="4745" spans="3:3" x14ac:dyDescent="0.25">
      <c r="C4745" s="1"/>
    </row>
    <row r="4746" spans="3:3" x14ac:dyDescent="0.25">
      <c r="C4746" s="1"/>
    </row>
    <row r="4747" spans="3:3" x14ac:dyDescent="0.25">
      <c r="C4747" s="1"/>
    </row>
    <row r="4748" spans="3:3" x14ac:dyDescent="0.25">
      <c r="C4748" s="1"/>
    </row>
    <row r="4749" spans="3:3" x14ac:dyDescent="0.25">
      <c r="C4749" s="1"/>
    </row>
    <row r="4750" spans="3:3" x14ac:dyDescent="0.25">
      <c r="C4750" s="1"/>
    </row>
    <row r="4751" spans="3:3" x14ac:dyDescent="0.25">
      <c r="C4751" s="1"/>
    </row>
    <row r="4752" spans="3:3" x14ac:dyDescent="0.25">
      <c r="C4752" s="1"/>
    </row>
    <row r="4753" spans="3:3" x14ac:dyDescent="0.25">
      <c r="C4753" s="1"/>
    </row>
    <row r="4754" spans="3:3" x14ac:dyDescent="0.25">
      <c r="C4754" s="1"/>
    </row>
    <row r="4755" spans="3:3" x14ac:dyDescent="0.25">
      <c r="C4755" s="1"/>
    </row>
    <row r="4756" spans="3:3" x14ac:dyDescent="0.25">
      <c r="C4756" s="1"/>
    </row>
    <row r="4757" spans="3:3" x14ac:dyDescent="0.25">
      <c r="C4757" s="1"/>
    </row>
    <row r="4758" spans="3:3" x14ac:dyDescent="0.25">
      <c r="C4758" s="1"/>
    </row>
    <row r="4759" spans="3:3" x14ac:dyDescent="0.25">
      <c r="C4759" s="1"/>
    </row>
    <row r="4760" spans="3:3" x14ac:dyDescent="0.25">
      <c r="C4760" s="1"/>
    </row>
    <row r="4761" spans="3:3" x14ac:dyDescent="0.25">
      <c r="C4761" s="1"/>
    </row>
    <row r="4762" spans="3:3" x14ac:dyDescent="0.25">
      <c r="C4762" s="1"/>
    </row>
    <row r="4763" spans="3:3" x14ac:dyDescent="0.25">
      <c r="C4763" s="1"/>
    </row>
    <row r="4764" spans="3:3" x14ac:dyDescent="0.25">
      <c r="C4764" s="1"/>
    </row>
    <row r="4765" spans="3:3" x14ac:dyDescent="0.25">
      <c r="C4765" s="1"/>
    </row>
    <row r="4766" spans="3:3" x14ac:dyDescent="0.25">
      <c r="C4766" s="1"/>
    </row>
    <row r="4767" spans="3:3" x14ac:dyDescent="0.25">
      <c r="C4767" s="1"/>
    </row>
    <row r="4768" spans="3:3" x14ac:dyDescent="0.25">
      <c r="C4768" s="1"/>
    </row>
    <row r="4769" spans="3:3" x14ac:dyDescent="0.25">
      <c r="C4769" s="1"/>
    </row>
    <row r="4770" spans="3:3" x14ac:dyDescent="0.25">
      <c r="C4770" s="1"/>
    </row>
    <row r="4771" spans="3:3" x14ac:dyDescent="0.25">
      <c r="C4771" s="1"/>
    </row>
    <row r="4772" spans="3:3" x14ac:dyDescent="0.25">
      <c r="C4772" s="1"/>
    </row>
    <row r="4773" spans="3:3" x14ac:dyDescent="0.25">
      <c r="C4773" s="1"/>
    </row>
    <row r="4774" spans="3:3" x14ac:dyDescent="0.25">
      <c r="C4774" s="1"/>
    </row>
    <row r="4775" spans="3:3" x14ac:dyDescent="0.25">
      <c r="C4775" s="1"/>
    </row>
    <row r="4776" spans="3:3" x14ac:dyDescent="0.25">
      <c r="C4776" s="1"/>
    </row>
    <row r="4777" spans="3:3" x14ac:dyDescent="0.25">
      <c r="C4777" s="1"/>
    </row>
    <row r="4778" spans="3:3" x14ac:dyDescent="0.25">
      <c r="C4778" s="1"/>
    </row>
    <row r="4779" spans="3:3" x14ac:dyDescent="0.25">
      <c r="C4779" s="1"/>
    </row>
    <row r="4780" spans="3:3" x14ac:dyDescent="0.25">
      <c r="C4780" s="1"/>
    </row>
    <row r="4781" spans="3:3" x14ac:dyDescent="0.25">
      <c r="C4781" s="1"/>
    </row>
    <row r="4782" spans="3:3" x14ac:dyDescent="0.25">
      <c r="C4782" s="1"/>
    </row>
    <row r="4783" spans="3:3" x14ac:dyDescent="0.25">
      <c r="C4783" s="1"/>
    </row>
    <row r="4784" spans="3:3" x14ac:dyDescent="0.25">
      <c r="C4784" s="1"/>
    </row>
    <row r="4785" spans="3:3" x14ac:dyDescent="0.25">
      <c r="C4785" s="1"/>
    </row>
    <row r="4786" spans="3:3" x14ac:dyDescent="0.25">
      <c r="C4786" s="1"/>
    </row>
    <row r="4787" spans="3:3" x14ac:dyDescent="0.25">
      <c r="C4787" s="1"/>
    </row>
    <row r="4788" spans="3:3" x14ac:dyDescent="0.25">
      <c r="C4788" s="1"/>
    </row>
    <row r="4789" spans="3:3" x14ac:dyDescent="0.25">
      <c r="C4789" s="1"/>
    </row>
    <row r="4790" spans="3:3" x14ac:dyDescent="0.25">
      <c r="C4790" s="1"/>
    </row>
    <row r="4791" spans="3:3" x14ac:dyDescent="0.25">
      <c r="C4791" s="1"/>
    </row>
    <row r="4792" spans="3:3" x14ac:dyDescent="0.25">
      <c r="C4792" s="1"/>
    </row>
    <row r="4793" spans="3:3" x14ac:dyDescent="0.25">
      <c r="C4793" s="1"/>
    </row>
    <row r="4794" spans="3:3" x14ac:dyDescent="0.25">
      <c r="C4794" s="1"/>
    </row>
    <row r="4795" spans="3:3" x14ac:dyDescent="0.25">
      <c r="C4795" s="1"/>
    </row>
    <row r="4796" spans="3:3" x14ac:dyDescent="0.25">
      <c r="C4796" s="1"/>
    </row>
    <row r="4797" spans="3:3" x14ac:dyDescent="0.25">
      <c r="C4797" s="1"/>
    </row>
    <row r="4798" spans="3:3" x14ac:dyDescent="0.25">
      <c r="C4798" s="1"/>
    </row>
    <row r="4799" spans="3:3" x14ac:dyDescent="0.25">
      <c r="C4799" s="1"/>
    </row>
    <row r="4800" spans="3:3" x14ac:dyDescent="0.25">
      <c r="C4800" s="1"/>
    </row>
    <row r="4801" spans="3:3" x14ac:dyDescent="0.25">
      <c r="C4801" s="1"/>
    </row>
    <row r="4802" spans="3:3" x14ac:dyDescent="0.25">
      <c r="C4802" s="1"/>
    </row>
    <row r="4803" spans="3:3" x14ac:dyDescent="0.25">
      <c r="C4803" s="1"/>
    </row>
    <row r="4804" spans="3:3" x14ac:dyDescent="0.25">
      <c r="C4804" s="1"/>
    </row>
    <row r="4805" spans="3:3" x14ac:dyDescent="0.25">
      <c r="C4805" s="1"/>
    </row>
    <row r="4806" spans="3:3" x14ac:dyDescent="0.25">
      <c r="C4806" s="1"/>
    </row>
    <row r="4807" spans="3:3" x14ac:dyDescent="0.25">
      <c r="C4807" s="1"/>
    </row>
    <row r="4808" spans="3:3" x14ac:dyDescent="0.25">
      <c r="C4808" s="1"/>
    </row>
    <row r="4809" spans="3:3" x14ac:dyDescent="0.25">
      <c r="C4809" s="1"/>
    </row>
    <row r="4810" spans="3:3" x14ac:dyDescent="0.25">
      <c r="C4810" s="1"/>
    </row>
    <row r="4811" spans="3:3" x14ac:dyDescent="0.25">
      <c r="C4811" s="1"/>
    </row>
    <row r="4812" spans="3:3" x14ac:dyDescent="0.25">
      <c r="C4812" s="1"/>
    </row>
    <row r="4813" spans="3:3" x14ac:dyDescent="0.25">
      <c r="C4813" s="1"/>
    </row>
    <row r="4814" spans="3:3" x14ac:dyDescent="0.25">
      <c r="C4814" s="1"/>
    </row>
    <row r="4815" spans="3:3" x14ac:dyDescent="0.25">
      <c r="C4815" s="1"/>
    </row>
    <row r="4816" spans="3:3" x14ac:dyDescent="0.25">
      <c r="C4816" s="1"/>
    </row>
    <row r="4817" spans="3:3" x14ac:dyDescent="0.25">
      <c r="C4817" s="1"/>
    </row>
    <row r="4818" spans="3:3" x14ac:dyDescent="0.25">
      <c r="C4818" s="1"/>
    </row>
    <row r="4819" spans="3:3" x14ac:dyDescent="0.25">
      <c r="C4819" s="1"/>
    </row>
    <row r="4820" spans="3:3" x14ac:dyDescent="0.25">
      <c r="C4820" s="1"/>
    </row>
    <row r="4821" spans="3:3" x14ac:dyDescent="0.25">
      <c r="C4821" s="1"/>
    </row>
    <row r="4822" spans="3:3" x14ac:dyDescent="0.25">
      <c r="C4822" s="1"/>
    </row>
    <row r="4823" spans="3:3" x14ac:dyDescent="0.25">
      <c r="C4823" s="1"/>
    </row>
    <row r="4824" spans="3:3" x14ac:dyDescent="0.25">
      <c r="C4824" s="1"/>
    </row>
    <row r="4825" spans="3:3" x14ac:dyDescent="0.25">
      <c r="C4825" s="1"/>
    </row>
    <row r="4826" spans="3:3" x14ac:dyDescent="0.25">
      <c r="C4826" s="1"/>
    </row>
    <row r="4827" spans="3:3" x14ac:dyDescent="0.25">
      <c r="C4827" s="1"/>
    </row>
    <row r="4828" spans="3:3" x14ac:dyDescent="0.25">
      <c r="C4828" s="1"/>
    </row>
    <row r="4829" spans="3:3" x14ac:dyDescent="0.25">
      <c r="C4829" s="1"/>
    </row>
    <row r="4830" spans="3:3" x14ac:dyDescent="0.25">
      <c r="C4830" s="1"/>
    </row>
    <row r="4831" spans="3:3" x14ac:dyDescent="0.25">
      <c r="C4831" s="1"/>
    </row>
    <row r="4832" spans="3:3" x14ac:dyDescent="0.25">
      <c r="C4832" s="1"/>
    </row>
    <row r="4833" spans="3:3" x14ac:dyDescent="0.25">
      <c r="C4833" s="1"/>
    </row>
    <row r="4834" spans="3:3" x14ac:dyDescent="0.25">
      <c r="C4834" s="1"/>
    </row>
    <row r="4835" spans="3:3" x14ac:dyDescent="0.25">
      <c r="C4835" s="1"/>
    </row>
    <row r="4836" spans="3:3" x14ac:dyDescent="0.25">
      <c r="C4836" s="1"/>
    </row>
    <row r="4837" spans="3:3" x14ac:dyDescent="0.25">
      <c r="C4837" s="1"/>
    </row>
    <row r="4838" spans="3:3" x14ac:dyDescent="0.25">
      <c r="C4838" s="1"/>
    </row>
    <row r="4839" spans="3:3" x14ac:dyDescent="0.25">
      <c r="C4839" s="1"/>
    </row>
    <row r="4840" spans="3:3" x14ac:dyDescent="0.25">
      <c r="C4840" s="1"/>
    </row>
    <row r="4841" spans="3:3" x14ac:dyDescent="0.25">
      <c r="C4841" s="1"/>
    </row>
    <row r="4842" spans="3:3" x14ac:dyDescent="0.25">
      <c r="C4842" s="1"/>
    </row>
    <row r="4843" spans="3:3" x14ac:dyDescent="0.25">
      <c r="C4843" s="1"/>
    </row>
    <row r="4844" spans="3:3" x14ac:dyDescent="0.25">
      <c r="C4844" s="1"/>
    </row>
    <row r="4845" spans="3:3" x14ac:dyDescent="0.25">
      <c r="C4845" s="1"/>
    </row>
    <row r="4846" spans="3:3" x14ac:dyDescent="0.25">
      <c r="C4846" s="1"/>
    </row>
    <row r="4847" spans="3:3" x14ac:dyDescent="0.25">
      <c r="C4847" s="1"/>
    </row>
    <row r="4848" spans="3:3" x14ac:dyDescent="0.25">
      <c r="C4848" s="1"/>
    </row>
    <row r="4849" spans="3:3" x14ac:dyDescent="0.25">
      <c r="C4849" s="1"/>
    </row>
    <row r="4850" spans="3:3" x14ac:dyDescent="0.25">
      <c r="C4850" s="1"/>
    </row>
    <row r="4851" spans="3:3" x14ac:dyDescent="0.25">
      <c r="C4851" s="1"/>
    </row>
    <row r="4852" spans="3:3" x14ac:dyDescent="0.25">
      <c r="C4852" s="1"/>
    </row>
    <row r="4853" spans="3:3" x14ac:dyDescent="0.25">
      <c r="C4853" s="1"/>
    </row>
    <row r="4854" spans="3:3" x14ac:dyDescent="0.25">
      <c r="C4854" s="1"/>
    </row>
    <row r="4855" spans="3:3" x14ac:dyDescent="0.25">
      <c r="C4855" s="1"/>
    </row>
    <row r="4856" spans="3:3" x14ac:dyDescent="0.25">
      <c r="C4856" s="1"/>
    </row>
    <row r="4857" spans="3:3" x14ac:dyDescent="0.25">
      <c r="C4857" s="1"/>
    </row>
    <row r="4858" spans="3:3" x14ac:dyDescent="0.25">
      <c r="C4858" s="1"/>
    </row>
    <row r="4859" spans="3:3" x14ac:dyDescent="0.25">
      <c r="C4859" s="1"/>
    </row>
    <row r="4860" spans="3:3" x14ac:dyDescent="0.25">
      <c r="C4860" s="1"/>
    </row>
    <row r="4861" spans="3:3" x14ac:dyDescent="0.25">
      <c r="C4861" s="1"/>
    </row>
    <row r="4862" spans="3:3" x14ac:dyDescent="0.25">
      <c r="C4862" s="1"/>
    </row>
    <row r="4863" spans="3:3" x14ac:dyDescent="0.25">
      <c r="C4863" s="1"/>
    </row>
    <row r="4864" spans="3:3" x14ac:dyDescent="0.25">
      <c r="C4864" s="1"/>
    </row>
    <row r="4865" spans="3:3" x14ac:dyDescent="0.25">
      <c r="C4865" s="1"/>
    </row>
    <row r="4866" spans="3:3" x14ac:dyDescent="0.25">
      <c r="C4866" s="1"/>
    </row>
    <row r="4867" spans="3:3" x14ac:dyDescent="0.25">
      <c r="C4867" s="1"/>
    </row>
    <row r="4868" spans="3:3" x14ac:dyDescent="0.25">
      <c r="C4868" s="1"/>
    </row>
    <row r="4869" spans="3:3" x14ac:dyDescent="0.25">
      <c r="C4869" s="1"/>
    </row>
    <row r="4870" spans="3:3" x14ac:dyDescent="0.25">
      <c r="C4870" s="1"/>
    </row>
    <row r="4871" spans="3:3" x14ac:dyDescent="0.25">
      <c r="C4871" s="1"/>
    </row>
    <row r="4872" spans="3:3" x14ac:dyDescent="0.25">
      <c r="C4872" s="1"/>
    </row>
    <row r="4873" spans="3:3" x14ac:dyDescent="0.25">
      <c r="C4873" s="1"/>
    </row>
    <row r="4874" spans="3:3" x14ac:dyDescent="0.25">
      <c r="C4874" s="1"/>
    </row>
    <row r="4875" spans="3:3" x14ac:dyDescent="0.25">
      <c r="C4875" s="1"/>
    </row>
    <row r="4876" spans="3:3" x14ac:dyDescent="0.25">
      <c r="C4876" s="1"/>
    </row>
    <row r="4877" spans="3:3" x14ac:dyDescent="0.25">
      <c r="C4877" s="1"/>
    </row>
    <row r="4878" spans="3:3" x14ac:dyDescent="0.25">
      <c r="C4878" s="1"/>
    </row>
    <row r="4879" spans="3:3" x14ac:dyDescent="0.25">
      <c r="C4879" s="1"/>
    </row>
    <row r="4880" spans="3:3" x14ac:dyDescent="0.25">
      <c r="C4880" s="1"/>
    </row>
    <row r="4881" spans="3:3" x14ac:dyDescent="0.25">
      <c r="C4881" s="1"/>
    </row>
    <row r="4882" spans="3:3" x14ac:dyDescent="0.25">
      <c r="C4882" s="1"/>
    </row>
    <row r="4883" spans="3:3" x14ac:dyDescent="0.25">
      <c r="C4883" s="1"/>
    </row>
    <row r="4884" spans="3:3" x14ac:dyDescent="0.25">
      <c r="C4884" s="1"/>
    </row>
    <row r="4885" spans="3:3" x14ac:dyDescent="0.25">
      <c r="C4885" s="1"/>
    </row>
    <row r="4886" spans="3:3" x14ac:dyDescent="0.25">
      <c r="C4886" s="1"/>
    </row>
    <row r="4887" spans="3:3" x14ac:dyDescent="0.25">
      <c r="C4887" s="1"/>
    </row>
    <row r="4888" spans="3:3" x14ac:dyDescent="0.25">
      <c r="C4888" s="1"/>
    </row>
    <row r="4889" spans="3:3" x14ac:dyDescent="0.25">
      <c r="C4889" s="1"/>
    </row>
    <row r="4890" spans="3:3" x14ac:dyDescent="0.25">
      <c r="C4890" s="1"/>
    </row>
    <row r="4891" spans="3:3" x14ac:dyDescent="0.25">
      <c r="C4891" s="1"/>
    </row>
    <row r="4892" spans="3:3" x14ac:dyDescent="0.25">
      <c r="C4892" s="1"/>
    </row>
    <row r="4893" spans="3:3" x14ac:dyDescent="0.25">
      <c r="C4893" s="1"/>
    </row>
    <row r="4894" spans="3:3" x14ac:dyDescent="0.25">
      <c r="C4894" s="1"/>
    </row>
    <row r="4895" spans="3:3" x14ac:dyDescent="0.25">
      <c r="C4895" s="1"/>
    </row>
    <row r="4896" spans="3:3" x14ac:dyDescent="0.25">
      <c r="C4896" s="1"/>
    </row>
    <row r="4897" spans="3:3" x14ac:dyDescent="0.25">
      <c r="C4897" s="1"/>
    </row>
    <row r="4898" spans="3:3" x14ac:dyDescent="0.25">
      <c r="C4898" s="1"/>
    </row>
    <row r="4899" spans="3:3" x14ac:dyDescent="0.25">
      <c r="C4899" s="1"/>
    </row>
    <row r="4900" spans="3:3" x14ac:dyDescent="0.25">
      <c r="C4900" s="1"/>
    </row>
    <row r="4901" spans="3:3" x14ac:dyDescent="0.25">
      <c r="C4901" s="1"/>
    </row>
    <row r="4902" spans="3:3" x14ac:dyDescent="0.25">
      <c r="C4902" s="1"/>
    </row>
    <row r="4903" spans="3:3" x14ac:dyDescent="0.25">
      <c r="C4903" s="1"/>
    </row>
    <row r="4904" spans="3:3" x14ac:dyDescent="0.25">
      <c r="C4904" s="1"/>
    </row>
    <row r="4905" spans="3:3" x14ac:dyDescent="0.25">
      <c r="C4905" s="1"/>
    </row>
    <row r="4906" spans="3:3" x14ac:dyDescent="0.25">
      <c r="C4906" s="1"/>
    </row>
    <row r="4907" spans="3:3" x14ac:dyDescent="0.25">
      <c r="C4907" s="1"/>
    </row>
    <row r="4908" spans="3:3" x14ac:dyDescent="0.25">
      <c r="C4908" s="1"/>
    </row>
    <row r="4909" spans="3:3" x14ac:dyDescent="0.25">
      <c r="C4909" s="1"/>
    </row>
    <row r="4910" spans="3:3" x14ac:dyDescent="0.25">
      <c r="C4910" s="1"/>
    </row>
    <row r="4911" spans="3:3" x14ac:dyDescent="0.25">
      <c r="C4911" s="1"/>
    </row>
    <row r="4912" spans="3:3" x14ac:dyDescent="0.25">
      <c r="C4912" s="1"/>
    </row>
    <row r="4913" spans="3:3" x14ac:dyDescent="0.25">
      <c r="C4913" s="1"/>
    </row>
    <row r="4914" spans="3:3" x14ac:dyDescent="0.25">
      <c r="C4914" s="1"/>
    </row>
    <row r="4915" spans="3:3" x14ac:dyDescent="0.25">
      <c r="C4915" s="1"/>
    </row>
    <row r="4916" spans="3:3" x14ac:dyDescent="0.25">
      <c r="C4916" s="1"/>
    </row>
    <row r="4917" spans="3:3" x14ac:dyDescent="0.25">
      <c r="C4917" s="1"/>
    </row>
    <row r="4918" spans="3:3" x14ac:dyDescent="0.25">
      <c r="C4918" s="1"/>
    </row>
    <row r="4919" spans="3:3" x14ac:dyDescent="0.25">
      <c r="C4919" s="1"/>
    </row>
    <row r="4920" spans="3:3" x14ac:dyDescent="0.25">
      <c r="C4920" s="1"/>
    </row>
    <row r="4921" spans="3:3" x14ac:dyDescent="0.25">
      <c r="C4921" s="1"/>
    </row>
    <row r="4922" spans="3:3" x14ac:dyDescent="0.25">
      <c r="C4922" s="1"/>
    </row>
    <row r="4923" spans="3:3" x14ac:dyDescent="0.25">
      <c r="C4923" s="1"/>
    </row>
    <row r="4924" spans="3:3" x14ac:dyDescent="0.25">
      <c r="C4924" s="1"/>
    </row>
    <row r="4925" spans="3:3" x14ac:dyDescent="0.25">
      <c r="C4925" s="1"/>
    </row>
    <row r="4926" spans="3:3" x14ac:dyDescent="0.25">
      <c r="C4926" s="1"/>
    </row>
    <row r="4927" spans="3:3" x14ac:dyDescent="0.25">
      <c r="C4927" s="1"/>
    </row>
    <row r="4928" spans="3:3" x14ac:dyDescent="0.25">
      <c r="C4928" s="1"/>
    </row>
    <row r="4929" spans="3:3" x14ac:dyDescent="0.25">
      <c r="C4929" s="1"/>
    </row>
    <row r="4930" spans="3:3" x14ac:dyDescent="0.25">
      <c r="C4930" s="1"/>
    </row>
    <row r="4931" spans="3:3" x14ac:dyDescent="0.25">
      <c r="C4931" s="1"/>
    </row>
    <row r="4932" spans="3:3" x14ac:dyDescent="0.25">
      <c r="C4932" s="1"/>
    </row>
    <row r="4933" spans="3:3" x14ac:dyDescent="0.25">
      <c r="C4933" s="1"/>
    </row>
    <row r="4934" spans="3:3" x14ac:dyDescent="0.25">
      <c r="C4934" s="1"/>
    </row>
    <row r="4935" spans="3:3" x14ac:dyDescent="0.25">
      <c r="C4935" s="1"/>
    </row>
    <row r="4936" spans="3:3" x14ac:dyDescent="0.25">
      <c r="C4936" s="1"/>
    </row>
    <row r="4937" spans="3:3" x14ac:dyDescent="0.25">
      <c r="C4937" s="1"/>
    </row>
    <row r="4938" spans="3:3" x14ac:dyDescent="0.25">
      <c r="C4938" s="1"/>
    </row>
    <row r="4939" spans="3:3" x14ac:dyDescent="0.25">
      <c r="C4939" s="1"/>
    </row>
    <row r="4940" spans="3:3" x14ac:dyDescent="0.25">
      <c r="C4940" s="1"/>
    </row>
    <row r="4941" spans="3:3" x14ac:dyDescent="0.25">
      <c r="C4941" s="1"/>
    </row>
    <row r="4942" spans="3:3" x14ac:dyDescent="0.25">
      <c r="C4942" s="1"/>
    </row>
    <row r="4943" spans="3:3" x14ac:dyDescent="0.25">
      <c r="C4943" s="1"/>
    </row>
    <row r="4944" spans="3:3" x14ac:dyDescent="0.25">
      <c r="C4944" s="1"/>
    </row>
    <row r="4945" spans="3:3" x14ac:dyDescent="0.25">
      <c r="C4945" s="1"/>
    </row>
    <row r="4946" spans="3:3" x14ac:dyDescent="0.25">
      <c r="C4946" s="1"/>
    </row>
    <row r="4947" spans="3:3" x14ac:dyDescent="0.25">
      <c r="C4947" s="1"/>
    </row>
    <row r="4948" spans="3:3" x14ac:dyDescent="0.25">
      <c r="C4948" s="1"/>
    </row>
    <row r="4949" spans="3:3" x14ac:dyDescent="0.25">
      <c r="C4949" s="1"/>
    </row>
    <row r="4950" spans="3:3" x14ac:dyDescent="0.25">
      <c r="C4950" s="1"/>
    </row>
    <row r="4951" spans="3:3" x14ac:dyDescent="0.25">
      <c r="C4951" s="1"/>
    </row>
    <row r="4952" spans="3:3" x14ac:dyDescent="0.25">
      <c r="C4952" s="1"/>
    </row>
    <row r="4953" spans="3:3" x14ac:dyDescent="0.25">
      <c r="C4953" s="1"/>
    </row>
    <row r="4954" spans="3:3" x14ac:dyDescent="0.25">
      <c r="C4954" s="1"/>
    </row>
    <row r="4955" spans="3:3" x14ac:dyDescent="0.25">
      <c r="C4955" s="1"/>
    </row>
    <row r="4956" spans="3:3" x14ac:dyDescent="0.25">
      <c r="C4956" s="1"/>
    </row>
    <row r="4957" spans="3:3" x14ac:dyDescent="0.25">
      <c r="C4957" s="1"/>
    </row>
    <row r="4958" spans="3:3" x14ac:dyDescent="0.25">
      <c r="C4958" s="1"/>
    </row>
    <row r="4959" spans="3:3" x14ac:dyDescent="0.25">
      <c r="C4959" s="1"/>
    </row>
    <row r="4960" spans="3:3" x14ac:dyDescent="0.25">
      <c r="C4960" s="1"/>
    </row>
    <row r="4961" spans="3:3" x14ac:dyDescent="0.25">
      <c r="C4961" s="1"/>
    </row>
    <row r="4962" spans="3:3" x14ac:dyDescent="0.25">
      <c r="C4962" s="1"/>
    </row>
    <row r="4963" spans="3:3" x14ac:dyDescent="0.25">
      <c r="C4963" s="1"/>
    </row>
    <row r="4964" spans="3:3" x14ac:dyDescent="0.25">
      <c r="C4964" s="1"/>
    </row>
    <row r="4965" spans="3:3" x14ac:dyDescent="0.25">
      <c r="C4965" s="1"/>
    </row>
    <row r="4966" spans="3:3" x14ac:dyDescent="0.25">
      <c r="C4966" s="1"/>
    </row>
    <row r="4967" spans="3:3" x14ac:dyDescent="0.25">
      <c r="C4967" s="1"/>
    </row>
    <row r="4968" spans="3:3" x14ac:dyDescent="0.25">
      <c r="C4968" s="1"/>
    </row>
    <row r="4969" spans="3:3" x14ac:dyDescent="0.25">
      <c r="C4969" s="1"/>
    </row>
    <row r="4970" spans="3:3" x14ac:dyDescent="0.25">
      <c r="C4970" s="1"/>
    </row>
    <row r="4971" spans="3:3" x14ac:dyDescent="0.25">
      <c r="C4971" s="1"/>
    </row>
    <row r="4972" spans="3:3" x14ac:dyDescent="0.25">
      <c r="C4972" s="1"/>
    </row>
    <row r="4973" spans="3:3" x14ac:dyDescent="0.25">
      <c r="C4973" s="1"/>
    </row>
    <row r="4974" spans="3:3" x14ac:dyDescent="0.25">
      <c r="C4974" s="1"/>
    </row>
    <row r="4975" spans="3:3" x14ac:dyDescent="0.25">
      <c r="C4975" s="1"/>
    </row>
    <row r="4976" spans="3:3" x14ac:dyDescent="0.25">
      <c r="C4976" s="1"/>
    </row>
    <row r="4977" spans="3:3" x14ac:dyDescent="0.25">
      <c r="C4977" s="1"/>
    </row>
    <row r="4978" spans="3:3" x14ac:dyDescent="0.25">
      <c r="C4978" s="1"/>
    </row>
    <row r="4979" spans="3:3" x14ac:dyDescent="0.25">
      <c r="C4979" s="1"/>
    </row>
    <row r="4980" spans="3:3" x14ac:dyDescent="0.25">
      <c r="C4980" s="1"/>
    </row>
    <row r="4981" spans="3:3" x14ac:dyDescent="0.25">
      <c r="C4981" s="1"/>
    </row>
    <row r="4982" spans="3:3" x14ac:dyDescent="0.25">
      <c r="C4982" s="1"/>
    </row>
    <row r="4983" spans="3:3" x14ac:dyDescent="0.25">
      <c r="C4983" s="1"/>
    </row>
    <row r="4984" spans="3:3" x14ac:dyDescent="0.25">
      <c r="C4984" s="1"/>
    </row>
    <row r="4985" spans="3:3" x14ac:dyDescent="0.25">
      <c r="C4985" s="1"/>
    </row>
    <row r="4986" spans="3:3" x14ac:dyDescent="0.25">
      <c r="C4986" s="1"/>
    </row>
    <row r="4987" spans="3:3" x14ac:dyDescent="0.25">
      <c r="C4987" s="1"/>
    </row>
    <row r="4988" spans="3:3" x14ac:dyDescent="0.25">
      <c r="C4988" s="1"/>
    </row>
    <row r="4989" spans="3:3" x14ac:dyDescent="0.25">
      <c r="C4989" s="1"/>
    </row>
    <row r="4990" spans="3:3" x14ac:dyDescent="0.25">
      <c r="C4990" s="1"/>
    </row>
    <row r="4991" spans="3:3" x14ac:dyDescent="0.25">
      <c r="C4991" s="1"/>
    </row>
    <row r="4992" spans="3:3" x14ac:dyDescent="0.25">
      <c r="C4992" s="1"/>
    </row>
    <row r="4993" spans="3:3" x14ac:dyDescent="0.25">
      <c r="C4993" s="1"/>
    </row>
    <row r="4994" spans="3:3" x14ac:dyDescent="0.25">
      <c r="C4994" s="1"/>
    </row>
    <row r="4995" spans="3:3" x14ac:dyDescent="0.25">
      <c r="C4995" s="1"/>
    </row>
    <row r="4996" spans="3:3" x14ac:dyDescent="0.25">
      <c r="C4996" s="1"/>
    </row>
    <row r="4997" spans="3:3" x14ac:dyDescent="0.25">
      <c r="C4997" s="1"/>
    </row>
    <row r="4998" spans="3:3" x14ac:dyDescent="0.25">
      <c r="C4998" s="1"/>
    </row>
    <row r="4999" spans="3:3" x14ac:dyDescent="0.25">
      <c r="C4999" s="1"/>
    </row>
    <row r="5000" spans="3:3" x14ac:dyDescent="0.25">
      <c r="C5000" s="1"/>
    </row>
    <row r="5001" spans="3:3" x14ac:dyDescent="0.25">
      <c r="C5001" s="1"/>
    </row>
    <row r="5002" spans="3:3" x14ac:dyDescent="0.25">
      <c r="C5002" s="1"/>
    </row>
    <row r="5003" spans="3:3" x14ac:dyDescent="0.25">
      <c r="C5003" s="1"/>
    </row>
    <row r="5004" spans="3:3" x14ac:dyDescent="0.25">
      <c r="C5004" s="1"/>
    </row>
    <row r="5005" spans="3:3" x14ac:dyDescent="0.25">
      <c r="C5005" s="1"/>
    </row>
    <row r="5006" spans="3:3" x14ac:dyDescent="0.25">
      <c r="C5006" s="1"/>
    </row>
    <row r="5007" spans="3:3" x14ac:dyDescent="0.25">
      <c r="C5007" s="1"/>
    </row>
    <row r="5008" spans="3:3" x14ac:dyDescent="0.25">
      <c r="C5008" s="1"/>
    </row>
    <row r="5009" spans="3:3" x14ac:dyDescent="0.25">
      <c r="C5009" s="1"/>
    </row>
    <row r="5010" spans="3:3" x14ac:dyDescent="0.25">
      <c r="C5010" s="1"/>
    </row>
    <row r="5011" spans="3:3" x14ac:dyDescent="0.25">
      <c r="C5011" s="1"/>
    </row>
    <row r="5012" spans="3:3" x14ac:dyDescent="0.25">
      <c r="C5012" s="1"/>
    </row>
    <row r="5013" spans="3:3" x14ac:dyDescent="0.25">
      <c r="C5013" s="1"/>
    </row>
    <row r="5014" spans="3:3" x14ac:dyDescent="0.25">
      <c r="C5014" s="1"/>
    </row>
    <row r="5015" spans="3:3" x14ac:dyDescent="0.25">
      <c r="C5015" s="1"/>
    </row>
    <row r="5016" spans="3:3" x14ac:dyDescent="0.25">
      <c r="C5016" s="1"/>
    </row>
    <row r="5017" spans="3:3" x14ac:dyDescent="0.25">
      <c r="C5017" s="1"/>
    </row>
    <row r="5018" spans="3:3" x14ac:dyDescent="0.25">
      <c r="C5018" s="1"/>
    </row>
    <row r="5019" spans="3:3" x14ac:dyDescent="0.25">
      <c r="C5019" s="1"/>
    </row>
    <row r="5020" spans="3:3" x14ac:dyDescent="0.25">
      <c r="C5020" s="1"/>
    </row>
    <row r="5021" spans="3:3" x14ac:dyDescent="0.25">
      <c r="C5021" s="1"/>
    </row>
    <row r="5022" spans="3:3" x14ac:dyDescent="0.25">
      <c r="C5022" s="1"/>
    </row>
    <row r="5023" spans="3:3" x14ac:dyDescent="0.25">
      <c r="C5023" s="1"/>
    </row>
    <row r="5024" spans="3:3" x14ac:dyDescent="0.25">
      <c r="C5024" s="1"/>
    </row>
    <row r="5025" spans="3:3" x14ac:dyDescent="0.25">
      <c r="C5025" s="1"/>
    </row>
    <row r="5026" spans="3:3" x14ac:dyDescent="0.25">
      <c r="C5026" s="1"/>
    </row>
    <row r="5027" spans="3:3" x14ac:dyDescent="0.25">
      <c r="C5027" s="1"/>
    </row>
    <row r="5028" spans="3:3" x14ac:dyDescent="0.25">
      <c r="C5028" s="1"/>
    </row>
    <row r="5029" spans="3:3" x14ac:dyDescent="0.25">
      <c r="C5029" s="1"/>
    </row>
    <row r="5030" spans="3:3" x14ac:dyDescent="0.25">
      <c r="C5030" s="1"/>
    </row>
    <row r="5031" spans="3:3" x14ac:dyDescent="0.25">
      <c r="C5031" s="1"/>
    </row>
    <row r="5032" spans="3:3" x14ac:dyDescent="0.25">
      <c r="C5032" s="1"/>
    </row>
    <row r="5033" spans="3:3" x14ac:dyDescent="0.25">
      <c r="C5033" s="1"/>
    </row>
    <row r="5034" spans="3:3" x14ac:dyDescent="0.25">
      <c r="C5034" s="1"/>
    </row>
    <row r="5035" spans="3:3" x14ac:dyDescent="0.25">
      <c r="C5035" s="1"/>
    </row>
    <row r="5036" spans="3:3" x14ac:dyDescent="0.25">
      <c r="C5036" s="1"/>
    </row>
    <row r="5037" spans="3:3" x14ac:dyDescent="0.25">
      <c r="C5037" s="1"/>
    </row>
    <row r="5038" spans="3:3" x14ac:dyDescent="0.25">
      <c r="C5038" s="1"/>
    </row>
    <row r="5039" spans="3:3" x14ac:dyDescent="0.25">
      <c r="C5039" s="1"/>
    </row>
    <row r="5040" spans="3:3" x14ac:dyDescent="0.25">
      <c r="C5040" s="1"/>
    </row>
    <row r="5041" spans="3:3" x14ac:dyDescent="0.25">
      <c r="C5041" s="1"/>
    </row>
    <row r="5042" spans="3:3" x14ac:dyDescent="0.25">
      <c r="C5042" s="1"/>
    </row>
    <row r="5043" spans="3:3" x14ac:dyDescent="0.25">
      <c r="C5043" s="1"/>
    </row>
    <row r="5044" spans="3:3" x14ac:dyDescent="0.25">
      <c r="C5044" s="1"/>
    </row>
    <row r="5045" spans="3:3" x14ac:dyDescent="0.25">
      <c r="C5045" s="1"/>
    </row>
    <row r="5046" spans="3:3" x14ac:dyDescent="0.25">
      <c r="C5046" s="1"/>
    </row>
    <row r="5047" spans="3:3" x14ac:dyDescent="0.25">
      <c r="C5047" s="1"/>
    </row>
    <row r="5048" spans="3:3" x14ac:dyDescent="0.25">
      <c r="C5048" s="1"/>
    </row>
    <row r="5049" spans="3:3" x14ac:dyDescent="0.25">
      <c r="C5049" s="1"/>
    </row>
    <row r="5050" spans="3:3" x14ac:dyDescent="0.25">
      <c r="C5050" s="1"/>
    </row>
    <row r="5051" spans="3:3" x14ac:dyDescent="0.25">
      <c r="C5051" s="1"/>
    </row>
    <row r="5052" spans="3:3" x14ac:dyDescent="0.25">
      <c r="C5052" s="1"/>
    </row>
    <row r="5053" spans="3:3" x14ac:dyDescent="0.25">
      <c r="C5053" s="1"/>
    </row>
    <row r="5054" spans="3:3" x14ac:dyDescent="0.25">
      <c r="C5054" s="1"/>
    </row>
    <row r="5055" spans="3:3" x14ac:dyDescent="0.25">
      <c r="C5055" s="1"/>
    </row>
    <row r="5056" spans="3:3" x14ac:dyDescent="0.25">
      <c r="C5056" s="1"/>
    </row>
    <row r="5057" spans="3:3" x14ac:dyDescent="0.25">
      <c r="C5057" s="1"/>
    </row>
    <row r="5058" spans="3:3" x14ac:dyDescent="0.25">
      <c r="C5058" s="1"/>
    </row>
    <row r="5059" spans="3:3" x14ac:dyDescent="0.25">
      <c r="C5059" s="1"/>
    </row>
    <row r="5060" spans="3:3" x14ac:dyDescent="0.25">
      <c r="C5060" s="1"/>
    </row>
    <row r="5061" spans="3:3" x14ac:dyDescent="0.25">
      <c r="C5061" s="1"/>
    </row>
    <row r="5062" spans="3:3" x14ac:dyDescent="0.25">
      <c r="C5062" s="1"/>
    </row>
    <row r="5063" spans="3:3" x14ac:dyDescent="0.25">
      <c r="C5063" s="1"/>
    </row>
    <row r="5064" spans="3:3" x14ac:dyDescent="0.25">
      <c r="C5064" s="1"/>
    </row>
    <row r="5065" spans="3:3" x14ac:dyDescent="0.25">
      <c r="C5065" s="1"/>
    </row>
    <row r="5066" spans="3:3" x14ac:dyDescent="0.25">
      <c r="C5066" s="1"/>
    </row>
    <row r="5067" spans="3:3" x14ac:dyDescent="0.25">
      <c r="C5067" s="1"/>
    </row>
    <row r="5068" spans="3:3" x14ac:dyDescent="0.25">
      <c r="C5068" s="1"/>
    </row>
    <row r="5069" spans="3:3" x14ac:dyDescent="0.25">
      <c r="C5069" s="1"/>
    </row>
    <row r="5070" spans="3:3" x14ac:dyDescent="0.25">
      <c r="C5070" s="1"/>
    </row>
    <row r="5071" spans="3:3" x14ac:dyDescent="0.25">
      <c r="C5071" s="1"/>
    </row>
    <row r="5072" spans="3:3" x14ac:dyDescent="0.25">
      <c r="C5072" s="1"/>
    </row>
    <row r="5073" spans="3:3" x14ac:dyDescent="0.25">
      <c r="C5073" s="1"/>
    </row>
    <row r="5074" spans="3:3" x14ac:dyDescent="0.25">
      <c r="C5074" s="1"/>
    </row>
    <row r="5075" spans="3:3" x14ac:dyDescent="0.25">
      <c r="C5075" s="1"/>
    </row>
    <row r="5076" spans="3:3" x14ac:dyDescent="0.25">
      <c r="C5076" s="1"/>
    </row>
    <row r="5077" spans="3:3" x14ac:dyDescent="0.25">
      <c r="C5077" s="1"/>
    </row>
    <row r="5078" spans="3:3" x14ac:dyDescent="0.25">
      <c r="C5078" s="1"/>
    </row>
    <row r="5079" spans="3:3" x14ac:dyDescent="0.25">
      <c r="C5079" s="1"/>
    </row>
    <row r="5080" spans="3:3" x14ac:dyDescent="0.25">
      <c r="C5080" s="1"/>
    </row>
    <row r="5081" spans="3:3" x14ac:dyDescent="0.25">
      <c r="C5081" s="1"/>
    </row>
    <row r="5082" spans="3:3" x14ac:dyDescent="0.25">
      <c r="C5082" s="1"/>
    </row>
    <row r="5083" spans="3:3" x14ac:dyDescent="0.25">
      <c r="C5083" s="1"/>
    </row>
    <row r="5084" spans="3:3" x14ac:dyDescent="0.25">
      <c r="C5084" s="1"/>
    </row>
    <row r="5085" spans="3:3" x14ac:dyDescent="0.25">
      <c r="C5085" s="1"/>
    </row>
    <row r="5086" spans="3:3" x14ac:dyDescent="0.25">
      <c r="C5086" s="1"/>
    </row>
    <row r="5087" spans="3:3" x14ac:dyDescent="0.25">
      <c r="C5087" s="1"/>
    </row>
    <row r="5088" spans="3:3" x14ac:dyDescent="0.25">
      <c r="C5088" s="1"/>
    </row>
    <row r="5089" spans="3:3" x14ac:dyDescent="0.25">
      <c r="C5089" s="1"/>
    </row>
    <row r="5090" spans="3:3" x14ac:dyDescent="0.25">
      <c r="C5090" s="1"/>
    </row>
    <row r="5091" spans="3:3" x14ac:dyDescent="0.25">
      <c r="C5091" s="1"/>
    </row>
    <row r="5092" spans="3:3" x14ac:dyDescent="0.25">
      <c r="C5092" s="1"/>
    </row>
    <row r="5093" spans="3:3" x14ac:dyDescent="0.25">
      <c r="C5093" s="1"/>
    </row>
    <row r="5094" spans="3:3" x14ac:dyDescent="0.25">
      <c r="C5094" s="1"/>
    </row>
    <row r="5095" spans="3:3" x14ac:dyDescent="0.25">
      <c r="C5095" s="1"/>
    </row>
    <row r="5096" spans="3:3" x14ac:dyDescent="0.25">
      <c r="C5096" s="1"/>
    </row>
    <row r="5097" spans="3:3" x14ac:dyDescent="0.25">
      <c r="C5097" s="1"/>
    </row>
    <row r="5098" spans="3:3" x14ac:dyDescent="0.25">
      <c r="C5098" s="1"/>
    </row>
    <row r="5099" spans="3:3" x14ac:dyDescent="0.25">
      <c r="C5099" s="1"/>
    </row>
    <row r="5100" spans="3:3" x14ac:dyDescent="0.25">
      <c r="C5100" s="1"/>
    </row>
    <row r="5101" spans="3:3" x14ac:dyDescent="0.25">
      <c r="C5101" s="1"/>
    </row>
    <row r="5102" spans="3:3" x14ac:dyDescent="0.25">
      <c r="C5102" s="1"/>
    </row>
    <row r="5103" spans="3:3" x14ac:dyDescent="0.25">
      <c r="C5103" s="1"/>
    </row>
    <row r="5104" spans="3:3" x14ac:dyDescent="0.25">
      <c r="C5104" s="1"/>
    </row>
    <row r="5105" spans="3:3" x14ac:dyDescent="0.25">
      <c r="C5105" s="1"/>
    </row>
    <row r="5106" spans="3:3" x14ac:dyDescent="0.25">
      <c r="C5106" s="1"/>
    </row>
    <row r="5107" spans="3:3" x14ac:dyDescent="0.25">
      <c r="C5107" s="1"/>
    </row>
    <row r="5108" spans="3:3" x14ac:dyDescent="0.25">
      <c r="C5108" s="1"/>
    </row>
    <row r="5109" spans="3:3" x14ac:dyDescent="0.25">
      <c r="C5109" s="1"/>
    </row>
    <row r="5110" spans="3:3" x14ac:dyDescent="0.25">
      <c r="C5110" s="1"/>
    </row>
    <row r="5111" spans="3:3" x14ac:dyDescent="0.25">
      <c r="C5111" s="1"/>
    </row>
    <row r="5112" spans="3:3" x14ac:dyDescent="0.25">
      <c r="C5112" s="1"/>
    </row>
    <row r="5113" spans="3:3" x14ac:dyDescent="0.25">
      <c r="C5113" s="1"/>
    </row>
    <row r="5114" spans="3:3" x14ac:dyDescent="0.25">
      <c r="C5114" s="1"/>
    </row>
    <row r="5115" spans="3:3" x14ac:dyDescent="0.25">
      <c r="C5115" s="1"/>
    </row>
    <row r="5116" spans="3:3" x14ac:dyDescent="0.25">
      <c r="C5116" s="1"/>
    </row>
    <row r="5117" spans="3:3" x14ac:dyDescent="0.25">
      <c r="C5117" s="1"/>
    </row>
    <row r="5118" spans="3:3" x14ac:dyDescent="0.25">
      <c r="C5118" s="1"/>
    </row>
    <row r="5119" spans="3:3" x14ac:dyDescent="0.25">
      <c r="C5119" s="1"/>
    </row>
    <row r="5120" spans="3:3" x14ac:dyDescent="0.25">
      <c r="C5120" s="1"/>
    </row>
    <row r="5121" spans="3:3" x14ac:dyDescent="0.25">
      <c r="C5121" s="1"/>
    </row>
    <row r="5122" spans="3:3" x14ac:dyDescent="0.25">
      <c r="C5122" s="1"/>
    </row>
    <row r="5123" spans="3:3" x14ac:dyDescent="0.25">
      <c r="C5123" s="1"/>
    </row>
    <row r="5124" spans="3:3" x14ac:dyDescent="0.25">
      <c r="C5124" s="1"/>
    </row>
    <row r="5125" spans="3:3" x14ac:dyDescent="0.25">
      <c r="C5125" s="1"/>
    </row>
    <row r="5126" spans="3:3" x14ac:dyDescent="0.25">
      <c r="C5126" s="1"/>
    </row>
    <row r="5127" spans="3:3" x14ac:dyDescent="0.25">
      <c r="C5127" s="1"/>
    </row>
    <row r="5128" spans="3:3" x14ac:dyDescent="0.25">
      <c r="C5128" s="1"/>
    </row>
    <row r="5129" spans="3:3" x14ac:dyDescent="0.25">
      <c r="C5129" s="1"/>
    </row>
    <row r="5130" spans="3:3" x14ac:dyDescent="0.25">
      <c r="C5130" s="1"/>
    </row>
    <row r="5131" spans="3:3" x14ac:dyDescent="0.25">
      <c r="C5131" s="1"/>
    </row>
    <row r="5132" spans="3:3" x14ac:dyDescent="0.25">
      <c r="C5132" s="1"/>
    </row>
    <row r="5133" spans="3:3" x14ac:dyDescent="0.25">
      <c r="C5133" s="1"/>
    </row>
    <row r="5134" spans="3:3" x14ac:dyDescent="0.25">
      <c r="C5134" s="1"/>
    </row>
    <row r="5135" spans="3:3" x14ac:dyDescent="0.25">
      <c r="C5135" s="1"/>
    </row>
    <row r="5136" spans="3:3" x14ac:dyDescent="0.25">
      <c r="C5136" s="1"/>
    </row>
    <row r="5137" spans="3:3" x14ac:dyDescent="0.25">
      <c r="C5137" s="1"/>
    </row>
    <row r="5138" spans="3:3" x14ac:dyDescent="0.25">
      <c r="C5138" s="1"/>
    </row>
    <row r="5139" spans="3:3" x14ac:dyDescent="0.25">
      <c r="C5139" s="1"/>
    </row>
    <row r="5140" spans="3:3" x14ac:dyDescent="0.25">
      <c r="C5140" s="1"/>
    </row>
    <row r="5141" spans="3:3" x14ac:dyDescent="0.25">
      <c r="C5141" s="1"/>
    </row>
    <row r="5142" spans="3:3" x14ac:dyDescent="0.25">
      <c r="C5142" s="1"/>
    </row>
    <row r="5143" spans="3:3" x14ac:dyDescent="0.25">
      <c r="C5143" s="1"/>
    </row>
    <row r="5144" spans="3:3" x14ac:dyDescent="0.25">
      <c r="C5144" s="1"/>
    </row>
    <row r="5145" spans="3:3" x14ac:dyDescent="0.25">
      <c r="C5145" s="1"/>
    </row>
    <row r="5146" spans="3:3" x14ac:dyDescent="0.25">
      <c r="C5146" s="1"/>
    </row>
    <row r="5147" spans="3:3" x14ac:dyDescent="0.25">
      <c r="C5147" s="1"/>
    </row>
    <row r="5148" spans="3:3" x14ac:dyDescent="0.25">
      <c r="C5148" s="1"/>
    </row>
    <row r="5149" spans="3:3" x14ac:dyDescent="0.25">
      <c r="C5149" s="1"/>
    </row>
    <row r="5150" spans="3:3" x14ac:dyDescent="0.25">
      <c r="C5150" s="1"/>
    </row>
    <row r="5151" spans="3:3" x14ac:dyDescent="0.25">
      <c r="C5151" s="1"/>
    </row>
    <row r="5152" spans="3:3" x14ac:dyDescent="0.25">
      <c r="C5152" s="1"/>
    </row>
    <row r="5153" spans="3:3" x14ac:dyDescent="0.25">
      <c r="C5153" s="1"/>
    </row>
    <row r="5154" spans="3:3" x14ac:dyDescent="0.25">
      <c r="C5154" s="1"/>
    </row>
    <row r="5155" spans="3:3" x14ac:dyDescent="0.25">
      <c r="C5155" s="1"/>
    </row>
    <row r="5156" spans="3:3" x14ac:dyDescent="0.25">
      <c r="C5156" s="1"/>
    </row>
    <row r="5157" spans="3:3" x14ac:dyDescent="0.25">
      <c r="C5157" s="1"/>
    </row>
    <row r="5158" spans="3:3" x14ac:dyDescent="0.25">
      <c r="C5158" s="1"/>
    </row>
    <row r="5159" spans="3:3" x14ac:dyDescent="0.25">
      <c r="C5159" s="1"/>
    </row>
    <row r="5160" spans="3:3" x14ac:dyDescent="0.25">
      <c r="C5160" s="1"/>
    </row>
    <row r="5161" spans="3:3" x14ac:dyDescent="0.25">
      <c r="C5161" s="1"/>
    </row>
    <row r="5162" spans="3:3" x14ac:dyDescent="0.25">
      <c r="C5162" s="1"/>
    </row>
    <row r="5163" spans="3:3" x14ac:dyDescent="0.25">
      <c r="C5163" s="1"/>
    </row>
    <row r="5164" spans="3:3" x14ac:dyDescent="0.25">
      <c r="C5164" s="1"/>
    </row>
    <row r="5165" spans="3:3" x14ac:dyDescent="0.25">
      <c r="C5165" s="1"/>
    </row>
    <row r="5166" spans="3:3" x14ac:dyDescent="0.25">
      <c r="C5166" s="1"/>
    </row>
    <row r="5167" spans="3:3" x14ac:dyDescent="0.25">
      <c r="C5167" s="1"/>
    </row>
    <row r="5168" spans="3:3" x14ac:dyDescent="0.25">
      <c r="C5168" s="1"/>
    </row>
    <row r="5169" spans="3:3" x14ac:dyDescent="0.25">
      <c r="C5169" s="1"/>
    </row>
    <row r="5170" spans="3:3" x14ac:dyDescent="0.25">
      <c r="C5170" s="1"/>
    </row>
    <row r="5171" spans="3:3" x14ac:dyDescent="0.25">
      <c r="C5171" s="1"/>
    </row>
    <row r="5172" spans="3:3" x14ac:dyDescent="0.25">
      <c r="C5172" s="1"/>
    </row>
    <row r="5173" spans="3:3" x14ac:dyDescent="0.25">
      <c r="C5173" s="1"/>
    </row>
    <row r="5174" spans="3:3" x14ac:dyDescent="0.25">
      <c r="C5174" s="1"/>
    </row>
    <row r="5175" spans="3:3" x14ac:dyDescent="0.25">
      <c r="C5175" s="1"/>
    </row>
    <row r="5176" spans="3:3" x14ac:dyDescent="0.25">
      <c r="C5176" s="1"/>
    </row>
    <row r="5177" spans="3:3" x14ac:dyDescent="0.25">
      <c r="C5177" s="1"/>
    </row>
    <row r="5178" spans="3:3" x14ac:dyDescent="0.25">
      <c r="C5178" s="1"/>
    </row>
    <row r="5179" spans="3:3" x14ac:dyDescent="0.25">
      <c r="C5179" s="1"/>
    </row>
    <row r="5180" spans="3:3" x14ac:dyDescent="0.25">
      <c r="C5180" s="1"/>
    </row>
    <row r="5181" spans="3:3" x14ac:dyDescent="0.25">
      <c r="C5181" s="1"/>
    </row>
    <row r="5182" spans="3:3" x14ac:dyDescent="0.25">
      <c r="C5182" s="1"/>
    </row>
    <row r="5183" spans="3:3" x14ac:dyDescent="0.25">
      <c r="C5183" s="1"/>
    </row>
    <row r="5184" spans="3:3" x14ac:dyDescent="0.25">
      <c r="C5184" s="1"/>
    </row>
    <row r="5185" spans="3:3" x14ac:dyDescent="0.25">
      <c r="C5185" s="1"/>
    </row>
    <row r="5186" spans="3:3" x14ac:dyDescent="0.25">
      <c r="C5186" s="1"/>
    </row>
    <row r="5187" spans="3:3" x14ac:dyDescent="0.25">
      <c r="C5187" s="1"/>
    </row>
    <row r="5188" spans="3:3" x14ac:dyDescent="0.25">
      <c r="C5188" s="1"/>
    </row>
    <row r="5189" spans="3:3" x14ac:dyDescent="0.25">
      <c r="C5189" s="1"/>
    </row>
    <row r="5190" spans="3:3" x14ac:dyDescent="0.25">
      <c r="C5190" s="1"/>
    </row>
    <row r="5191" spans="3:3" x14ac:dyDescent="0.25">
      <c r="C5191" s="1"/>
    </row>
    <row r="5192" spans="3:3" x14ac:dyDescent="0.25">
      <c r="C5192" s="1"/>
    </row>
    <row r="5193" spans="3:3" x14ac:dyDescent="0.25">
      <c r="C5193" s="1"/>
    </row>
    <row r="5194" spans="3:3" x14ac:dyDescent="0.25">
      <c r="C5194" s="1"/>
    </row>
    <row r="5195" spans="3:3" x14ac:dyDescent="0.25">
      <c r="C5195" s="1"/>
    </row>
    <row r="5196" spans="3:3" x14ac:dyDescent="0.25">
      <c r="C5196" s="1"/>
    </row>
    <row r="5197" spans="3:3" x14ac:dyDescent="0.25">
      <c r="C5197" s="1"/>
    </row>
    <row r="5198" spans="3:3" x14ac:dyDescent="0.25">
      <c r="C5198" s="1"/>
    </row>
    <row r="5199" spans="3:3" x14ac:dyDescent="0.25">
      <c r="C5199" s="1"/>
    </row>
    <row r="5200" spans="3:3" x14ac:dyDescent="0.25">
      <c r="C5200" s="1"/>
    </row>
    <row r="5201" spans="3:3" x14ac:dyDescent="0.25">
      <c r="C5201" s="1"/>
    </row>
    <row r="5202" spans="3:3" x14ac:dyDescent="0.25">
      <c r="C5202" s="1"/>
    </row>
    <row r="5203" spans="3:3" x14ac:dyDescent="0.25">
      <c r="C5203" s="1"/>
    </row>
    <row r="5204" spans="3:3" x14ac:dyDescent="0.25">
      <c r="C5204" s="1"/>
    </row>
    <row r="5205" spans="3:3" x14ac:dyDescent="0.25">
      <c r="C5205" s="1"/>
    </row>
    <row r="5206" spans="3:3" x14ac:dyDescent="0.25">
      <c r="C5206" s="1"/>
    </row>
    <row r="5207" spans="3:3" x14ac:dyDescent="0.25">
      <c r="C5207" s="1"/>
    </row>
    <row r="5208" spans="3:3" x14ac:dyDescent="0.25">
      <c r="C5208" s="1"/>
    </row>
    <row r="5209" spans="3:3" x14ac:dyDescent="0.25">
      <c r="C5209" s="1"/>
    </row>
    <row r="5210" spans="3:3" x14ac:dyDescent="0.25">
      <c r="C5210" s="1"/>
    </row>
    <row r="5211" spans="3:3" x14ac:dyDescent="0.25">
      <c r="C5211" s="1"/>
    </row>
    <row r="5212" spans="3:3" x14ac:dyDescent="0.25">
      <c r="C5212" s="1"/>
    </row>
    <row r="5213" spans="3:3" x14ac:dyDescent="0.25">
      <c r="C5213" s="1"/>
    </row>
    <row r="5214" spans="3:3" x14ac:dyDescent="0.25">
      <c r="C5214" s="1"/>
    </row>
    <row r="5215" spans="3:3" x14ac:dyDescent="0.25">
      <c r="C5215" s="1"/>
    </row>
    <row r="5216" spans="3:3" x14ac:dyDescent="0.25">
      <c r="C5216" s="1"/>
    </row>
    <row r="5217" spans="3:3" x14ac:dyDescent="0.25">
      <c r="C5217" s="1"/>
    </row>
    <row r="5218" spans="3:3" x14ac:dyDescent="0.25">
      <c r="C5218" s="1"/>
    </row>
    <row r="5219" spans="3:3" x14ac:dyDescent="0.25">
      <c r="C5219" s="1"/>
    </row>
    <row r="5220" spans="3:3" x14ac:dyDescent="0.25">
      <c r="C5220" s="1"/>
    </row>
    <row r="5221" spans="3:3" x14ac:dyDescent="0.25">
      <c r="C5221" s="1"/>
    </row>
    <row r="5222" spans="3:3" x14ac:dyDescent="0.25">
      <c r="C5222" s="1"/>
    </row>
    <row r="5223" spans="3:3" x14ac:dyDescent="0.25">
      <c r="C5223" s="1"/>
    </row>
    <row r="5224" spans="3:3" x14ac:dyDescent="0.25">
      <c r="C5224" s="1"/>
    </row>
    <row r="5225" spans="3:3" x14ac:dyDescent="0.25">
      <c r="C5225" s="1"/>
    </row>
    <row r="5226" spans="3:3" x14ac:dyDescent="0.25">
      <c r="C5226" s="1"/>
    </row>
    <row r="5227" spans="3:3" x14ac:dyDescent="0.25">
      <c r="C5227" s="1"/>
    </row>
    <row r="5228" spans="3:3" x14ac:dyDescent="0.25">
      <c r="C5228" s="1"/>
    </row>
    <row r="5229" spans="3:3" x14ac:dyDescent="0.25">
      <c r="C5229" s="1"/>
    </row>
    <row r="5230" spans="3:3" x14ac:dyDescent="0.25">
      <c r="C5230" s="1"/>
    </row>
    <row r="5231" spans="3:3" x14ac:dyDescent="0.25">
      <c r="C5231" s="1"/>
    </row>
    <row r="5232" spans="3:3" x14ac:dyDescent="0.25">
      <c r="C5232" s="1"/>
    </row>
    <row r="5233" spans="3:3" x14ac:dyDescent="0.25">
      <c r="C5233" s="1"/>
    </row>
    <row r="5234" spans="3:3" x14ac:dyDescent="0.25">
      <c r="C5234" s="1"/>
    </row>
    <row r="5235" spans="3:3" x14ac:dyDescent="0.25">
      <c r="C5235" s="1"/>
    </row>
    <row r="5236" spans="3:3" x14ac:dyDescent="0.25">
      <c r="C5236" s="1"/>
    </row>
    <row r="5237" spans="3:3" x14ac:dyDescent="0.25">
      <c r="C5237" s="1"/>
    </row>
    <row r="5238" spans="3:3" x14ac:dyDescent="0.25">
      <c r="C5238" s="1"/>
    </row>
    <row r="5239" spans="3:3" x14ac:dyDescent="0.25">
      <c r="C5239" s="1"/>
    </row>
    <row r="5240" spans="3:3" x14ac:dyDescent="0.25">
      <c r="C5240" s="1"/>
    </row>
    <row r="5241" spans="3:3" x14ac:dyDescent="0.25">
      <c r="C5241" s="1"/>
    </row>
    <row r="5242" spans="3:3" x14ac:dyDescent="0.25">
      <c r="C5242" s="1"/>
    </row>
    <row r="5243" spans="3:3" x14ac:dyDescent="0.25">
      <c r="C5243" s="1"/>
    </row>
    <row r="5244" spans="3:3" x14ac:dyDescent="0.25">
      <c r="C5244" s="1"/>
    </row>
    <row r="5245" spans="3:3" x14ac:dyDescent="0.25">
      <c r="C5245" s="1"/>
    </row>
    <row r="5246" spans="3:3" x14ac:dyDescent="0.25">
      <c r="C5246" s="1"/>
    </row>
    <row r="5247" spans="3:3" x14ac:dyDescent="0.25">
      <c r="C5247" s="1"/>
    </row>
    <row r="5248" spans="3:3" x14ac:dyDescent="0.25">
      <c r="C5248" s="1"/>
    </row>
    <row r="5249" spans="3:3" x14ac:dyDescent="0.25">
      <c r="C5249" s="1"/>
    </row>
    <row r="5250" spans="3:3" x14ac:dyDescent="0.25">
      <c r="C5250" s="1"/>
    </row>
    <row r="5251" spans="3:3" x14ac:dyDescent="0.25">
      <c r="C5251" s="1"/>
    </row>
    <row r="5252" spans="3:3" x14ac:dyDescent="0.25">
      <c r="C5252" s="1"/>
    </row>
    <row r="5253" spans="3:3" x14ac:dyDescent="0.25">
      <c r="C5253" s="1"/>
    </row>
    <row r="5254" spans="3:3" x14ac:dyDescent="0.25">
      <c r="C5254" s="1"/>
    </row>
    <row r="5255" spans="3:3" x14ac:dyDescent="0.25">
      <c r="C5255" s="1"/>
    </row>
    <row r="5256" spans="3:3" x14ac:dyDescent="0.25">
      <c r="C5256" s="1"/>
    </row>
    <row r="5257" spans="3:3" x14ac:dyDescent="0.25">
      <c r="C5257" s="1"/>
    </row>
    <row r="5258" spans="3:3" x14ac:dyDescent="0.25">
      <c r="C5258" s="1"/>
    </row>
    <row r="5259" spans="3:3" x14ac:dyDescent="0.25">
      <c r="C5259" s="1"/>
    </row>
    <row r="5260" spans="3:3" x14ac:dyDescent="0.25">
      <c r="C5260" s="1"/>
    </row>
    <row r="5261" spans="3:3" x14ac:dyDescent="0.25">
      <c r="C5261" s="1"/>
    </row>
    <row r="5262" spans="3:3" x14ac:dyDescent="0.25">
      <c r="C5262" s="1"/>
    </row>
    <row r="5263" spans="3:3" x14ac:dyDescent="0.25">
      <c r="C5263" s="1"/>
    </row>
    <row r="5264" spans="3:3" x14ac:dyDescent="0.25">
      <c r="C5264" s="1"/>
    </row>
    <row r="5265" spans="3:3" x14ac:dyDescent="0.25">
      <c r="C5265" s="1"/>
    </row>
    <row r="5266" spans="3:3" x14ac:dyDescent="0.25">
      <c r="C5266" s="1"/>
    </row>
    <row r="5267" spans="3:3" x14ac:dyDescent="0.25">
      <c r="C5267" s="1"/>
    </row>
    <row r="5268" spans="3:3" x14ac:dyDescent="0.25">
      <c r="C5268" s="1"/>
    </row>
    <row r="5269" spans="3:3" x14ac:dyDescent="0.25">
      <c r="C5269" s="1"/>
    </row>
    <row r="5270" spans="3:3" x14ac:dyDescent="0.25">
      <c r="C5270" s="1"/>
    </row>
    <row r="5271" spans="3:3" x14ac:dyDescent="0.25">
      <c r="C5271" s="1"/>
    </row>
    <row r="5272" spans="3:3" x14ac:dyDescent="0.25">
      <c r="C5272" s="1"/>
    </row>
    <row r="5273" spans="3:3" x14ac:dyDescent="0.25">
      <c r="C5273" s="1"/>
    </row>
    <row r="5274" spans="3:3" x14ac:dyDescent="0.25">
      <c r="C5274" s="1"/>
    </row>
    <row r="5275" spans="3:3" x14ac:dyDescent="0.25">
      <c r="C5275" s="1"/>
    </row>
    <row r="5276" spans="3:3" x14ac:dyDescent="0.25">
      <c r="C5276" s="1"/>
    </row>
    <row r="5277" spans="3:3" x14ac:dyDescent="0.25">
      <c r="C5277" s="1"/>
    </row>
    <row r="5278" spans="3:3" x14ac:dyDescent="0.25">
      <c r="C5278" s="1"/>
    </row>
    <row r="5279" spans="3:3" x14ac:dyDescent="0.25">
      <c r="C5279" s="1"/>
    </row>
    <row r="5280" spans="3:3" x14ac:dyDescent="0.25">
      <c r="C5280" s="1"/>
    </row>
    <row r="5281" spans="3:3" x14ac:dyDescent="0.25">
      <c r="C5281" s="1"/>
    </row>
    <row r="5282" spans="3:3" x14ac:dyDescent="0.25">
      <c r="C5282" s="1"/>
    </row>
    <row r="5283" spans="3:3" x14ac:dyDescent="0.25">
      <c r="C5283" s="1"/>
    </row>
    <row r="5284" spans="3:3" x14ac:dyDescent="0.25">
      <c r="C5284" s="1"/>
    </row>
    <row r="5285" spans="3:3" x14ac:dyDescent="0.25">
      <c r="C5285" s="1"/>
    </row>
    <row r="5286" spans="3:3" x14ac:dyDescent="0.25">
      <c r="C5286" s="1"/>
    </row>
    <row r="5287" spans="3:3" x14ac:dyDescent="0.25">
      <c r="C5287" s="1"/>
    </row>
    <row r="5288" spans="3:3" x14ac:dyDescent="0.25">
      <c r="C5288" s="1"/>
    </row>
    <row r="5289" spans="3:3" x14ac:dyDescent="0.25">
      <c r="C5289" s="1"/>
    </row>
    <row r="5290" spans="3:3" x14ac:dyDescent="0.25">
      <c r="C5290" s="1"/>
    </row>
    <row r="5291" spans="3:3" x14ac:dyDescent="0.25">
      <c r="C5291" s="1"/>
    </row>
    <row r="5292" spans="3:3" x14ac:dyDescent="0.25">
      <c r="C5292" s="1"/>
    </row>
    <row r="5293" spans="3:3" x14ac:dyDescent="0.25">
      <c r="C5293" s="1"/>
    </row>
    <row r="5294" spans="3:3" x14ac:dyDescent="0.25">
      <c r="C5294" s="1"/>
    </row>
    <row r="5295" spans="3:3" x14ac:dyDescent="0.25">
      <c r="C5295" s="1"/>
    </row>
    <row r="5296" spans="3:3" x14ac:dyDescent="0.25">
      <c r="C5296" s="1"/>
    </row>
    <row r="5297" spans="3:3" x14ac:dyDescent="0.25">
      <c r="C5297" s="1"/>
    </row>
    <row r="5298" spans="3:3" x14ac:dyDescent="0.25">
      <c r="C5298" s="1"/>
    </row>
    <row r="5299" spans="3:3" x14ac:dyDescent="0.25">
      <c r="C5299" s="1"/>
    </row>
    <row r="5300" spans="3:3" x14ac:dyDescent="0.25">
      <c r="C5300" s="1"/>
    </row>
    <row r="5301" spans="3:3" x14ac:dyDescent="0.25">
      <c r="C5301" s="1"/>
    </row>
    <row r="5302" spans="3:3" x14ac:dyDescent="0.25">
      <c r="C5302" s="1"/>
    </row>
    <row r="5303" spans="3:3" x14ac:dyDescent="0.25">
      <c r="C5303" s="1"/>
    </row>
    <row r="5304" spans="3:3" x14ac:dyDescent="0.25">
      <c r="C5304" s="1"/>
    </row>
    <row r="5305" spans="3:3" x14ac:dyDescent="0.25">
      <c r="C5305" s="1"/>
    </row>
    <row r="5306" spans="3:3" x14ac:dyDescent="0.25">
      <c r="C5306" s="1"/>
    </row>
    <row r="5307" spans="3:3" x14ac:dyDescent="0.25">
      <c r="C5307" s="1"/>
    </row>
    <row r="5308" spans="3:3" x14ac:dyDescent="0.25">
      <c r="C5308" s="1"/>
    </row>
    <row r="5309" spans="3:3" x14ac:dyDescent="0.25">
      <c r="C5309" s="1"/>
    </row>
    <row r="5310" spans="3:3" x14ac:dyDescent="0.25">
      <c r="C5310" s="1"/>
    </row>
    <row r="5311" spans="3:3" x14ac:dyDescent="0.25">
      <c r="C5311" s="1"/>
    </row>
    <row r="5312" spans="3:3" x14ac:dyDescent="0.25">
      <c r="C5312" s="1"/>
    </row>
    <row r="5313" spans="3:3" x14ac:dyDescent="0.25">
      <c r="C5313" s="1"/>
    </row>
    <row r="5314" spans="3:3" x14ac:dyDescent="0.25">
      <c r="C5314" s="1"/>
    </row>
    <row r="5315" spans="3:3" x14ac:dyDescent="0.25">
      <c r="C5315" s="1"/>
    </row>
    <row r="5316" spans="3:3" x14ac:dyDescent="0.25">
      <c r="C5316" s="1"/>
    </row>
    <row r="5317" spans="3:3" x14ac:dyDescent="0.25">
      <c r="C5317" s="1"/>
    </row>
    <row r="5318" spans="3:3" x14ac:dyDescent="0.25">
      <c r="C5318" s="1"/>
    </row>
    <row r="5319" spans="3:3" x14ac:dyDescent="0.25">
      <c r="C5319" s="1"/>
    </row>
    <row r="5320" spans="3:3" x14ac:dyDescent="0.25">
      <c r="C5320" s="1"/>
    </row>
    <row r="5321" spans="3:3" x14ac:dyDescent="0.25">
      <c r="C5321" s="1"/>
    </row>
    <row r="5322" spans="3:3" x14ac:dyDescent="0.25">
      <c r="C5322" s="1"/>
    </row>
    <row r="5323" spans="3:3" x14ac:dyDescent="0.25">
      <c r="C5323" s="1"/>
    </row>
    <row r="5324" spans="3:3" x14ac:dyDescent="0.25">
      <c r="C5324" s="1"/>
    </row>
    <row r="5325" spans="3:3" x14ac:dyDescent="0.25">
      <c r="C5325" s="1"/>
    </row>
    <row r="5326" spans="3:3" x14ac:dyDescent="0.25">
      <c r="C5326" s="1"/>
    </row>
    <row r="5327" spans="3:3" x14ac:dyDescent="0.25">
      <c r="C5327" s="1"/>
    </row>
    <row r="5328" spans="3:3" x14ac:dyDescent="0.25">
      <c r="C5328" s="1"/>
    </row>
    <row r="5329" spans="3:3" x14ac:dyDescent="0.25">
      <c r="C5329" s="1"/>
    </row>
    <row r="5330" spans="3:3" x14ac:dyDescent="0.25">
      <c r="C5330" s="1"/>
    </row>
    <row r="5331" spans="3:3" x14ac:dyDescent="0.25">
      <c r="C5331" s="1"/>
    </row>
    <row r="5332" spans="3:3" x14ac:dyDescent="0.25">
      <c r="C5332" s="1"/>
    </row>
    <row r="5333" spans="3:3" x14ac:dyDescent="0.25">
      <c r="C5333" s="1"/>
    </row>
    <row r="5334" spans="3:3" x14ac:dyDescent="0.25">
      <c r="C5334" s="1"/>
    </row>
    <row r="5335" spans="3:3" x14ac:dyDescent="0.25">
      <c r="C5335" s="1"/>
    </row>
    <row r="5336" spans="3:3" x14ac:dyDescent="0.25">
      <c r="C5336" s="1"/>
    </row>
    <row r="5337" spans="3:3" x14ac:dyDescent="0.25">
      <c r="C5337" s="1"/>
    </row>
    <row r="5338" spans="3:3" x14ac:dyDescent="0.25">
      <c r="C5338" s="1"/>
    </row>
    <row r="5339" spans="3:3" x14ac:dyDescent="0.25">
      <c r="C5339" s="1"/>
    </row>
    <row r="5340" spans="3:3" x14ac:dyDescent="0.25">
      <c r="C5340" s="1"/>
    </row>
    <row r="5341" spans="3:3" x14ac:dyDescent="0.25">
      <c r="C5341" s="1"/>
    </row>
    <row r="5342" spans="3:3" x14ac:dyDescent="0.25">
      <c r="C5342" s="1"/>
    </row>
    <row r="5343" spans="3:3" x14ac:dyDescent="0.25">
      <c r="C5343" s="1"/>
    </row>
    <row r="5344" spans="3:3" x14ac:dyDescent="0.25">
      <c r="C5344" s="1"/>
    </row>
    <row r="5345" spans="3:3" x14ac:dyDescent="0.25">
      <c r="C5345" s="1"/>
    </row>
    <row r="5346" spans="3:3" x14ac:dyDescent="0.25">
      <c r="C5346" s="1"/>
    </row>
    <row r="5347" spans="3:3" x14ac:dyDescent="0.25">
      <c r="C5347" s="1"/>
    </row>
    <row r="5348" spans="3:3" x14ac:dyDescent="0.25">
      <c r="C5348" s="1"/>
    </row>
    <row r="5349" spans="3:3" x14ac:dyDescent="0.25">
      <c r="C5349" s="1"/>
    </row>
    <row r="5350" spans="3:3" x14ac:dyDescent="0.25">
      <c r="C5350" s="1"/>
    </row>
    <row r="5351" spans="3:3" x14ac:dyDescent="0.25">
      <c r="C5351" s="1"/>
    </row>
    <row r="5352" spans="3:3" x14ac:dyDescent="0.25">
      <c r="C5352" s="1"/>
    </row>
    <row r="5353" spans="3:3" x14ac:dyDescent="0.25">
      <c r="C5353" s="1"/>
    </row>
    <row r="5354" spans="3:3" x14ac:dyDescent="0.25">
      <c r="C5354" s="1"/>
    </row>
    <row r="5355" spans="3:3" x14ac:dyDescent="0.25">
      <c r="C5355" s="1"/>
    </row>
    <row r="5356" spans="3:3" x14ac:dyDescent="0.25">
      <c r="C5356" s="1"/>
    </row>
    <row r="5357" spans="3:3" x14ac:dyDescent="0.25">
      <c r="C5357" s="1"/>
    </row>
    <row r="5358" spans="3:3" x14ac:dyDescent="0.25">
      <c r="C5358" s="1"/>
    </row>
    <row r="5359" spans="3:3" x14ac:dyDescent="0.25">
      <c r="C5359" s="1"/>
    </row>
    <row r="5360" spans="3:3" x14ac:dyDescent="0.25">
      <c r="C5360" s="1"/>
    </row>
    <row r="5361" spans="3:3" x14ac:dyDescent="0.25">
      <c r="C5361" s="1"/>
    </row>
    <row r="5362" spans="3:3" x14ac:dyDescent="0.25">
      <c r="C5362" s="1"/>
    </row>
    <row r="5363" spans="3:3" x14ac:dyDescent="0.25">
      <c r="C5363" s="1"/>
    </row>
    <row r="5364" spans="3:3" x14ac:dyDescent="0.25">
      <c r="C5364" s="1"/>
    </row>
    <row r="5365" spans="3:3" x14ac:dyDescent="0.25">
      <c r="C5365" s="1"/>
    </row>
    <row r="5366" spans="3:3" x14ac:dyDescent="0.25">
      <c r="C5366" s="1"/>
    </row>
    <row r="5367" spans="3:3" x14ac:dyDescent="0.25">
      <c r="C5367" s="1"/>
    </row>
    <row r="5368" spans="3:3" x14ac:dyDescent="0.25">
      <c r="C5368" s="1"/>
    </row>
    <row r="5369" spans="3:3" x14ac:dyDescent="0.25">
      <c r="C5369" s="1"/>
    </row>
    <row r="5370" spans="3:3" x14ac:dyDescent="0.25">
      <c r="C5370" s="1"/>
    </row>
    <row r="5371" spans="3:3" x14ac:dyDescent="0.25">
      <c r="C5371" s="1"/>
    </row>
    <row r="5372" spans="3:3" x14ac:dyDescent="0.25">
      <c r="C5372" s="1"/>
    </row>
    <row r="5373" spans="3:3" x14ac:dyDescent="0.25">
      <c r="C5373" s="1"/>
    </row>
    <row r="5374" spans="3:3" x14ac:dyDescent="0.25">
      <c r="C5374" s="1"/>
    </row>
    <row r="5375" spans="3:3" x14ac:dyDescent="0.25">
      <c r="C5375" s="1"/>
    </row>
    <row r="5376" spans="3:3" x14ac:dyDescent="0.25">
      <c r="C5376" s="1"/>
    </row>
    <row r="5377" spans="3:3" x14ac:dyDescent="0.25">
      <c r="C5377" s="1"/>
    </row>
    <row r="5378" spans="3:3" x14ac:dyDescent="0.25">
      <c r="C5378" s="1"/>
    </row>
    <row r="5379" spans="3:3" x14ac:dyDescent="0.25">
      <c r="C5379" s="1"/>
    </row>
    <row r="5380" spans="3:3" x14ac:dyDescent="0.25">
      <c r="C5380" s="1"/>
    </row>
    <row r="5381" spans="3:3" x14ac:dyDescent="0.25">
      <c r="C5381" s="1"/>
    </row>
    <row r="5382" spans="3:3" x14ac:dyDescent="0.25">
      <c r="C5382" s="1"/>
    </row>
    <row r="5383" spans="3:3" x14ac:dyDescent="0.25">
      <c r="C5383" s="1"/>
    </row>
    <row r="5384" spans="3:3" x14ac:dyDescent="0.25">
      <c r="C5384" s="1"/>
    </row>
    <row r="5385" spans="3:3" x14ac:dyDescent="0.25">
      <c r="C5385" s="1"/>
    </row>
    <row r="5386" spans="3:3" x14ac:dyDescent="0.25">
      <c r="C5386" s="1"/>
    </row>
    <row r="5387" spans="3:3" x14ac:dyDescent="0.25">
      <c r="C5387" s="1"/>
    </row>
    <row r="5388" spans="3:3" x14ac:dyDescent="0.25">
      <c r="C5388" s="1"/>
    </row>
    <row r="5389" spans="3:3" x14ac:dyDescent="0.25">
      <c r="C5389" s="1"/>
    </row>
    <row r="5390" spans="3:3" x14ac:dyDescent="0.25">
      <c r="C5390" s="1"/>
    </row>
    <row r="5391" spans="3:3" x14ac:dyDescent="0.25">
      <c r="C5391" s="1"/>
    </row>
    <row r="5392" spans="3:3" x14ac:dyDescent="0.25">
      <c r="C5392" s="1"/>
    </row>
    <row r="5393" spans="3:3" x14ac:dyDescent="0.25">
      <c r="C5393" s="1"/>
    </row>
    <row r="5394" spans="3:3" x14ac:dyDescent="0.25">
      <c r="C5394" s="1"/>
    </row>
    <row r="5395" spans="3:3" x14ac:dyDescent="0.25">
      <c r="C5395" s="1"/>
    </row>
    <row r="5396" spans="3:3" x14ac:dyDescent="0.25">
      <c r="C5396" s="1"/>
    </row>
    <row r="5397" spans="3:3" x14ac:dyDescent="0.25">
      <c r="C5397" s="1"/>
    </row>
    <row r="5398" spans="3:3" x14ac:dyDescent="0.25">
      <c r="C5398" s="1"/>
    </row>
    <row r="5399" spans="3:3" x14ac:dyDescent="0.25">
      <c r="C5399" s="1"/>
    </row>
    <row r="5400" spans="3:3" x14ac:dyDescent="0.25">
      <c r="C5400" s="1"/>
    </row>
    <row r="5401" spans="3:3" x14ac:dyDescent="0.25">
      <c r="C5401" s="1"/>
    </row>
    <row r="5402" spans="3:3" x14ac:dyDescent="0.25">
      <c r="C5402" s="1"/>
    </row>
    <row r="5403" spans="3:3" x14ac:dyDescent="0.25">
      <c r="C5403" s="1"/>
    </row>
    <row r="5404" spans="3:3" x14ac:dyDescent="0.25">
      <c r="C5404" s="1"/>
    </row>
    <row r="5405" spans="3:3" x14ac:dyDescent="0.25">
      <c r="C5405" s="1"/>
    </row>
    <row r="5406" spans="3:3" x14ac:dyDescent="0.25">
      <c r="C5406" s="1"/>
    </row>
    <row r="5407" spans="3:3" x14ac:dyDescent="0.25">
      <c r="C5407" s="1"/>
    </row>
    <row r="5408" spans="3:3" x14ac:dyDescent="0.25">
      <c r="C5408" s="1"/>
    </row>
    <row r="5409" spans="3:3" x14ac:dyDescent="0.25">
      <c r="C5409" s="1"/>
    </row>
    <row r="5410" spans="3:3" x14ac:dyDescent="0.25">
      <c r="C5410" s="1"/>
    </row>
    <row r="5411" spans="3:3" x14ac:dyDescent="0.25">
      <c r="C5411" s="1"/>
    </row>
    <row r="5412" spans="3:3" x14ac:dyDescent="0.25">
      <c r="C5412" s="1"/>
    </row>
    <row r="5413" spans="3:3" x14ac:dyDescent="0.25">
      <c r="C5413" s="1"/>
    </row>
    <row r="5414" spans="3:3" x14ac:dyDescent="0.25">
      <c r="C5414" s="1"/>
    </row>
    <row r="5415" spans="3:3" x14ac:dyDescent="0.25">
      <c r="C5415" s="1"/>
    </row>
    <row r="5416" spans="3:3" x14ac:dyDescent="0.25">
      <c r="C5416" s="1"/>
    </row>
    <row r="5417" spans="3:3" x14ac:dyDescent="0.25">
      <c r="C5417" s="1"/>
    </row>
    <row r="5418" spans="3:3" x14ac:dyDescent="0.25">
      <c r="C5418" s="1"/>
    </row>
    <row r="5419" spans="3:3" x14ac:dyDescent="0.25">
      <c r="C5419" s="1"/>
    </row>
    <row r="5420" spans="3:3" x14ac:dyDescent="0.25">
      <c r="C5420" s="1"/>
    </row>
    <row r="5421" spans="3:3" x14ac:dyDescent="0.25">
      <c r="C5421" s="1"/>
    </row>
    <row r="5422" spans="3:3" x14ac:dyDescent="0.25">
      <c r="C5422" s="1"/>
    </row>
    <row r="5423" spans="3:3" x14ac:dyDescent="0.25">
      <c r="C5423" s="1"/>
    </row>
    <row r="5424" spans="3:3" x14ac:dyDescent="0.25">
      <c r="C5424" s="1"/>
    </row>
    <row r="5425" spans="3:3" x14ac:dyDescent="0.25">
      <c r="C5425" s="1"/>
    </row>
    <row r="5426" spans="3:3" x14ac:dyDescent="0.25">
      <c r="C5426" s="1"/>
    </row>
    <row r="5427" spans="3:3" x14ac:dyDescent="0.25">
      <c r="C5427" s="1"/>
    </row>
    <row r="5428" spans="3:3" x14ac:dyDescent="0.25">
      <c r="C5428" s="1"/>
    </row>
    <row r="5429" spans="3:3" x14ac:dyDescent="0.25">
      <c r="C5429" s="1"/>
    </row>
    <row r="5430" spans="3:3" x14ac:dyDescent="0.25">
      <c r="C5430" s="1"/>
    </row>
    <row r="5431" spans="3:3" x14ac:dyDescent="0.25">
      <c r="C5431" s="1"/>
    </row>
    <row r="5432" spans="3:3" x14ac:dyDescent="0.25">
      <c r="C5432" s="1"/>
    </row>
    <row r="5433" spans="3:3" x14ac:dyDescent="0.25">
      <c r="C5433" s="1"/>
    </row>
    <row r="5434" spans="3:3" x14ac:dyDescent="0.25">
      <c r="C5434" s="1"/>
    </row>
    <row r="5435" spans="3:3" x14ac:dyDescent="0.25">
      <c r="C5435" s="1"/>
    </row>
    <row r="5436" spans="3:3" x14ac:dyDescent="0.25">
      <c r="C5436" s="1"/>
    </row>
    <row r="5437" spans="3:3" x14ac:dyDescent="0.25">
      <c r="C5437" s="1"/>
    </row>
    <row r="5438" spans="3:3" x14ac:dyDescent="0.25">
      <c r="C5438" s="1"/>
    </row>
    <row r="5439" spans="3:3" x14ac:dyDescent="0.25">
      <c r="C5439" s="1"/>
    </row>
    <row r="5440" spans="3:3" x14ac:dyDescent="0.25">
      <c r="C5440" s="1"/>
    </row>
    <row r="5441" spans="3:3" x14ac:dyDescent="0.25">
      <c r="C5441" s="1"/>
    </row>
    <row r="5442" spans="3:3" x14ac:dyDescent="0.25">
      <c r="C5442" s="1"/>
    </row>
    <row r="5443" spans="3:3" x14ac:dyDescent="0.25">
      <c r="C5443" s="1"/>
    </row>
    <row r="5444" spans="3:3" x14ac:dyDescent="0.25">
      <c r="C5444" s="1"/>
    </row>
    <row r="5445" spans="3:3" x14ac:dyDescent="0.25">
      <c r="C5445" s="1"/>
    </row>
    <row r="5446" spans="3:3" x14ac:dyDescent="0.25">
      <c r="C5446" s="1"/>
    </row>
    <row r="5447" spans="3:3" x14ac:dyDescent="0.25">
      <c r="C5447" s="1"/>
    </row>
    <row r="5448" spans="3:3" x14ac:dyDescent="0.25">
      <c r="C5448" s="1"/>
    </row>
    <row r="5449" spans="3:3" x14ac:dyDescent="0.25">
      <c r="C5449" s="1"/>
    </row>
    <row r="5450" spans="3:3" x14ac:dyDescent="0.25">
      <c r="C5450" s="1"/>
    </row>
    <row r="5451" spans="3:3" x14ac:dyDescent="0.25">
      <c r="C5451" s="1"/>
    </row>
    <row r="5452" spans="3:3" x14ac:dyDescent="0.25">
      <c r="C5452" s="1"/>
    </row>
    <row r="5453" spans="3:3" x14ac:dyDescent="0.25">
      <c r="C5453" s="1"/>
    </row>
    <row r="5454" spans="3:3" x14ac:dyDescent="0.25">
      <c r="C5454" s="1"/>
    </row>
    <row r="5455" spans="3:3" x14ac:dyDescent="0.25">
      <c r="C5455" s="1"/>
    </row>
    <row r="5456" spans="3:3" x14ac:dyDescent="0.25">
      <c r="C5456" s="1"/>
    </row>
    <row r="5457" spans="3:3" x14ac:dyDescent="0.25">
      <c r="C5457" s="1"/>
    </row>
    <row r="5458" spans="3:3" x14ac:dyDescent="0.25">
      <c r="C5458" s="1"/>
    </row>
    <row r="5459" spans="3:3" x14ac:dyDescent="0.25">
      <c r="C5459" s="1"/>
    </row>
    <row r="5460" spans="3:3" x14ac:dyDescent="0.25">
      <c r="C5460" s="1"/>
    </row>
    <row r="5461" spans="3:3" x14ac:dyDescent="0.25">
      <c r="C5461" s="1"/>
    </row>
    <row r="5462" spans="3:3" x14ac:dyDescent="0.25">
      <c r="C5462" s="1"/>
    </row>
    <row r="5463" spans="3:3" x14ac:dyDescent="0.25">
      <c r="C5463" s="1"/>
    </row>
    <row r="5464" spans="3:3" x14ac:dyDescent="0.25">
      <c r="C5464" s="1"/>
    </row>
    <row r="5465" spans="3:3" x14ac:dyDescent="0.25">
      <c r="C5465" s="1"/>
    </row>
    <row r="5466" spans="3:3" x14ac:dyDescent="0.25">
      <c r="C5466" s="1"/>
    </row>
    <row r="5467" spans="3:3" x14ac:dyDescent="0.25">
      <c r="C5467" s="1"/>
    </row>
    <row r="5468" spans="3:3" x14ac:dyDescent="0.25">
      <c r="C5468" s="1"/>
    </row>
    <row r="5469" spans="3:3" x14ac:dyDescent="0.25">
      <c r="C5469" s="1"/>
    </row>
    <row r="5470" spans="3:3" x14ac:dyDescent="0.25">
      <c r="C5470" s="1"/>
    </row>
    <row r="5471" spans="3:3" x14ac:dyDescent="0.25">
      <c r="C5471" s="1"/>
    </row>
    <row r="5472" spans="3:3" x14ac:dyDescent="0.25">
      <c r="C5472" s="1"/>
    </row>
    <row r="5473" spans="3:3" x14ac:dyDescent="0.25">
      <c r="C5473" s="1"/>
    </row>
    <row r="5474" spans="3:3" x14ac:dyDescent="0.25">
      <c r="C5474" s="1"/>
    </row>
    <row r="5475" spans="3:3" x14ac:dyDescent="0.25">
      <c r="C5475" s="1"/>
    </row>
    <row r="5476" spans="3:3" x14ac:dyDescent="0.25">
      <c r="C5476" s="1"/>
    </row>
    <row r="5477" spans="3:3" x14ac:dyDescent="0.25">
      <c r="C5477" s="1"/>
    </row>
    <row r="5478" spans="3:3" x14ac:dyDescent="0.25">
      <c r="C5478" s="1"/>
    </row>
    <row r="5479" spans="3:3" x14ac:dyDescent="0.25">
      <c r="C5479" s="1"/>
    </row>
    <row r="5480" spans="3:3" x14ac:dyDescent="0.25">
      <c r="C5480" s="1"/>
    </row>
    <row r="5481" spans="3:3" x14ac:dyDescent="0.25">
      <c r="C5481" s="1"/>
    </row>
    <row r="5482" spans="3:3" x14ac:dyDescent="0.25">
      <c r="C5482" s="1"/>
    </row>
    <row r="5483" spans="3:3" x14ac:dyDescent="0.25">
      <c r="C5483" s="1"/>
    </row>
    <row r="5484" spans="3:3" x14ac:dyDescent="0.25">
      <c r="C5484" s="1"/>
    </row>
    <row r="5485" spans="3:3" x14ac:dyDescent="0.25">
      <c r="C5485" s="1"/>
    </row>
    <row r="5486" spans="3:3" x14ac:dyDescent="0.25">
      <c r="C5486" s="1"/>
    </row>
    <row r="5487" spans="3:3" x14ac:dyDescent="0.25">
      <c r="C5487" s="1"/>
    </row>
    <row r="5488" spans="3:3" x14ac:dyDescent="0.25">
      <c r="C5488" s="1"/>
    </row>
    <row r="5489" spans="3:3" x14ac:dyDescent="0.25">
      <c r="C5489" s="1"/>
    </row>
    <row r="5490" spans="3:3" x14ac:dyDescent="0.25">
      <c r="C5490" s="1"/>
    </row>
    <row r="5491" spans="3:3" x14ac:dyDescent="0.25">
      <c r="C5491" s="1"/>
    </row>
    <row r="5492" spans="3:3" x14ac:dyDescent="0.25">
      <c r="C5492" s="1"/>
    </row>
    <row r="5493" spans="3:3" x14ac:dyDescent="0.25">
      <c r="C5493" s="1"/>
    </row>
    <row r="5494" spans="3:3" x14ac:dyDescent="0.25">
      <c r="C5494" s="1"/>
    </row>
    <row r="5495" spans="3:3" x14ac:dyDescent="0.25">
      <c r="C5495" s="1"/>
    </row>
    <row r="5496" spans="3:3" x14ac:dyDescent="0.25">
      <c r="C5496" s="1"/>
    </row>
    <row r="5497" spans="3:3" x14ac:dyDescent="0.25">
      <c r="C5497" s="1"/>
    </row>
    <row r="5498" spans="3:3" x14ac:dyDescent="0.25">
      <c r="C5498" s="1"/>
    </row>
    <row r="5499" spans="3:3" x14ac:dyDescent="0.25">
      <c r="C5499" s="1"/>
    </row>
    <row r="5500" spans="3:3" x14ac:dyDescent="0.25">
      <c r="C5500" s="1"/>
    </row>
    <row r="5501" spans="3:3" x14ac:dyDescent="0.25">
      <c r="C5501" s="1"/>
    </row>
    <row r="5502" spans="3:3" x14ac:dyDescent="0.25">
      <c r="C5502" s="1"/>
    </row>
    <row r="5503" spans="3:3" x14ac:dyDescent="0.25">
      <c r="C5503" s="1"/>
    </row>
    <row r="5504" spans="3:3" x14ac:dyDescent="0.25">
      <c r="C5504" s="1"/>
    </row>
    <row r="5505" spans="3:3" x14ac:dyDescent="0.25">
      <c r="C5505" s="1"/>
    </row>
    <row r="5506" spans="3:3" x14ac:dyDescent="0.25">
      <c r="C5506" s="1"/>
    </row>
    <row r="5507" spans="3:3" x14ac:dyDescent="0.25">
      <c r="C5507" s="1"/>
    </row>
    <row r="5508" spans="3:3" x14ac:dyDescent="0.25">
      <c r="C5508" s="1"/>
    </row>
    <row r="5509" spans="3:3" x14ac:dyDescent="0.25">
      <c r="C5509" s="1"/>
    </row>
    <row r="5510" spans="3:3" x14ac:dyDescent="0.25">
      <c r="C5510" s="1"/>
    </row>
    <row r="5511" spans="3:3" x14ac:dyDescent="0.25">
      <c r="C5511" s="1"/>
    </row>
    <row r="5512" spans="3:3" x14ac:dyDescent="0.25">
      <c r="C5512" s="1"/>
    </row>
    <row r="5513" spans="3:3" x14ac:dyDescent="0.25">
      <c r="C5513" s="1"/>
    </row>
    <row r="5514" spans="3:3" x14ac:dyDescent="0.25">
      <c r="C5514" s="1"/>
    </row>
    <row r="5515" spans="3:3" x14ac:dyDescent="0.25">
      <c r="C5515" s="1"/>
    </row>
    <row r="5516" spans="3:3" x14ac:dyDescent="0.25">
      <c r="C5516" s="1"/>
    </row>
    <row r="5517" spans="3:3" x14ac:dyDescent="0.25">
      <c r="C5517" s="1"/>
    </row>
    <row r="5518" spans="3:3" x14ac:dyDescent="0.25">
      <c r="C5518" s="1"/>
    </row>
    <row r="5519" spans="3:3" x14ac:dyDescent="0.25">
      <c r="C5519" s="1"/>
    </row>
    <row r="5520" spans="3:3" x14ac:dyDescent="0.25">
      <c r="C5520" s="1"/>
    </row>
    <row r="5521" spans="3:3" x14ac:dyDescent="0.25">
      <c r="C5521" s="1"/>
    </row>
    <row r="5522" spans="3:3" x14ac:dyDescent="0.25">
      <c r="C5522" s="1"/>
    </row>
    <row r="5523" spans="3:3" x14ac:dyDescent="0.25">
      <c r="C5523" s="1"/>
    </row>
    <row r="5524" spans="3:3" x14ac:dyDescent="0.25">
      <c r="C5524" s="1"/>
    </row>
    <row r="5525" spans="3:3" x14ac:dyDescent="0.25">
      <c r="C5525" s="1"/>
    </row>
    <row r="5526" spans="3:3" x14ac:dyDescent="0.25">
      <c r="C5526" s="1"/>
    </row>
    <row r="5527" spans="3:3" x14ac:dyDescent="0.25">
      <c r="C5527" s="1"/>
    </row>
    <row r="5528" spans="3:3" x14ac:dyDescent="0.25">
      <c r="C5528" s="1"/>
    </row>
    <row r="5529" spans="3:3" x14ac:dyDescent="0.25">
      <c r="C5529" s="1"/>
    </row>
    <row r="5530" spans="3:3" x14ac:dyDescent="0.25">
      <c r="C5530" s="1"/>
    </row>
    <row r="5531" spans="3:3" x14ac:dyDescent="0.25">
      <c r="C5531" s="1"/>
    </row>
    <row r="5532" spans="3:3" x14ac:dyDescent="0.25">
      <c r="C5532" s="1"/>
    </row>
    <row r="5533" spans="3:3" x14ac:dyDescent="0.25">
      <c r="C5533" s="1"/>
    </row>
    <row r="5534" spans="3:3" x14ac:dyDescent="0.25">
      <c r="C5534" s="1"/>
    </row>
    <row r="5535" spans="3:3" x14ac:dyDescent="0.25">
      <c r="C5535" s="1"/>
    </row>
    <row r="5536" spans="3:3" x14ac:dyDescent="0.25">
      <c r="C5536" s="1"/>
    </row>
    <row r="5537" spans="3:3" x14ac:dyDescent="0.25">
      <c r="C5537" s="1"/>
    </row>
    <row r="5538" spans="3:3" x14ac:dyDescent="0.25">
      <c r="C5538" s="1"/>
    </row>
    <row r="5539" spans="3:3" x14ac:dyDescent="0.25">
      <c r="C5539" s="1"/>
    </row>
    <row r="5540" spans="3:3" x14ac:dyDescent="0.25">
      <c r="C5540" s="1"/>
    </row>
    <row r="5541" spans="3:3" x14ac:dyDescent="0.25">
      <c r="C5541" s="1"/>
    </row>
    <row r="5542" spans="3:3" x14ac:dyDescent="0.25">
      <c r="C5542" s="1"/>
    </row>
    <row r="5543" spans="3:3" x14ac:dyDescent="0.25">
      <c r="C5543" s="1"/>
    </row>
    <row r="5544" spans="3:3" x14ac:dyDescent="0.25">
      <c r="C5544" s="1"/>
    </row>
    <row r="5545" spans="3:3" x14ac:dyDescent="0.25">
      <c r="C5545" s="1"/>
    </row>
    <row r="5546" spans="3:3" x14ac:dyDescent="0.25">
      <c r="C5546" s="1"/>
    </row>
    <row r="5547" spans="3:3" x14ac:dyDescent="0.25">
      <c r="C5547" s="1"/>
    </row>
    <row r="5548" spans="3:3" x14ac:dyDescent="0.25">
      <c r="C5548" s="1"/>
    </row>
    <row r="5549" spans="3:3" x14ac:dyDescent="0.25">
      <c r="C5549" s="1"/>
    </row>
    <row r="5550" spans="3:3" x14ac:dyDescent="0.25">
      <c r="C5550" s="1"/>
    </row>
    <row r="5551" spans="3:3" x14ac:dyDescent="0.25">
      <c r="C5551" s="1"/>
    </row>
    <row r="5552" spans="3:3" x14ac:dyDescent="0.25">
      <c r="C5552" s="1"/>
    </row>
    <row r="5553" spans="3:3" x14ac:dyDescent="0.25">
      <c r="C5553" s="1"/>
    </row>
    <row r="5554" spans="3:3" x14ac:dyDescent="0.25">
      <c r="C5554" s="1"/>
    </row>
    <row r="5555" spans="3:3" x14ac:dyDescent="0.25">
      <c r="C5555" s="1"/>
    </row>
    <row r="5556" spans="3:3" x14ac:dyDescent="0.25">
      <c r="C5556" s="1"/>
    </row>
    <row r="5557" spans="3:3" x14ac:dyDescent="0.25">
      <c r="C5557" s="1"/>
    </row>
    <row r="5558" spans="3:3" x14ac:dyDescent="0.25">
      <c r="C5558" s="1"/>
    </row>
    <row r="5559" spans="3:3" x14ac:dyDescent="0.25">
      <c r="C5559" s="1"/>
    </row>
    <row r="5560" spans="3:3" x14ac:dyDescent="0.25">
      <c r="C5560" s="1"/>
    </row>
    <row r="5561" spans="3:3" x14ac:dyDescent="0.25">
      <c r="C5561" s="1"/>
    </row>
    <row r="5562" spans="3:3" x14ac:dyDescent="0.25">
      <c r="C5562" s="1"/>
    </row>
    <row r="5563" spans="3:3" x14ac:dyDescent="0.25">
      <c r="C5563" s="1"/>
    </row>
    <row r="5564" spans="3:3" x14ac:dyDescent="0.25">
      <c r="C5564" s="1"/>
    </row>
    <row r="5565" spans="3:3" x14ac:dyDescent="0.25">
      <c r="C5565" s="1"/>
    </row>
    <row r="5566" spans="3:3" x14ac:dyDescent="0.25">
      <c r="C5566" s="1"/>
    </row>
    <row r="5567" spans="3:3" x14ac:dyDescent="0.25">
      <c r="C5567" s="1"/>
    </row>
    <row r="5568" spans="3:3" x14ac:dyDescent="0.25">
      <c r="C5568" s="1"/>
    </row>
    <row r="5569" spans="3:3" x14ac:dyDescent="0.25">
      <c r="C5569" s="1"/>
    </row>
    <row r="5570" spans="3:3" x14ac:dyDescent="0.25">
      <c r="C5570" s="1"/>
    </row>
    <row r="5571" spans="3:3" x14ac:dyDescent="0.25">
      <c r="C5571" s="1"/>
    </row>
    <row r="5572" spans="3:3" x14ac:dyDescent="0.25">
      <c r="C5572" s="1"/>
    </row>
    <row r="5573" spans="3:3" x14ac:dyDescent="0.25">
      <c r="C5573" s="1"/>
    </row>
    <row r="5574" spans="3:3" x14ac:dyDescent="0.25">
      <c r="C5574" s="1"/>
    </row>
    <row r="5575" spans="3:3" x14ac:dyDescent="0.25">
      <c r="C5575" s="1"/>
    </row>
    <row r="5576" spans="3:3" x14ac:dyDescent="0.25">
      <c r="C5576" s="1"/>
    </row>
    <row r="5577" spans="3:3" x14ac:dyDescent="0.25">
      <c r="C5577" s="1"/>
    </row>
    <row r="5578" spans="3:3" x14ac:dyDescent="0.25">
      <c r="C5578" s="1"/>
    </row>
    <row r="5579" spans="3:3" x14ac:dyDescent="0.25">
      <c r="C5579" s="1"/>
    </row>
    <row r="5580" spans="3:3" x14ac:dyDescent="0.25">
      <c r="C5580" s="1"/>
    </row>
    <row r="5581" spans="3:3" x14ac:dyDescent="0.25">
      <c r="C5581" s="1"/>
    </row>
    <row r="5582" spans="3:3" x14ac:dyDescent="0.25">
      <c r="C5582" s="1"/>
    </row>
    <row r="5583" spans="3:3" x14ac:dyDescent="0.25">
      <c r="C5583" s="1"/>
    </row>
    <row r="5584" spans="3:3" x14ac:dyDescent="0.25">
      <c r="C5584" s="1"/>
    </row>
    <row r="5585" spans="3:3" x14ac:dyDescent="0.25">
      <c r="C5585" s="1"/>
    </row>
    <row r="5586" spans="3:3" x14ac:dyDescent="0.25">
      <c r="C5586" s="1"/>
    </row>
    <row r="5587" spans="3:3" x14ac:dyDescent="0.25">
      <c r="C5587" s="1"/>
    </row>
    <row r="5588" spans="3:3" x14ac:dyDescent="0.25">
      <c r="C5588" s="1"/>
    </row>
    <row r="5589" spans="3:3" x14ac:dyDescent="0.25">
      <c r="C5589" s="1"/>
    </row>
    <row r="5590" spans="3:3" x14ac:dyDescent="0.25">
      <c r="C5590" s="1"/>
    </row>
    <row r="5591" spans="3:3" x14ac:dyDescent="0.25">
      <c r="C5591" s="1"/>
    </row>
    <row r="5592" spans="3:3" x14ac:dyDescent="0.25">
      <c r="C5592" s="1"/>
    </row>
    <row r="5593" spans="3:3" x14ac:dyDescent="0.25">
      <c r="C5593" s="1"/>
    </row>
    <row r="5594" spans="3:3" x14ac:dyDescent="0.25">
      <c r="C5594" s="1"/>
    </row>
    <row r="5595" spans="3:3" x14ac:dyDescent="0.25">
      <c r="C5595" s="1"/>
    </row>
    <row r="5596" spans="3:3" x14ac:dyDescent="0.25">
      <c r="C5596" s="1"/>
    </row>
    <row r="5597" spans="3:3" x14ac:dyDescent="0.25">
      <c r="C5597" s="1"/>
    </row>
    <row r="5598" spans="3:3" x14ac:dyDescent="0.25">
      <c r="C5598" s="1"/>
    </row>
    <row r="5599" spans="3:3" x14ac:dyDescent="0.25">
      <c r="C5599" s="1"/>
    </row>
    <row r="5600" spans="3:3" x14ac:dyDescent="0.25">
      <c r="C5600" s="1"/>
    </row>
    <row r="5601" spans="3:3" x14ac:dyDescent="0.25">
      <c r="C5601" s="1"/>
    </row>
    <row r="5602" spans="3:3" x14ac:dyDescent="0.25">
      <c r="C5602" s="1"/>
    </row>
    <row r="5603" spans="3:3" x14ac:dyDescent="0.25">
      <c r="C5603" s="1"/>
    </row>
    <row r="5604" spans="3:3" x14ac:dyDescent="0.25">
      <c r="C5604" s="1"/>
    </row>
    <row r="5605" spans="3:3" x14ac:dyDescent="0.25">
      <c r="C5605" s="1"/>
    </row>
    <row r="5606" spans="3:3" x14ac:dyDescent="0.25">
      <c r="C5606" s="1"/>
    </row>
    <row r="5607" spans="3:3" x14ac:dyDescent="0.25">
      <c r="C5607" s="1"/>
    </row>
    <row r="5608" spans="3:3" x14ac:dyDescent="0.25">
      <c r="C5608" s="1"/>
    </row>
    <row r="5609" spans="3:3" x14ac:dyDescent="0.25">
      <c r="C5609" s="1"/>
    </row>
    <row r="5610" spans="3:3" x14ac:dyDescent="0.25">
      <c r="C5610" s="1"/>
    </row>
    <row r="5611" spans="3:3" x14ac:dyDescent="0.25">
      <c r="C5611" s="1"/>
    </row>
    <row r="5612" spans="3:3" x14ac:dyDescent="0.25">
      <c r="C5612" s="1"/>
    </row>
    <row r="5613" spans="3:3" x14ac:dyDescent="0.25">
      <c r="C5613" s="1"/>
    </row>
    <row r="5614" spans="3:3" x14ac:dyDescent="0.25">
      <c r="C5614" s="1"/>
    </row>
    <row r="5615" spans="3:3" x14ac:dyDescent="0.25">
      <c r="C5615" s="1"/>
    </row>
    <row r="5616" spans="3:3" x14ac:dyDescent="0.25">
      <c r="C5616" s="1"/>
    </row>
    <row r="5617" spans="3:3" x14ac:dyDescent="0.25">
      <c r="C5617" s="1"/>
    </row>
    <row r="5618" spans="3:3" x14ac:dyDescent="0.25">
      <c r="C5618" s="1"/>
    </row>
    <row r="5619" spans="3:3" x14ac:dyDescent="0.25">
      <c r="C5619" s="1"/>
    </row>
    <row r="5620" spans="3:3" x14ac:dyDescent="0.25">
      <c r="C5620" s="1"/>
    </row>
    <row r="5621" spans="3:3" x14ac:dyDescent="0.25">
      <c r="C5621" s="1"/>
    </row>
    <row r="5622" spans="3:3" x14ac:dyDescent="0.25">
      <c r="C5622" s="1"/>
    </row>
    <row r="5623" spans="3:3" x14ac:dyDescent="0.25">
      <c r="C5623" s="1"/>
    </row>
    <row r="5624" spans="3:3" x14ac:dyDescent="0.25">
      <c r="C5624" s="1"/>
    </row>
    <row r="5625" spans="3:3" x14ac:dyDescent="0.25">
      <c r="C5625" s="1"/>
    </row>
    <row r="5626" spans="3:3" x14ac:dyDescent="0.25">
      <c r="C5626" s="1"/>
    </row>
    <row r="5627" spans="3:3" x14ac:dyDescent="0.25">
      <c r="C5627" s="1"/>
    </row>
    <row r="5628" spans="3:3" x14ac:dyDescent="0.25">
      <c r="C5628" s="1"/>
    </row>
    <row r="5629" spans="3:3" x14ac:dyDescent="0.25">
      <c r="C5629" s="1"/>
    </row>
    <row r="5630" spans="3:3" x14ac:dyDescent="0.25">
      <c r="C5630" s="1"/>
    </row>
    <row r="5631" spans="3:3" x14ac:dyDescent="0.25">
      <c r="C5631" s="1"/>
    </row>
    <row r="5632" spans="3:3" x14ac:dyDescent="0.25">
      <c r="C5632" s="1"/>
    </row>
    <row r="5633" spans="3:3" x14ac:dyDescent="0.25">
      <c r="C5633" s="1"/>
    </row>
    <row r="5634" spans="3:3" x14ac:dyDescent="0.25">
      <c r="C5634" s="1"/>
    </row>
    <row r="5635" spans="3:3" x14ac:dyDescent="0.25">
      <c r="C5635" s="1"/>
    </row>
    <row r="5636" spans="3:3" x14ac:dyDescent="0.25">
      <c r="C5636" s="1"/>
    </row>
    <row r="5637" spans="3:3" x14ac:dyDescent="0.25">
      <c r="C5637" s="1"/>
    </row>
    <row r="5638" spans="3:3" x14ac:dyDescent="0.25">
      <c r="C5638" s="1"/>
    </row>
    <row r="5639" spans="3:3" x14ac:dyDescent="0.25">
      <c r="C5639" s="1"/>
    </row>
    <row r="5640" spans="3:3" x14ac:dyDescent="0.25">
      <c r="C5640" s="1"/>
    </row>
    <row r="5641" spans="3:3" x14ac:dyDescent="0.25">
      <c r="C5641" s="1"/>
    </row>
    <row r="5642" spans="3:3" x14ac:dyDescent="0.25">
      <c r="C5642" s="1"/>
    </row>
    <row r="5643" spans="3:3" x14ac:dyDescent="0.25">
      <c r="C5643" s="1"/>
    </row>
    <row r="5644" spans="3:3" x14ac:dyDescent="0.25">
      <c r="C5644" s="1"/>
    </row>
    <row r="5645" spans="3:3" x14ac:dyDescent="0.25">
      <c r="C5645" s="1"/>
    </row>
    <row r="5646" spans="3:3" x14ac:dyDescent="0.25">
      <c r="C5646" s="1"/>
    </row>
    <row r="5647" spans="3:3" x14ac:dyDescent="0.25">
      <c r="C5647" s="1"/>
    </row>
    <row r="5648" spans="3:3" x14ac:dyDescent="0.25">
      <c r="C5648" s="1"/>
    </row>
    <row r="5649" spans="3:3" x14ac:dyDescent="0.25">
      <c r="C5649" s="1"/>
    </row>
    <row r="5650" spans="3:3" x14ac:dyDescent="0.25">
      <c r="C5650" s="1"/>
    </row>
    <row r="5651" spans="3:3" x14ac:dyDescent="0.25">
      <c r="C5651" s="1"/>
    </row>
    <row r="5652" spans="3:3" x14ac:dyDescent="0.25">
      <c r="C5652" s="1"/>
    </row>
    <row r="5653" spans="3:3" x14ac:dyDescent="0.25">
      <c r="C5653" s="1"/>
    </row>
    <row r="5654" spans="3:3" x14ac:dyDescent="0.25">
      <c r="C5654" s="1"/>
    </row>
    <row r="5655" spans="3:3" x14ac:dyDescent="0.25">
      <c r="C5655" s="1"/>
    </row>
    <row r="5656" spans="3:3" x14ac:dyDescent="0.25">
      <c r="C5656" s="1"/>
    </row>
    <row r="5657" spans="3:3" x14ac:dyDescent="0.25">
      <c r="C5657" s="1"/>
    </row>
    <row r="5658" spans="3:3" x14ac:dyDescent="0.25">
      <c r="C5658" s="1"/>
    </row>
    <row r="5659" spans="3:3" x14ac:dyDescent="0.25">
      <c r="C5659" s="1"/>
    </row>
    <row r="5660" spans="3:3" x14ac:dyDescent="0.25">
      <c r="C5660" s="1"/>
    </row>
    <row r="5661" spans="3:3" x14ac:dyDescent="0.25">
      <c r="C5661" s="1"/>
    </row>
    <row r="5662" spans="3:3" x14ac:dyDescent="0.25">
      <c r="C5662" s="1"/>
    </row>
    <row r="5663" spans="3:3" x14ac:dyDescent="0.25">
      <c r="C5663" s="1"/>
    </row>
    <row r="5664" spans="3:3" x14ac:dyDescent="0.25">
      <c r="C5664" s="1"/>
    </row>
    <row r="5665" spans="3:3" x14ac:dyDescent="0.25">
      <c r="C5665" s="1"/>
    </row>
    <row r="5666" spans="3:3" x14ac:dyDescent="0.25">
      <c r="C5666" s="1"/>
    </row>
    <row r="5667" spans="3:3" x14ac:dyDescent="0.25">
      <c r="C5667" s="1"/>
    </row>
    <row r="5668" spans="3:3" x14ac:dyDescent="0.25">
      <c r="C5668" s="1"/>
    </row>
    <row r="5669" spans="3:3" x14ac:dyDescent="0.25">
      <c r="C5669" s="1"/>
    </row>
    <row r="5670" spans="3:3" x14ac:dyDescent="0.25">
      <c r="C5670" s="1"/>
    </row>
    <row r="5671" spans="3:3" x14ac:dyDescent="0.25">
      <c r="C5671" s="1"/>
    </row>
    <row r="5672" spans="3:3" x14ac:dyDescent="0.25">
      <c r="C5672" s="1"/>
    </row>
    <row r="5673" spans="3:3" x14ac:dyDescent="0.25">
      <c r="C5673" s="1"/>
    </row>
    <row r="5674" spans="3:3" x14ac:dyDescent="0.25">
      <c r="C5674" s="1"/>
    </row>
    <row r="5675" spans="3:3" x14ac:dyDescent="0.25">
      <c r="C5675" s="1"/>
    </row>
    <row r="5676" spans="3:3" x14ac:dyDescent="0.25">
      <c r="C5676" s="1"/>
    </row>
    <row r="5677" spans="3:3" x14ac:dyDescent="0.25">
      <c r="C5677" s="1"/>
    </row>
    <row r="5678" spans="3:3" x14ac:dyDescent="0.25">
      <c r="C5678" s="1"/>
    </row>
    <row r="5679" spans="3:3" x14ac:dyDescent="0.25">
      <c r="C5679" s="1"/>
    </row>
    <row r="5680" spans="3:3" x14ac:dyDescent="0.25">
      <c r="C5680" s="1"/>
    </row>
    <row r="5681" spans="3:3" x14ac:dyDescent="0.25">
      <c r="C5681" s="1"/>
    </row>
    <row r="5682" spans="3:3" x14ac:dyDescent="0.25">
      <c r="C5682" s="1"/>
    </row>
    <row r="5683" spans="3:3" x14ac:dyDescent="0.25">
      <c r="C5683" s="1"/>
    </row>
    <row r="5684" spans="3:3" x14ac:dyDescent="0.25">
      <c r="C5684" s="1"/>
    </row>
    <row r="5685" spans="3:3" x14ac:dyDescent="0.25">
      <c r="C5685" s="1"/>
    </row>
    <row r="5686" spans="3:3" x14ac:dyDescent="0.25">
      <c r="C5686" s="1"/>
    </row>
    <row r="5687" spans="3:3" x14ac:dyDescent="0.25">
      <c r="C5687" s="1"/>
    </row>
    <row r="5688" spans="3:3" x14ac:dyDescent="0.25">
      <c r="C5688" s="1"/>
    </row>
    <row r="5689" spans="3:3" x14ac:dyDescent="0.25">
      <c r="C5689" s="1"/>
    </row>
    <row r="5690" spans="3:3" x14ac:dyDescent="0.25">
      <c r="C5690" s="1"/>
    </row>
    <row r="5691" spans="3:3" x14ac:dyDescent="0.25">
      <c r="C5691" s="1"/>
    </row>
    <row r="5692" spans="3:3" x14ac:dyDescent="0.25">
      <c r="C5692" s="1"/>
    </row>
    <row r="5693" spans="3:3" x14ac:dyDescent="0.25">
      <c r="C5693" s="1"/>
    </row>
    <row r="5694" spans="3:3" x14ac:dyDescent="0.25">
      <c r="C5694" s="1"/>
    </row>
    <row r="5695" spans="3:3" x14ac:dyDescent="0.25">
      <c r="C5695" s="1"/>
    </row>
    <row r="5696" spans="3:3" x14ac:dyDescent="0.25">
      <c r="C5696" s="1"/>
    </row>
    <row r="5697" spans="3:3" x14ac:dyDescent="0.25">
      <c r="C5697" s="1"/>
    </row>
    <row r="5698" spans="3:3" x14ac:dyDescent="0.25">
      <c r="C5698" s="1"/>
    </row>
    <row r="5699" spans="3:3" x14ac:dyDescent="0.25">
      <c r="C5699" s="1"/>
    </row>
    <row r="5700" spans="3:3" x14ac:dyDescent="0.25">
      <c r="C5700" s="1"/>
    </row>
    <row r="5701" spans="3:3" x14ac:dyDescent="0.25">
      <c r="C5701" s="1"/>
    </row>
    <row r="5702" spans="3:3" x14ac:dyDescent="0.25">
      <c r="C5702" s="1"/>
    </row>
    <row r="5703" spans="3:3" x14ac:dyDescent="0.25">
      <c r="C5703" s="1"/>
    </row>
    <row r="5704" spans="3:3" x14ac:dyDescent="0.25">
      <c r="C5704" s="1"/>
    </row>
    <row r="5705" spans="3:3" x14ac:dyDescent="0.25">
      <c r="C5705" s="1"/>
    </row>
    <row r="5706" spans="3:3" x14ac:dyDescent="0.25">
      <c r="C5706" s="1"/>
    </row>
    <row r="5707" spans="3:3" x14ac:dyDescent="0.25">
      <c r="C5707" s="1"/>
    </row>
    <row r="5708" spans="3:3" x14ac:dyDescent="0.25">
      <c r="C5708" s="1"/>
    </row>
    <row r="5709" spans="3:3" x14ac:dyDescent="0.25">
      <c r="C5709" s="1"/>
    </row>
    <row r="5710" spans="3:3" x14ac:dyDescent="0.25">
      <c r="C5710" s="1"/>
    </row>
    <row r="5711" spans="3:3" x14ac:dyDescent="0.25">
      <c r="C5711" s="1"/>
    </row>
    <row r="5712" spans="3:3" x14ac:dyDescent="0.25">
      <c r="C5712" s="1"/>
    </row>
    <row r="5713" spans="3:3" x14ac:dyDescent="0.25">
      <c r="C5713" s="1"/>
    </row>
    <row r="5714" spans="3:3" x14ac:dyDescent="0.25">
      <c r="C5714" s="1"/>
    </row>
    <row r="5715" spans="3:3" x14ac:dyDescent="0.25">
      <c r="C5715" s="1"/>
    </row>
    <row r="5716" spans="3:3" x14ac:dyDescent="0.25">
      <c r="C5716" s="1"/>
    </row>
    <row r="5717" spans="3:3" x14ac:dyDescent="0.25">
      <c r="C5717" s="1"/>
    </row>
    <row r="5718" spans="3:3" x14ac:dyDescent="0.25">
      <c r="C5718" s="1"/>
    </row>
    <row r="5719" spans="3:3" x14ac:dyDescent="0.25">
      <c r="C5719" s="1"/>
    </row>
    <row r="5720" spans="3:3" x14ac:dyDescent="0.25">
      <c r="C5720" s="1"/>
    </row>
    <row r="5721" spans="3:3" x14ac:dyDescent="0.25">
      <c r="C5721" s="1"/>
    </row>
    <row r="5722" spans="3:3" x14ac:dyDescent="0.25">
      <c r="C5722" s="1"/>
    </row>
    <row r="5723" spans="3:3" x14ac:dyDescent="0.25">
      <c r="C5723" s="1"/>
    </row>
    <row r="5724" spans="3:3" x14ac:dyDescent="0.25">
      <c r="C5724" s="1"/>
    </row>
    <row r="5725" spans="3:3" x14ac:dyDescent="0.25">
      <c r="C5725" s="1"/>
    </row>
    <row r="5726" spans="3:3" x14ac:dyDescent="0.25">
      <c r="C5726" s="1"/>
    </row>
    <row r="5727" spans="3:3" x14ac:dyDescent="0.25">
      <c r="C5727" s="1"/>
    </row>
    <row r="5728" spans="3:3" x14ac:dyDescent="0.25">
      <c r="C5728" s="1"/>
    </row>
    <row r="5729" spans="3:3" x14ac:dyDescent="0.25">
      <c r="C5729" s="1"/>
    </row>
    <row r="5730" spans="3:3" x14ac:dyDescent="0.25">
      <c r="C5730" s="1"/>
    </row>
    <row r="5731" spans="3:3" x14ac:dyDescent="0.25">
      <c r="C5731" s="1"/>
    </row>
    <row r="5732" spans="3:3" x14ac:dyDescent="0.25">
      <c r="C5732" s="1"/>
    </row>
    <row r="5733" spans="3:3" x14ac:dyDescent="0.25">
      <c r="C5733" s="1"/>
    </row>
    <row r="5734" spans="3:3" x14ac:dyDescent="0.25">
      <c r="C5734" s="1"/>
    </row>
    <row r="5735" spans="3:3" x14ac:dyDescent="0.25">
      <c r="C5735" s="1"/>
    </row>
    <row r="5736" spans="3:3" x14ac:dyDescent="0.25">
      <c r="C5736" s="1"/>
    </row>
    <row r="5737" spans="3:3" x14ac:dyDescent="0.25">
      <c r="C5737" s="1"/>
    </row>
    <row r="5738" spans="3:3" x14ac:dyDescent="0.25">
      <c r="C5738" s="1"/>
    </row>
    <row r="5739" spans="3:3" x14ac:dyDescent="0.25">
      <c r="C5739" s="1"/>
    </row>
    <row r="5740" spans="3:3" x14ac:dyDescent="0.25">
      <c r="C5740" s="1"/>
    </row>
    <row r="5741" spans="3:3" x14ac:dyDescent="0.25">
      <c r="C5741" s="1"/>
    </row>
    <row r="5742" spans="3:3" x14ac:dyDescent="0.25">
      <c r="C5742" s="1"/>
    </row>
    <row r="5743" spans="3:3" x14ac:dyDescent="0.25">
      <c r="C5743" s="1"/>
    </row>
    <row r="5744" spans="3:3" x14ac:dyDescent="0.25">
      <c r="C5744" s="1"/>
    </row>
    <row r="5745" spans="3:3" x14ac:dyDescent="0.25">
      <c r="C5745" s="1"/>
    </row>
    <row r="5746" spans="3:3" x14ac:dyDescent="0.25">
      <c r="C5746" s="1"/>
    </row>
    <row r="5747" spans="3:3" x14ac:dyDescent="0.25">
      <c r="C5747" s="1"/>
    </row>
    <row r="5748" spans="3:3" x14ac:dyDescent="0.25">
      <c r="C5748" s="1"/>
    </row>
    <row r="5749" spans="3:3" x14ac:dyDescent="0.25">
      <c r="C5749" s="1"/>
    </row>
    <row r="5750" spans="3:3" x14ac:dyDescent="0.25">
      <c r="C5750" s="1"/>
    </row>
    <row r="5751" spans="3:3" x14ac:dyDescent="0.25">
      <c r="C5751" s="1"/>
    </row>
    <row r="5752" spans="3:3" x14ac:dyDescent="0.25">
      <c r="C5752" s="1"/>
    </row>
    <row r="5753" spans="3:3" x14ac:dyDescent="0.25">
      <c r="C5753" s="1"/>
    </row>
    <row r="5754" spans="3:3" x14ac:dyDescent="0.25">
      <c r="C5754" s="1"/>
    </row>
    <row r="5755" spans="3:3" x14ac:dyDescent="0.25">
      <c r="C5755" s="1"/>
    </row>
    <row r="5756" spans="3:3" x14ac:dyDescent="0.25">
      <c r="C5756" s="1"/>
    </row>
    <row r="5757" spans="3:3" x14ac:dyDescent="0.25">
      <c r="C5757" s="1"/>
    </row>
    <row r="5758" spans="3:3" x14ac:dyDescent="0.25">
      <c r="C5758" s="1"/>
    </row>
    <row r="5759" spans="3:3" x14ac:dyDescent="0.25">
      <c r="C5759" s="1"/>
    </row>
    <row r="5760" spans="3:3" x14ac:dyDescent="0.25">
      <c r="C5760" s="1"/>
    </row>
    <row r="5761" spans="3:3" x14ac:dyDescent="0.25">
      <c r="C5761" s="1"/>
    </row>
    <row r="5762" spans="3:3" x14ac:dyDescent="0.25">
      <c r="C5762" s="1"/>
    </row>
    <row r="5763" spans="3:3" x14ac:dyDescent="0.25">
      <c r="C5763" s="1"/>
    </row>
    <row r="5764" spans="3:3" x14ac:dyDescent="0.25">
      <c r="C5764" s="1"/>
    </row>
    <row r="5765" spans="3:3" x14ac:dyDescent="0.25">
      <c r="C5765" s="1"/>
    </row>
    <row r="5766" spans="3:3" x14ac:dyDescent="0.25">
      <c r="C5766" s="1"/>
    </row>
    <row r="5767" spans="3:3" x14ac:dyDescent="0.25">
      <c r="C5767" s="1"/>
    </row>
    <row r="5768" spans="3:3" x14ac:dyDescent="0.25">
      <c r="C5768" s="1"/>
    </row>
    <row r="5769" spans="3:3" x14ac:dyDescent="0.25">
      <c r="C5769" s="1"/>
    </row>
    <row r="5770" spans="3:3" x14ac:dyDescent="0.25">
      <c r="C5770" s="1"/>
    </row>
    <row r="5771" spans="3:3" x14ac:dyDescent="0.25">
      <c r="C5771" s="1"/>
    </row>
    <row r="5772" spans="3:3" x14ac:dyDescent="0.25">
      <c r="C5772" s="1"/>
    </row>
    <row r="5773" spans="3:3" x14ac:dyDescent="0.25">
      <c r="C5773" s="1"/>
    </row>
    <row r="5774" spans="3:3" x14ac:dyDescent="0.25">
      <c r="C5774" s="1"/>
    </row>
    <row r="5775" spans="3:3" x14ac:dyDescent="0.25">
      <c r="C5775" s="1"/>
    </row>
    <row r="5776" spans="3:3" x14ac:dyDescent="0.25">
      <c r="C5776" s="1"/>
    </row>
    <row r="5777" spans="3:3" x14ac:dyDescent="0.25">
      <c r="C5777" s="1"/>
    </row>
    <row r="5778" spans="3:3" x14ac:dyDescent="0.25">
      <c r="C5778" s="1"/>
    </row>
    <row r="5779" spans="3:3" x14ac:dyDescent="0.25">
      <c r="C5779" s="1"/>
    </row>
    <row r="5780" spans="3:3" x14ac:dyDescent="0.25">
      <c r="C5780" s="1"/>
    </row>
    <row r="5781" spans="3:3" x14ac:dyDescent="0.25">
      <c r="C5781" s="1"/>
    </row>
    <row r="5782" spans="3:3" x14ac:dyDescent="0.25">
      <c r="C5782" s="1"/>
    </row>
    <row r="5783" spans="3:3" x14ac:dyDescent="0.25">
      <c r="C5783" s="1"/>
    </row>
    <row r="5784" spans="3:3" x14ac:dyDescent="0.25">
      <c r="C5784" s="1"/>
    </row>
    <row r="5785" spans="3:3" x14ac:dyDescent="0.25">
      <c r="C5785" s="1"/>
    </row>
    <row r="5786" spans="3:3" x14ac:dyDescent="0.25">
      <c r="C5786" s="1"/>
    </row>
    <row r="5787" spans="3:3" x14ac:dyDescent="0.25">
      <c r="C5787" s="1"/>
    </row>
    <row r="5788" spans="3:3" x14ac:dyDescent="0.25">
      <c r="C5788" s="1"/>
    </row>
    <row r="5789" spans="3:3" x14ac:dyDescent="0.25">
      <c r="C5789" s="1"/>
    </row>
    <row r="5790" spans="3:3" x14ac:dyDescent="0.25">
      <c r="C5790" s="1"/>
    </row>
    <row r="5791" spans="3:3" x14ac:dyDescent="0.25">
      <c r="C5791" s="1"/>
    </row>
    <row r="5792" spans="3:3" x14ac:dyDescent="0.25">
      <c r="C5792" s="1"/>
    </row>
    <row r="5793" spans="3:3" x14ac:dyDescent="0.25">
      <c r="C5793" s="1"/>
    </row>
    <row r="5794" spans="3:3" x14ac:dyDescent="0.25">
      <c r="C5794" s="1"/>
    </row>
    <row r="5795" spans="3:3" x14ac:dyDescent="0.25">
      <c r="C5795" s="1"/>
    </row>
    <row r="5796" spans="3:3" x14ac:dyDescent="0.25">
      <c r="C5796" s="1"/>
    </row>
    <row r="5797" spans="3:3" x14ac:dyDescent="0.25">
      <c r="C5797" s="1"/>
    </row>
    <row r="5798" spans="3:3" x14ac:dyDescent="0.25">
      <c r="C5798" s="1"/>
    </row>
    <row r="5799" spans="3:3" x14ac:dyDescent="0.25">
      <c r="C5799" s="1"/>
    </row>
    <row r="5800" spans="3:3" x14ac:dyDescent="0.25">
      <c r="C5800" s="1"/>
    </row>
    <row r="5801" spans="3:3" x14ac:dyDescent="0.25">
      <c r="C5801" s="1"/>
    </row>
    <row r="5802" spans="3:3" x14ac:dyDescent="0.25">
      <c r="C5802" s="1"/>
    </row>
    <row r="5803" spans="3:3" x14ac:dyDescent="0.25">
      <c r="C5803" s="1"/>
    </row>
    <row r="5804" spans="3:3" x14ac:dyDescent="0.25">
      <c r="C5804" s="1"/>
    </row>
    <row r="5805" spans="3:3" x14ac:dyDescent="0.25">
      <c r="C5805" s="1"/>
    </row>
    <row r="5806" spans="3:3" x14ac:dyDescent="0.25">
      <c r="C5806" s="1"/>
    </row>
    <row r="5807" spans="3:3" x14ac:dyDescent="0.25">
      <c r="C5807" s="1"/>
    </row>
    <row r="5808" spans="3:3" x14ac:dyDescent="0.25">
      <c r="C5808" s="1"/>
    </row>
    <row r="5809" spans="3:3" x14ac:dyDescent="0.25">
      <c r="C5809" s="1"/>
    </row>
    <row r="5810" spans="3:3" x14ac:dyDescent="0.25">
      <c r="C5810" s="1"/>
    </row>
    <row r="5811" spans="3:3" x14ac:dyDescent="0.25">
      <c r="C5811" s="1"/>
    </row>
    <row r="5812" spans="3:3" x14ac:dyDescent="0.25">
      <c r="C5812" s="1"/>
    </row>
    <row r="5813" spans="3:3" x14ac:dyDescent="0.25">
      <c r="C5813" s="1"/>
    </row>
    <row r="5814" spans="3:3" x14ac:dyDescent="0.25">
      <c r="C5814" s="1"/>
    </row>
    <row r="5815" spans="3:3" x14ac:dyDescent="0.25">
      <c r="C5815" s="1"/>
    </row>
    <row r="5816" spans="3:3" x14ac:dyDescent="0.25">
      <c r="C5816" s="1"/>
    </row>
    <row r="5817" spans="3:3" x14ac:dyDescent="0.25">
      <c r="C5817" s="1"/>
    </row>
    <row r="5818" spans="3:3" x14ac:dyDescent="0.25">
      <c r="C5818" s="1"/>
    </row>
    <row r="5819" spans="3:3" x14ac:dyDescent="0.25">
      <c r="C5819" s="1"/>
    </row>
    <row r="5820" spans="3:3" x14ac:dyDescent="0.25">
      <c r="C5820" s="1"/>
    </row>
    <row r="5821" spans="3:3" x14ac:dyDescent="0.25">
      <c r="C5821" s="1"/>
    </row>
    <row r="5822" spans="3:3" x14ac:dyDescent="0.25">
      <c r="C5822" s="1"/>
    </row>
    <row r="5823" spans="3:3" x14ac:dyDescent="0.25">
      <c r="C5823" s="1"/>
    </row>
    <row r="5824" spans="3:3" x14ac:dyDescent="0.25">
      <c r="C5824" s="1"/>
    </row>
    <row r="5825" spans="3:3" x14ac:dyDescent="0.25">
      <c r="C5825" s="1"/>
    </row>
    <row r="5826" spans="3:3" x14ac:dyDescent="0.25">
      <c r="C5826" s="1"/>
    </row>
    <row r="5827" spans="3:3" x14ac:dyDescent="0.25">
      <c r="C5827" s="1"/>
    </row>
    <row r="5828" spans="3:3" x14ac:dyDescent="0.25">
      <c r="C5828" s="1"/>
    </row>
    <row r="5829" spans="3:3" x14ac:dyDescent="0.25">
      <c r="C5829" s="1"/>
    </row>
    <row r="5830" spans="3:3" x14ac:dyDescent="0.25">
      <c r="C5830" s="1"/>
    </row>
    <row r="5831" spans="3:3" x14ac:dyDescent="0.25">
      <c r="C5831" s="1"/>
    </row>
    <row r="5832" spans="3:3" x14ac:dyDescent="0.25">
      <c r="C5832" s="1"/>
    </row>
    <row r="5833" spans="3:3" x14ac:dyDescent="0.25">
      <c r="C5833" s="1"/>
    </row>
    <row r="5834" spans="3:3" x14ac:dyDescent="0.25">
      <c r="C5834" s="1"/>
    </row>
    <row r="5835" spans="3:3" x14ac:dyDescent="0.25">
      <c r="C5835" s="1"/>
    </row>
    <row r="5836" spans="3:3" x14ac:dyDescent="0.25">
      <c r="C5836" s="1"/>
    </row>
    <row r="5837" spans="3:3" x14ac:dyDescent="0.25">
      <c r="C5837" s="1"/>
    </row>
    <row r="5838" spans="3:3" x14ac:dyDescent="0.25">
      <c r="C5838" s="1"/>
    </row>
    <row r="5839" spans="3:3" x14ac:dyDescent="0.25">
      <c r="C5839" s="1"/>
    </row>
    <row r="5840" spans="3:3" x14ac:dyDescent="0.25">
      <c r="C5840" s="1"/>
    </row>
    <row r="5841" spans="3:3" x14ac:dyDescent="0.25">
      <c r="C5841" s="1"/>
    </row>
    <row r="5842" spans="3:3" x14ac:dyDescent="0.25">
      <c r="C5842" s="1"/>
    </row>
    <row r="5843" spans="3:3" x14ac:dyDescent="0.25">
      <c r="C5843" s="1"/>
    </row>
    <row r="5844" spans="3:3" x14ac:dyDescent="0.25">
      <c r="C5844" s="1"/>
    </row>
    <row r="5845" spans="3:3" x14ac:dyDescent="0.25">
      <c r="C5845" s="1"/>
    </row>
    <row r="5846" spans="3:3" x14ac:dyDescent="0.25">
      <c r="C5846" s="1"/>
    </row>
    <row r="5847" spans="3:3" x14ac:dyDescent="0.25">
      <c r="C5847" s="1"/>
    </row>
    <row r="5848" spans="3:3" x14ac:dyDescent="0.25">
      <c r="C5848" s="1"/>
    </row>
    <row r="5849" spans="3:3" x14ac:dyDescent="0.25">
      <c r="C5849" s="1"/>
    </row>
    <row r="5850" spans="3:3" x14ac:dyDescent="0.25">
      <c r="C5850" s="1"/>
    </row>
    <row r="5851" spans="3:3" x14ac:dyDescent="0.25">
      <c r="C5851" s="1"/>
    </row>
    <row r="5852" spans="3:3" x14ac:dyDescent="0.25">
      <c r="C5852" s="1"/>
    </row>
    <row r="5853" spans="3:3" x14ac:dyDescent="0.25">
      <c r="C5853" s="1"/>
    </row>
    <row r="5854" spans="3:3" x14ac:dyDescent="0.25">
      <c r="C5854" s="1"/>
    </row>
    <row r="5855" spans="3:3" x14ac:dyDescent="0.25">
      <c r="C5855" s="1"/>
    </row>
    <row r="5856" spans="3:3" x14ac:dyDescent="0.25">
      <c r="C5856" s="1"/>
    </row>
    <row r="5857" spans="3:3" x14ac:dyDescent="0.25">
      <c r="C5857" s="1"/>
    </row>
    <row r="5858" spans="3:3" x14ac:dyDescent="0.25">
      <c r="C5858" s="1"/>
    </row>
    <row r="5859" spans="3:3" x14ac:dyDescent="0.25">
      <c r="C5859" s="1"/>
    </row>
    <row r="5860" spans="3:3" x14ac:dyDescent="0.25">
      <c r="C5860" s="1"/>
    </row>
    <row r="5861" spans="3:3" x14ac:dyDescent="0.25">
      <c r="C5861" s="1"/>
    </row>
    <row r="5862" spans="3:3" x14ac:dyDescent="0.25">
      <c r="C5862" s="1"/>
    </row>
    <row r="5863" spans="3:3" x14ac:dyDescent="0.25">
      <c r="C5863" s="1"/>
    </row>
    <row r="5864" spans="3:3" x14ac:dyDescent="0.25">
      <c r="C5864" s="1"/>
    </row>
    <row r="5865" spans="3:3" x14ac:dyDescent="0.25">
      <c r="C5865" s="1"/>
    </row>
    <row r="5866" spans="3:3" x14ac:dyDescent="0.25">
      <c r="C5866" s="1"/>
    </row>
    <row r="5867" spans="3:3" x14ac:dyDescent="0.25">
      <c r="C5867" s="1"/>
    </row>
    <row r="5868" spans="3:3" x14ac:dyDescent="0.25">
      <c r="C5868" s="1"/>
    </row>
    <row r="5869" spans="3:3" x14ac:dyDescent="0.25">
      <c r="C5869" s="1"/>
    </row>
    <row r="5870" spans="3:3" x14ac:dyDescent="0.25">
      <c r="C5870" s="1"/>
    </row>
    <row r="5871" spans="3:3" x14ac:dyDescent="0.25">
      <c r="C5871" s="1"/>
    </row>
    <row r="5872" spans="3:3" x14ac:dyDescent="0.25">
      <c r="C5872" s="1"/>
    </row>
    <row r="5873" spans="3:3" x14ac:dyDescent="0.25">
      <c r="C5873" s="1"/>
    </row>
    <row r="5874" spans="3:3" x14ac:dyDescent="0.25">
      <c r="C5874" s="1"/>
    </row>
    <row r="5875" spans="3:3" x14ac:dyDescent="0.25">
      <c r="C5875" s="1"/>
    </row>
    <row r="5876" spans="3:3" x14ac:dyDescent="0.25">
      <c r="C5876" s="1"/>
    </row>
    <row r="5877" spans="3:3" x14ac:dyDescent="0.25">
      <c r="C5877" s="1"/>
    </row>
    <row r="5878" spans="3:3" x14ac:dyDescent="0.25">
      <c r="C5878" s="1"/>
    </row>
    <row r="5879" spans="3:3" x14ac:dyDescent="0.25">
      <c r="C5879" s="1"/>
    </row>
    <row r="5880" spans="3:3" x14ac:dyDescent="0.25">
      <c r="C5880" s="1"/>
    </row>
    <row r="5881" spans="3:3" x14ac:dyDescent="0.25">
      <c r="C5881" s="1"/>
    </row>
    <row r="5882" spans="3:3" x14ac:dyDescent="0.25">
      <c r="C5882" s="1"/>
    </row>
    <row r="5883" spans="3:3" x14ac:dyDescent="0.25">
      <c r="C5883" s="1"/>
    </row>
    <row r="5884" spans="3:3" x14ac:dyDescent="0.25">
      <c r="C5884" s="1"/>
    </row>
    <row r="5885" spans="3:3" x14ac:dyDescent="0.25">
      <c r="C5885" s="1"/>
    </row>
    <row r="5886" spans="3:3" x14ac:dyDescent="0.25">
      <c r="C5886" s="1"/>
    </row>
    <row r="5887" spans="3:3" x14ac:dyDescent="0.25">
      <c r="C5887" s="1"/>
    </row>
    <row r="5888" spans="3:3" x14ac:dyDescent="0.25">
      <c r="C5888" s="1"/>
    </row>
    <row r="5889" spans="3:3" x14ac:dyDescent="0.25">
      <c r="C5889" s="1"/>
    </row>
    <row r="5890" spans="3:3" x14ac:dyDescent="0.25">
      <c r="C5890" s="1"/>
    </row>
    <row r="5891" spans="3:3" x14ac:dyDescent="0.25">
      <c r="C5891" s="1"/>
    </row>
    <row r="5892" spans="3:3" x14ac:dyDescent="0.25">
      <c r="C5892" s="1"/>
    </row>
    <row r="5893" spans="3:3" x14ac:dyDescent="0.25">
      <c r="C5893" s="1"/>
    </row>
    <row r="5894" spans="3:3" x14ac:dyDescent="0.25">
      <c r="C5894" s="1"/>
    </row>
    <row r="5895" spans="3:3" x14ac:dyDescent="0.25">
      <c r="C5895" s="1"/>
    </row>
    <row r="5896" spans="3:3" x14ac:dyDescent="0.25">
      <c r="C5896" s="1"/>
    </row>
    <row r="5897" spans="3:3" x14ac:dyDescent="0.25">
      <c r="C5897" s="1"/>
    </row>
    <row r="5898" spans="3:3" x14ac:dyDescent="0.25">
      <c r="C5898" s="1"/>
    </row>
    <row r="5899" spans="3:3" x14ac:dyDescent="0.25">
      <c r="C5899" s="1"/>
    </row>
    <row r="5900" spans="3:3" x14ac:dyDescent="0.25">
      <c r="C5900" s="1"/>
    </row>
    <row r="5901" spans="3:3" x14ac:dyDescent="0.25">
      <c r="C5901" s="1"/>
    </row>
    <row r="5902" spans="3:3" x14ac:dyDescent="0.25">
      <c r="C5902" s="1"/>
    </row>
    <row r="5903" spans="3:3" x14ac:dyDescent="0.25">
      <c r="C5903" s="1"/>
    </row>
    <row r="5904" spans="3:3" x14ac:dyDescent="0.25">
      <c r="C5904" s="1"/>
    </row>
    <row r="5905" spans="3:3" x14ac:dyDescent="0.25">
      <c r="C5905" s="1"/>
    </row>
    <row r="5906" spans="3:3" x14ac:dyDescent="0.25">
      <c r="C5906" s="1"/>
    </row>
    <row r="5907" spans="3:3" x14ac:dyDescent="0.25">
      <c r="C5907" s="1"/>
    </row>
    <row r="5908" spans="3:3" x14ac:dyDescent="0.25">
      <c r="C5908" s="1"/>
    </row>
    <row r="5909" spans="3:3" x14ac:dyDescent="0.25">
      <c r="C5909" s="1"/>
    </row>
    <row r="5910" spans="3:3" x14ac:dyDescent="0.25">
      <c r="C5910" s="1"/>
    </row>
    <row r="5911" spans="3:3" x14ac:dyDescent="0.25">
      <c r="C5911" s="1"/>
    </row>
    <row r="5912" spans="3:3" x14ac:dyDescent="0.25">
      <c r="C5912" s="1"/>
    </row>
    <row r="5913" spans="3:3" x14ac:dyDescent="0.25">
      <c r="C5913" s="1"/>
    </row>
    <row r="5914" spans="3:3" x14ac:dyDescent="0.25">
      <c r="C5914" s="1"/>
    </row>
    <row r="5915" spans="3:3" x14ac:dyDescent="0.25">
      <c r="C5915" s="1"/>
    </row>
    <row r="5916" spans="3:3" x14ac:dyDescent="0.25">
      <c r="C5916" s="1"/>
    </row>
    <row r="5917" spans="3:3" x14ac:dyDescent="0.25">
      <c r="C5917" s="1"/>
    </row>
    <row r="5918" spans="3:3" x14ac:dyDescent="0.25">
      <c r="C5918" s="1"/>
    </row>
    <row r="5919" spans="3:3" x14ac:dyDescent="0.25">
      <c r="C5919" s="1"/>
    </row>
    <row r="5920" spans="3:3" x14ac:dyDescent="0.25">
      <c r="C5920" s="1"/>
    </row>
    <row r="5921" spans="3:3" x14ac:dyDescent="0.25">
      <c r="C5921" s="1"/>
    </row>
    <row r="5922" spans="3:3" x14ac:dyDescent="0.25">
      <c r="C5922" s="1"/>
    </row>
    <row r="5923" spans="3:3" x14ac:dyDescent="0.25">
      <c r="C5923" s="1"/>
    </row>
    <row r="5924" spans="3:3" x14ac:dyDescent="0.25">
      <c r="C5924" s="1"/>
    </row>
    <row r="5925" spans="3:3" x14ac:dyDescent="0.25">
      <c r="C5925" s="1"/>
    </row>
    <row r="5926" spans="3:3" x14ac:dyDescent="0.25">
      <c r="C5926" s="1"/>
    </row>
    <row r="5927" spans="3:3" x14ac:dyDescent="0.25">
      <c r="C5927" s="1"/>
    </row>
    <row r="5928" spans="3:3" x14ac:dyDescent="0.25">
      <c r="C5928" s="1"/>
    </row>
    <row r="5929" spans="3:3" x14ac:dyDescent="0.25">
      <c r="C5929" s="1"/>
    </row>
    <row r="5930" spans="3:3" x14ac:dyDescent="0.25">
      <c r="C5930" s="1"/>
    </row>
    <row r="5931" spans="3:3" x14ac:dyDescent="0.25">
      <c r="C5931" s="1"/>
    </row>
    <row r="5932" spans="3:3" x14ac:dyDescent="0.25">
      <c r="C5932" s="1"/>
    </row>
    <row r="5933" spans="3:3" x14ac:dyDescent="0.25">
      <c r="C5933" s="1"/>
    </row>
    <row r="5934" spans="3:3" x14ac:dyDescent="0.25">
      <c r="C5934" s="1"/>
    </row>
    <row r="5935" spans="3:3" x14ac:dyDescent="0.25">
      <c r="C5935" s="1"/>
    </row>
    <row r="5936" spans="3:3" x14ac:dyDescent="0.25">
      <c r="C5936" s="1"/>
    </row>
    <row r="5937" spans="3:3" x14ac:dyDescent="0.25">
      <c r="C5937" s="1"/>
    </row>
    <row r="5938" spans="3:3" x14ac:dyDescent="0.25">
      <c r="C5938" s="1"/>
    </row>
    <row r="5939" spans="3:3" x14ac:dyDescent="0.25">
      <c r="C5939" s="1"/>
    </row>
    <row r="5940" spans="3:3" x14ac:dyDescent="0.25">
      <c r="C5940" s="1"/>
    </row>
    <row r="5941" spans="3:3" x14ac:dyDescent="0.25">
      <c r="C5941" s="1"/>
    </row>
    <row r="5942" spans="3:3" x14ac:dyDescent="0.25">
      <c r="C5942" s="1"/>
    </row>
    <row r="5943" spans="3:3" x14ac:dyDescent="0.25">
      <c r="C5943" s="1"/>
    </row>
    <row r="5944" spans="3:3" x14ac:dyDescent="0.25">
      <c r="C5944" s="1"/>
    </row>
    <row r="5945" spans="3:3" x14ac:dyDescent="0.25">
      <c r="C5945" s="1"/>
    </row>
    <row r="5946" spans="3:3" x14ac:dyDescent="0.25">
      <c r="C5946" s="1"/>
    </row>
    <row r="5947" spans="3:3" x14ac:dyDescent="0.25">
      <c r="C5947" s="1"/>
    </row>
    <row r="5948" spans="3:3" x14ac:dyDescent="0.25">
      <c r="C5948" s="1"/>
    </row>
    <row r="5949" spans="3:3" x14ac:dyDescent="0.25">
      <c r="C5949" s="1"/>
    </row>
    <row r="5950" spans="3:3" x14ac:dyDescent="0.25">
      <c r="C5950" s="1"/>
    </row>
    <row r="5951" spans="3:3" x14ac:dyDescent="0.25">
      <c r="C5951" s="1"/>
    </row>
    <row r="5952" spans="3:3" x14ac:dyDescent="0.25">
      <c r="C5952" s="1"/>
    </row>
    <row r="5953" spans="3:3" x14ac:dyDescent="0.25">
      <c r="C5953" s="1"/>
    </row>
    <row r="5954" spans="3:3" x14ac:dyDescent="0.25">
      <c r="C5954" s="1"/>
    </row>
    <row r="5955" spans="3:3" x14ac:dyDescent="0.25">
      <c r="C5955" s="1"/>
    </row>
    <row r="5956" spans="3:3" x14ac:dyDescent="0.25">
      <c r="C5956" s="1"/>
    </row>
    <row r="5957" spans="3:3" x14ac:dyDescent="0.25">
      <c r="C5957" s="1"/>
    </row>
    <row r="5958" spans="3:3" x14ac:dyDescent="0.25">
      <c r="C5958" s="1"/>
    </row>
    <row r="5959" spans="3:3" x14ac:dyDescent="0.25">
      <c r="C5959" s="1"/>
    </row>
    <row r="5960" spans="3:3" x14ac:dyDescent="0.25">
      <c r="C5960" s="1"/>
    </row>
    <row r="5961" spans="3:3" x14ac:dyDescent="0.25">
      <c r="C5961" s="1"/>
    </row>
    <row r="5962" spans="3:3" x14ac:dyDescent="0.25">
      <c r="C5962" s="1"/>
    </row>
    <row r="5963" spans="3:3" x14ac:dyDescent="0.25">
      <c r="C5963" s="1"/>
    </row>
    <row r="5964" spans="3:3" x14ac:dyDescent="0.25">
      <c r="C5964" s="1"/>
    </row>
    <row r="5965" spans="3:3" x14ac:dyDescent="0.25">
      <c r="C5965" s="1"/>
    </row>
    <row r="5966" spans="3:3" x14ac:dyDescent="0.25">
      <c r="C5966" s="1"/>
    </row>
    <row r="5967" spans="3:3" x14ac:dyDescent="0.25">
      <c r="C5967" s="1"/>
    </row>
    <row r="5968" spans="3:3" x14ac:dyDescent="0.25">
      <c r="C5968" s="1"/>
    </row>
    <row r="5969" spans="3:3" x14ac:dyDescent="0.25">
      <c r="C5969" s="1"/>
    </row>
    <row r="5970" spans="3:3" x14ac:dyDescent="0.25">
      <c r="C5970" s="1"/>
    </row>
    <row r="5971" spans="3:3" x14ac:dyDescent="0.25">
      <c r="C5971" s="1"/>
    </row>
    <row r="5972" spans="3:3" x14ac:dyDescent="0.25">
      <c r="C5972" s="1"/>
    </row>
    <row r="5973" spans="3:3" x14ac:dyDescent="0.25">
      <c r="C5973" s="1"/>
    </row>
    <row r="5974" spans="3:3" x14ac:dyDescent="0.25">
      <c r="C5974" s="1"/>
    </row>
    <row r="5975" spans="3:3" x14ac:dyDescent="0.25">
      <c r="C5975" s="1"/>
    </row>
    <row r="5976" spans="3:3" x14ac:dyDescent="0.25">
      <c r="C5976" s="1"/>
    </row>
    <row r="5977" spans="3:3" x14ac:dyDescent="0.25">
      <c r="C5977" s="1"/>
    </row>
    <row r="5978" spans="3:3" x14ac:dyDescent="0.25">
      <c r="C5978" s="1"/>
    </row>
    <row r="5979" spans="3:3" x14ac:dyDescent="0.25">
      <c r="C5979" s="1"/>
    </row>
    <row r="5980" spans="3:3" x14ac:dyDescent="0.25">
      <c r="C5980" s="1"/>
    </row>
    <row r="5981" spans="3:3" x14ac:dyDescent="0.25">
      <c r="C5981" s="1"/>
    </row>
    <row r="5982" spans="3:3" x14ac:dyDescent="0.25">
      <c r="C5982" s="1"/>
    </row>
    <row r="5983" spans="3:3" x14ac:dyDescent="0.25">
      <c r="C5983" s="1"/>
    </row>
    <row r="5984" spans="3:3" x14ac:dyDescent="0.25">
      <c r="C5984" s="1"/>
    </row>
    <row r="5985" spans="3:3" x14ac:dyDescent="0.25">
      <c r="C5985" s="1"/>
    </row>
    <row r="5986" spans="3:3" x14ac:dyDescent="0.25">
      <c r="C5986" s="1"/>
    </row>
    <row r="5987" spans="3:3" x14ac:dyDescent="0.25">
      <c r="C5987" s="1"/>
    </row>
    <row r="5988" spans="3:3" x14ac:dyDescent="0.25">
      <c r="C5988" s="1"/>
    </row>
    <row r="5989" spans="3:3" x14ac:dyDescent="0.25">
      <c r="C5989" s="1"/>
    </row>
    <row r="5990" spans="3:3" x14ac:dyDescent="0.25">
      <c r="C5990" s="1"/>
    </row>
    <row r="5991" spans="3:3" x14ac:dyDescent="0.25">
      <c r="C5991" s="1"/>
    </row>
    <row r="5992" spans="3:3" x14ac:dyDescent="0.25">
      <c r="C5992" s="1"/>
    </row>
    <row r="5993" spans="3:3" x14ac:dyDescent="0.25">
      <c r="C5993" s="1"/>
    </row>
    <row r="5994" spans="3:3" x14ac:dyDescent="0.25">
      <c r="C5994" s="1"/>
    </row>
    <row r="5995" spans="3:3" x14ac:dyDescent="0.25">
      <c r="C5995" s="1"/>
    </row>
    <row r="5996" spans="3:3" x14ac:dyDescent="0.25">
      <c r="C5996" s="1"/>
    </row>
    <row r="5997" spans="3:3" x14ac:dyDescent="0.25">
      <c r="C5997" s="1"/>
    </row>
    <row r="5998" spans="3:3" x14ac:dyDescent="0.25">
      <c r="C5998" s="1"/>
    </row>
    <row r="5999" spans="3:3" x14ac:dyDescent="0.25">
      <c r="C5999" s="1"/>
    </row>
    <row r="6000" spans="3:3" x14ac:dyDescent="0.25">
      <c r="C6000" s="1"/>
    </row>
    <row r="6001" spans="3:3" x14ac:dyDescent="0.25">
      <c r="C6001" s="1"/>
    </row>
    <row r="6002" spans="3:3" x14ac:dyDescent="0.25">
      <c r="C6002" s="1"/>
    </row>
    <row r="6003" spans="3:3" x14ac:dyDescent="0.25">
      <c r="C6003" s="1"/>
    </row>
    <row r="6004" spans="3:3" x14ac:dyDescent="0.25">
      <c r="C6004" s="1"/>
    </row>
    <row r="6005" spans="3:3" x14ac:dyDescent="0.25">
      <c r="C6005" s="1"/>
    </row>
    <row r="6006" spans="3:3" x14ac:dyDescent="0.25">
      <c r="C6006" s="1"/>
    </row>
    <row r="6007" spans="3:3" x14ac:dyDescent="0.25">
      <c r="C6007" s="1"/>
    </row>
    <row r="6008" spans="3:3" x14ac:dyDescent="0.25">
      <c r="C6008" s="1"/>
    </row>
    <row r="6009" spans="3:3" x14ac:dyDescent="0.25">
      <c r="C6009" s="1"/>
    </row>
    <row r="6010" spans="3:3" x14ac:dyDescent="0.25">
      <c r="C6010" s="1"/>
    </row>
    <row r="6011" spans="3:3" x14ac:dyDescent="0.25">
      <c r="C6011" s="1"/>
    </row>
    <row r="6012" spans="3:3" x14ac:dyDescent="0.25">
      <c r="C6012" s="1"/>
    </row>
    <row r="6013" spans="3:3" x14ac:dyDescent="0.25">
      <c r="C6013" s="1"/>
    </row>
    <row r="6014" spans="3:3" x14ac:dyDescent="0.25">
      <c r="C6014" s="1"/>
    </row>
    <row r="6015" spans="3:3" x14ac:dyDescent="0.25">
      <c r="C6015" s="1"/>
    </row>
    <row r="6016" spans="3:3" x14ac:dyDescent="0.25">
      <c r="C6016" s="1"/>
    </row>
    <row r="6017" spans="3:3" x14ac:dyDescent="0.25">
      <c r="C6017" s="1"/>
    </row>
    <row r="6018" spans="3:3" x14ac:dyDescent="0.25">
      <c r="C6018" s="1"/>
    </row>
    <row r="6019" spans="3:3" x14ac:dyDescent="0.25">
      <c r="C6019" s="1"/>
    </row>
    <row r="6020" spans="3:3" x14ac:dyDescent="0.25">
      <c r="C6020" s="1"/>
    </row>
    <row r="6021" spans="3:3" x14ac:dyDescent="0.25">
      <c r="C6021" s="1"/>
    </row>
    <row r="6022" spans="3:3" x14ac:dyDescent="0.25">
      <c r="C6022" s="1"/>
    </row>
    <row r="6023" spans="3:3" x14ac:dyDescent="0.25">
      <c r="C6023" s="1"/>
    </row>
    <row r="6024" spans="3:3" x14ac:dyDescent="0.25">
      <c r="C6024" s="1"/>
    </row>
    <row r="6025" spans="3:3" x14ac:dyDescent="0.25">
      <c r="C6025" s="1"/>
    </row>
    <row r="6026" spans="3:3" x14ac:dyDescent="0.25">
      <c r="C6026" s="1"/>
    </row>
    <row r="6027" spans="3:3" x14ac:dyDescent="0.25">
      <c r="C6027" s="1"/>
    </row>
    <row r="6028" spans="3:3" x14ac:dyDescent="0.25">
      <c r="C6028" s="1"/>
    </row>
    <row r="6029" spans="3:3" x14ac:dyDescent="0.25">
      <c r="C6029" s="1"/>
    </row>
    <row r="6030" spans="3:3" x14ac:dyDescent="0.25">
      <c r="C6030" s="1"/>
    </row>
    <row r="6031" spans="3:3" x14ac:dyDescent="0.25">
      <c r="C6031" s="1"/>
    </row>
    <row r="6032" spans="3:3" x14ac:dyDescent="0.25">
      <c r="C6032" s="1"/>
    </row>
    <row r="6033" spans="3:3" x14ac:dyDescent="0.25">
      <c r="C6033" s="1"/>
    </row>
    <row r="6034" spans="3:3" x14ac:dyDescent="0.25">
      <c r="C6034" s="1"/>
    </row>
    <row r="6035" spans="3:3" x14ac:dyDescent="0.25">
      <c r="C6035" s="1"/>
    </row>
    <row r="6036" spans="3:3" x14ac:dyDescent="0.25">
      <c r="C6036" s="1"/>
    </row>
    <row r="6037" spans="3:3" x14ac:dyDescent="0.25">
      <c r="C6037" s="1"/>
    </row>
    <row r="6038" spans="3:3" x14ac:dyDescent="0.25">
      <c r="C6038" s="1"/>
    </row>
    <row r="6039" spans="3:3" x14ac:dyDescent="0.25">
      <c r="C6039" s="1"/>
    </row>
    <row r="6040" spans="3:3" x14ac:dyDescent="0.25">
      <c r="C6040" s="1"/>
    </row>
    <row r="6041" spans="3:3" x14ac:dyDescent="0.25">
      <c r="C6041" s="1"/>
    </row>
    <row r="6042" spans="3:3" x14ac:dyDescent="0.25">
      <c r="C6042" s="1"/>
    </row>
    <row r="6043" spans="3:3" x14ac:dyDescent="0.25">
      <c r="C6043" s="1"/>
    </row>
    <row r="6044" spans="3:3" x14ac:dyDescent="0.25">
      <c r="C6044" s="1"/>
    </row>
    <row r="6045" spans="3:3" x14ac:dyDescent="0.25">
      <c r="C6045" s="1"/>
    </row>
    <row r="6046" spans="3:3" x14ac:dyDescent="0.25">
      <c r="C6046" s="1"/>
    </row>
    <row r="6047" spans="3:3" x14ac:dyDescent="0.25">
      <c r="C6047" s="1"/>
    </row>
    <row r="6048" spans="3:3" x14ac:dyDescent="0.25">
      <c r="C6048" s="1"/>
    </row>
    <row r="6049" spans="3:3" x14ac:dyDescent="0.25">
      <c r="C6049" s="1"/>
    </row>
    <row r="6050" spans="3:3" x14ac:dyDescent="0.25">
      <c r="C6050" s="1"/>
    </row>
    <row r="6051" spans="3:3" x14ac:dyDescent="0.25">
      <c r="C6051" s="1"/>
    </row>
    <row r="6052" spans="3:3" x14ac:dyDescent="0.25">
      <c r="C6052" s="1"/>
    </row>
    <row r="6053" spans="3:3" x14ac:dyDescent="0.25">
      <c r="C6053" s="1"/>
    </row>
    <row r="6054" spans="3:3" x14ac:dyDescent="0.25">
      <c r="C6054" s="1"/>
    </row>
    <row r="6055" spans="3:3" x14ac:dyDescent="0.25">
      <c r="C6055" s="1"/>
    </row>
    <row r="6056" spans="3:3" x14ac:dyDescent="0.25">
      <c r="C6056" s="1"/>
    </row>
    <row r="6057" spans="3:3" x14ac:dyDescent="0.25">
      <c r="C6057" s="1"/>
    </row>
    <row r="6058" spans="3:3" x14ac:dyDescent="0.25">
      <c r="C6058" s="1"/>
    </row>
    <row r="6059" spans="3:3" x14ac:dyDescent="0.25">
      <c r="C6059" s="1"/>
    </row>
    <row r="6060" spans="3:3" x14ac:dyDescent="0.25">
      <c r="C6060" s="1"/>
    </row>
    <row r="6061" spans="3:3" x14ac:dyDescent="0.25">
      <c r="C6061" s="1"/>
    </row>
    <row r="6062" spans="3:3" x14ac:dyDescent="0.25">
      <c r="C6062" s="1"/>
    </row>
    <row r="6063" spans="3:3" x14ac:dyDescent="0.25">
      <c r="C6063" s="1"/>
    </row>
    <row r="6064" spans="3:3" x14ac:dyDescent="0.25">
      <c r="C6064" s="1"/>
    </row>
    <row r="6065" spans="3:3" x14ac:dyDescent="0.25">
      <c r="C6065" s="1"/>
    </row>
    <row r="6066" spans="3:3" x14ac:dyDescent="0.25">
      <c r="C6066" s="1"/>
    </row>
    <row r="6067" spans="3:3" x14ac:dyDescent="0.25">
      <c r="C6067" s="1"/>
    </row>
    <row r="6068" spans="3:3" x14ac:dyDescent="0.25">
      <c r="C6068" s="1"/>
    </row>
    <row r="6069" spans="3:3" x14ac:dyDescent="0.25">
      <c r="C6069" s="1"/>
    </row>
    <row r="6070" spans="3:3" x14ac:dyDescent="0.25">
      <c r="C6070" s="1"/>
    </row>
    <row r="6071" spans="3:3" x14ac:dyDescent="0.25">
      <c r="C6071" s="1"/>
    </row>
    <row r="6072" spans="3:3" x14ac:dyDescent="0.25">
      <c r="C6072" s="1"/>
    </row>
    <row r="6073" spans="3:3" x14ac:dyDescent="0.25">
      <c r="C6073" s="1"/>
    </row>
    <row r="6074" spans="3:3" x14ac:dyDescent="0.25">
      <c r="C6074" s="1"/>
    </row>
    <row r="6075" spans="3:3" x14ac:dyDescent="0.25">
      <c r="C6075" s="1"/>
    </row>
    <row r="6076" spans="3:3" x14ac:dyDescent="0.25">
      <c r="C6076" s="1"/>
    </row>
    <row r="6077" spans="3:3" x14ac:dyDescent="0.25">
      <c r="C6077" s="1"/>
    </row>
    <row r="6078" spans="3:3" x14ac:dyDescent="0.25">
      <c r="C6078" s="1"/>
    </row>
    <row r="6079" spans="3:3" x14ac:dyDescent="0.25">
      <c r="C6079" s="1"/>
    </row>
    <row r="6080" spans="3:3" x14ac:dyDescent="0.25">
      <c r="C6080" s="1"/>
    </row>
    <row r="6081" spans="3:3" x14ac:dyDescent="0.25">
      <c r="C6081" s="1"/>
    </row>
    <row r="6082" spans="3:3" x14ac:dyDescent="0.25">
      <c r="C6082" s="1"/>
    </row>
    <row r="6083" spans="3:3" x14ac:dyDescent="0.25">
      <c r="C6083" s="1"/>
    </row>
    <row r="6084" spans="3:3" x14ac:dyDescent="0.25">
      <c r="C6084" s="1"/>
    </row>
    <row r="6085" spans="3:3" x14ac:dyDescent="0.25">
      <c r="C6085" s="1"/>
    </row>
    <row r="6086" spans="3:3" x14ac:dyDescent="0.25">
      <c r="C6086" s="1"/>
    </row>
    <row r="6087" spans="3:3" x14ac:dyDescent="0.25">
      <c r="C6087" s="1"/>
    </row>
    <row r="6088" spans="3:3" x14ac:dyDescent="0.25">
      <c r="C6088" s="1"/>
    </row>
    <row r="6089" spans="3:3" x14ac:dyDescent="0.25">
      <c r="C6089" s="1"/>
    </row>
    <row r="6090" spans="3:3" x14ac:dyDescent="0.25">
      <c r="C6090" s="1"/>
    </row>
    <row r="6091" spans="3:3" x14ac:dyDescent="0.25">
      <c r="C6091" s="1"/>
    </row>
    <row r="6092" spans="3:3" x14ac:dyDescent="0.25">
      <c r="C6092" s="1"/>
    </row>
    <row r="6093" spans="3:3" x14ac:dyDescent="0.25">
      <c r="C6093" s="1"/>
    </row>
    <row r="6094" spans="3:3" x14ac:dyDescent="0.25">
      <c r="C6094" s="1"/>
    </row>
    <row r="6095" spans="3:3" x14ac:dyDescent="0.25">
      <c r="C6095" s="1"/>
    </row>
    <row r="6096" spans="3:3" x14ac:dyDescent="0.25">
      <c r="C6096" s="1"/>
    </row>
    <row r="6097" spans="3:3" x14ac:dyDescent="0.25">
      <c r="C6097" s="1"/>
    </row>
    <row r="6098" spans="3:3" x14ac:dyDescent="0.25">
      <c r="C6098" s="1"/>
    </row>
    <row r="6099" spans="3:3" x14ac:dyDescent="0.25">
      <c r="C6099" s="1"/>
    </row>
    <row r="6100" spans="3:3" x14ac:dyDescent="0.25">
      <c r="C6100" s="1"/>
    </row>
    <row r="6101" spans="3:3" x14ac:dyDescent="0.25">
      <c r="C6101" s="1"/>
    </row>
    <row r="6102" spans="3:3" x14ac:dyDescent="0.25">
      <c r="C6102" s="1"/>
    </row>
    <row r="6103" spans="3:3" x14ac:dyDescent="0.25">
      <c r="C6103" s="1"/>
    </row>
    <row r="6104" spans="3:3" x14ac:dyDescent="0.25">
      <c r="C6104" s="1"/>
    </row>
    <row r="6105" spans="3:3" x14ac:dyDescent="0.25">
      <c r="C6105" s="1"/>
    </row>
    <row r="6106" spans="3:3" x14ac:dyDescent="0.25">
      <c r="C6106" s="1"/>
    </row>
    <row r="6107" spans="3:3" x14ac:dyDescent="0.25">
      <c r="C6107" s="1"/>
    </row>
    <row r="6108" spans="3:3" x14ac:dyDescent="0.25">
      <c r="C6108" s="1"/>
    </row>
    <row r="6109" spans="3:3" x14ac:dyDescent="0.25">
      <c r="C6109" s="1"/>
    </row>
    <row r="6110" spans="3:3" x14ac:dyDescent="0.25">
      <c r="C6110" s="1"/>
    </row>
    <row r="6111" spans="3:3" x14ac:dyDescent="0.25">
      <c r="C6111" s="1"/>
    </row>
    <row r="6112" spans="3:3" x14ac:dyDescent="0.25">
      <c r="C6112" s="1"/>
    </row>
    <row r="6113" spans="3:3" x14ac:dyDescent="0.25">
      <c r="C6113" s="1"/>
    </row>
    <row r="6114" spans="3:3" x14ac:dyDescent="0.25">
      <c r="C6114" s="1"/>
    </row>
    <row r="6115" spans="3:3" x14ac:dyDescent="0.25">
      <c r="C6115" s="1"/>
    </row>
    <row r="6116" spans="3:3" x14ac:dyDescent="0.25">
      <c r="C6116" s="1"/>
    </row>
    <row r="6117" spans="3:3" x14ac:dyDescent="0.25">
      <c r="C6117" s="1"/>
    </row>
    <row r="6118" spans="3:3" x14ac:dyDescent="0.25">
      <c r="C6118" s="1"/>
    </row>
    <row r="6119" spans="3:3" x14ac:dyDescent="0.25">
      <c r="C6119" s="1"/>
    </row>
    <row r="6120" spans="3:3" x14ac:dyDescent="0.25">
      <c r="C6120" s="1"/>
    </row>
    <row r="6121" spans="3:3" x14ac:dyDescent="0.25">
      <c r="C6121" s="1"/>
    </row>
    <row r="6122" spans="3:3" x14ac:dyDescent="0.25">
      <c r="C6122" s="1"/>
    </row>
    <row r="6123" spans="3:3" x14ac:dyDescent="0.25">
      <c r="C6123" s="1"/>
    </row>
    <row r="6124" spans="3:3" x14ac:dyDescent="0.25">
      <c r="C6124" s="1"/>
    </row>
    <row r="6125" spans="3:3" x14ac:dyDescent="0.25">
      <c r="C6125" s="1"/>
    </row>
    <row r="6126" spans="3:3" x14ac:dyDescent="0.25">
      <c r="C6126" s="1"/>
    </row>
    <row r="6127" spans="3:3" x14ac:dyDescent="0.25">
      <c r="C6127" s="1"/>
    </row>
    <row r="6128" spans="3:3" x14ac:dyDescent="0.25">
      <c r="C6128" s="1"/>
    </row>
    <row r="6129" spans="3:3" x14ac:dyDescent="0.25">
      <c r="C6129" s="1"/>
    </row>
    <row r="6130" spans="3:3" x14ac:dyDescent="0.25">
      <c r="C6130" s="1"/>
    </row>
    <row r="6131" spans="3:3" x14ac:dyDescent="0.25">
      <c r="C6131" s="1"/>
    </row>
    <row r="6132" spans="3:3" x14ac:dyDescent="0.25">
      <c r="C6132" s="1"/>
    </row>
    <row r="6133" spans="3:3" x14ac:dyDescent="0.25">
      <c r="C6133" s="1"/>
    </row>
    <row r="6134" spans="3:3" x14ac:dyDescent="0.25">
      <c r="C6134" s="1"/>
    </row>
    <row r="6135" spans="3:3" x14ac:dyDescent="0.25">
      <c r="C6135" s="1"/>
    </row>
    <row r="6136" spans="3:3" x14ac:dyDescent="0.25">
      <c r="C6136" s="1"/>
    </row>
    <row r="6137" spans="3:3" x14ac:dyDescent="0.25">
      <c r="C6137" s="1"/>
    </row>
    <row r="6138" spans="3:3" x14ac:dyDescent="0.25">
      <c r="C6138" s="1"/>
    </row>
    <row r="6139" spans="3:3" x14ac:dyDescent="0.25">
      <c r="C6139" s="1"/>
    </row>
    <row r="6140" spans="3:3" x14ac:dyDescent="0.25">
      <c r="C6140" s="1"/>
    </row>
    <row r="6141" spans="3:3" x14ac:dyDescent="0.25">
      <c r="C6141" s="1"/>
    </row>
    <row r="6142" spans="3:3" x14ac:dyDescent="0.25">
      <c r="C6142" s="1"/>
    </row>
    <row r="6143" spans="3:3" x14ac:dyDescent="0.25">
      <c r="C6143" s="1"/>
    </row>
    <row r="6144" spans="3:3" x14ac:dyDescent="0.25">
      <c r="C6144" s="1"/>
    </row>
    <row r="6145" spans="3:3" x14ac:dyDescent="0.25">
      <c r="C6145" s="1"/>
    </row>
    <row r="6146" spans="3:3" x14ac:dyDescent="0.25">
      <c r="C6146" s="1"/>
    </row>
    <row r="6147" spans="3:3" x14ac:dyDescent="0.25">
      <c r="C6147" s="1"/>
    </row>
    <row r="6148" spans="3:3" x14ac:dyDescent="0.25">
      <c r="C6148" s="1"/>
    </row>
    <row r="6149" spans="3:3" x14ac:dyDescent="0.25">
      <c r="C6149" s="1"/>
    </row>
    <row r="6150" spans="3:3" x14ac:dyDescent="0.25">
      <c r="C6150" s="1"/>
    </row>
    <row r="6151" spans="3:3" x14ac:dyDescent="0.25">
      <c r="C6151" s="1"/>
    </row>
    <row r="6152" spans="3:3" x14ac:dyDescent="0.25">
      <c r="C6152" s="1"/>
    </row>
    <row r="6153" spans="3:3" x14ac:dyDescent="0.25">
      <c r="C6153" s="1"/>
    </row>
    <row r="6154" spans="3:3" x14ac:dyDescent="0.25">
      <c r="C6154" s="1"/>
    </row>
    <row r="6155" spans="3:3" x14ac:dyDescent="0.25">
      <c r="C6155" s="1"/>
    </row>
    <row r="6156" spans="3:3" x14ac:dyDescent="0.25">
      <c r="C6156" s="1"/>
    </row>
    <row r="6157" spans="3:3" x14ac:dyDescent="0.25">
      <c r="C6157" s="1"/>
    </row>
    <row r="6158" spans="3:3" x14ac:dyDescent="0.25">
      <c r="C6158" s="1"/>
    </row>
    <row r="6159" spans="3:3" x14ac:dyDescent="0.25">
      <c r="C6159" s="1"/>
    </row>
    <row r="6160" spans="3:3" x14ac:dyDescent="0.25">
      <c r="C6160" s="1"/>
    </row>
    <row r="6161" spans="3:3" x14ac:dyDescent="0.25">
      <c r="C6161" s="1"/>
    </row>
    <row r="6162" spans="3:3" x14ac:dyDescent="0.25">
      <c r="C6162" s="1"/>
    </row>
    <row r="6163" spans="3:3" x14ac:dyDescent="0.25">
      <c r="C6163" s="1"/>
    </row>
    <row r="6164" spans="3:3" x14ac:dyDescent="0.25">
      <c r="C6164" s="1"/>
    </row>
    <row r="6165" spans="3:3" x14ac:dyDescent="0.25">
      <c r="C6165" s="1"/>
    </row>
    <row r="6166" spans="3:3" x14ac:dyDescent="0.25">
      <c r="C6166" s="1"/>
    </row>
    <row r="6167" spans="3:3" x14ac:dyDescent="0.25">
      <c r="C6167" s="1"/>
    </row>
    <row r="6168" spans="3:3" x14ac:dyDescent="0.25">
      <c r="C6168" s="1"/>
    </row>
    <row r="6169" spans="3:3" x14ac:dyDescent="0.25">
      <c r="C6169" s="1"/>
    </row>
    <row r="6170" spans="3:3" x14ac:dyDescent="0.25">
      <c r="C6170" s="1"/>
    </row>
    <row r="6171" spans="3:3" x14ac:dyDescent="0.25">
      <c r="C6171" s="1"/>
    </row>
    <row r="6172" spans="3:3" x14ac:dyDescent="0.25">
      <c r="C6172" s="1"/>
    </row>
    <row r="6173" spans="3:3" x14ac:dyDescent="0.25">
      <c r="C6173" s="1"/>
    </row>
    <row r="6174" spans="3:3" x14ac:dyDescent="0.25">
      <c r="C6174" s="1"/>
    </row>
    <row r="6175" spans="3:3" x14ac:dyDescent="0.25">
      <c r="C6175" s="1"/>
    </row>
    <row r="6176" spans="3:3" x14ac:dyDescent="0.25">
      <c r="C6176" s="1"/>
    </row>
    <row r="6177" spans="3:3" x14ac:dyDescent="0.25">
      <c r="C6177" s="1"/>
    </row>
    <row r="6178" spans="3:3" x14ac:dyDescent="0.25">
      <c r="C6178" s="1"/>
    </row>
    <row r="6179" spans="3:3" x14ac:dyDescent="0.25">
      <c r="C6179" s="1"/>
    </row>
    <row r="6180" spans="3:3" x14ac:dyDescent="0.25">
      <c r="C6180" s="1"/>
    </row>
    <row r="6181" spans="3:3" x14ac:dyDescent="0.25">
      <c r="C6181" s="1"/>
    </row>
    <row r="6182" spans="3:3" x14ac:dyDescent="0.25">
      <c r="C6182" s="1"/>
    </row>
    <row r="6183" spans="3:3" x14ac:dyDescent="0.25">
      <c r="C6183" s="1"/>
    </row>
    <row r="6184" spans="3:3" x14ac:dyDescent="0.25">
      <c r="C6184" s="1"/>
    </row>
    <row r="6185" spans="3:3" x14ac:dyDescent="0.25">
      <c r="C6185" s="1"/>
    </row>
    <row r="6186" spans="3:3" x14ac:dyDescent="0.25">
      <c r="C6186" s="1"/>
    </row>
    <row r="6187" spans="3:3" x14ac:dyDescent="0.25">
      <c r="C6187" s="1"/>
    </row>
    <row r="6188" spans="3:3" x14ac:dyDescent="0.25">
      <c r="C6188" s="1"/>
    </row>
    <row r="6189" spans="3:3" x14ac:dyDescent="0.25">
      <c r="C6189" s="1"/>
    </row>
    <row r="6190" spans="3:3" x14ac:dyDescent="0.25">
      <c r="C6190" s="1"/>
    </row>
    <row r="6191" spans="3:3" x14ac:dyDescent="0.25">
      <c r="C6191" s="1"/>
    </row>
    <row r="6192" spans="3:3" x14ac:dyDescent="0.25">
      <c r="C6192" s="1"/>
    </row>
    <row r="6193" spans="3:3" x14ac:dyDescent="0.25">
      <c r="C6193" s="1"/>
    </row>
    <row r="6194" spans="3:3" x14ac:dyDescent="0.25">
      <c r="C6194" s="1"/>
    </row>
    <row r="6195" spans="3:3" x14ac:dyDescent="0.25">
      <c r="C6195" s="1"/>
    </row>
    <row r="6196" spans="3:3" x14ac:dyDescent="0.25">
      <c r="C6196" s="1"/>
    </row>
    <row r="6197" spans="3:3" x14ac:dyDescent="0.25">
      <c r="C6197" s="1"/>
    </row>
    <row r="6198" spans="3:3" x14ac:dyDescent="0.25">
      <c r="C6198" s="1"/>
    </row>
    <row r="6199" spans="3:3" x14ac:dyDescent="0.25">
      <c r="C6199" s="1"/>
    </row>
    <row r="6200" spans="3:3" x14ac:dyDescent="0.25">
      <c r="C6200" s="1"/>
    </row>
    <row r="6201" spans="3:3" x14ac:dyDescent="0.25">
      <c r="C6201" s="1"/>
    </row>
    <row r="6202" spans="3:3" x14ac:dyDescent="0.25">
      <c r="C6202" s="1"/>
    </row>
    <row r="6203" spans="3:3" x14ac:dyDescent="0.25">
      <c r="C6203" s="1"/>
    </row>
    <row r="6204" spans="3:3" x14ac:dyDescent="0.25">
      <c r="C6204" s="1"/>
    </row>
    <row r="6205" spans="3:3" x14ac:dyDescent="0.25">
      <c r="C6205" s="1"/>
    </row>
    <row r="6206" spans="3:3" x14ac:dyDescent="0.25">
      <c r="C6206" s="1"/>
    </row>
    <row r="6207" spans="3:3" x14ac:dyDescent="0.25">
      <c r="C6207" s="1"/>
    </row>
    <row r="6208" spans="3:3" x14ac:dyDescent="0.25">
      <c r="C6208" s="1"/>
    </row>
    <row r="6209" spans="3:3" x14ac:dyDescent="0.25">
      <c r="C6209" s="1"/>
    </row>
    <row r="6210" spans="3:3" x14ac:dyDescent="0.25">
      <c r="C6210" s="1"/>
    </row>
    <row r="6211" spans="3:3" x14ac:dyDescent="0.25">
      <c r="C6211" s="1"/>
    </row>
    <row r="6212" spans="3:3" x14ac:dyDescent="0.25">
      <c r="C6212" s="1"/>
    </row>
    <row r="6213" spans="3:3" x14ac:dyDescent="0.25">
      <c r="C6213" s="1"/>
    </row>
    <row r="6214" spans="3:3" x14ac:dyDescent="0.25">
      <c r="C6214" s="1"/>
    </row>
    <row r="6215" spans="3:3" x14ac:dyDescent="0.25">
      <c r="C6215" s="1"/>
    </row>
    <row r="6216" spans="3:3" x14ac:dyDescent="0.25">
      <c r="C6216" s="1"/>
    </row>
    <row r="6217" spans="3:3" x14ac:dyDescent="0.25">
      <c r="C6217" s="1"/>
    </row>
    <row r="6218" spans="3:3" x14ac:dyDescent="0.25">
      <c r="C6218" s="1"/>
    </row>
    <row r="6219" spans="3:3" x14ac:dyDescent="0.25">
      <c r="C6219" s="1"/>
    </row>
    <row r="6220" spans="3:3" x14ac:dyDescent="0.25">
      <c r="C6220" s="1"/>
    </row>
    <row r="6221" spans="3:3" x14ac:dyDescent="0.25">
      <c r="C6221" s="1"/>
    </row>
    <row r="6222" spans="3:3" x14ac:dyDescent="0.25">
      <c r="C6222" s="1"/>
    </row>
    <row r="6223" spans="3:3" x14ac:dyDescent="0.25">
      <c r="C6223" s="1"/>
    </row>
    <row r="6224" spans="3:3" x14ac:dyDescent="0.25">
      <c r="C6224" s="1"/>
    </row>
    <row r="6225" spans="3:3" x14ac:dyDescent="0.25">
      <c r="C6225" s="1"/>
    </row>
    <row r="6226" spans="3:3" x14ac:dyDescent="0.25">
      <c r="C6226" s="1"/>
    </row>
    <row r="6227" spans="3:3" x14ac:dyDescent="0.25">
      <c r="C6227" s="1"/>
    </row>
    <row r="6228" spans="3:3" x14ac:dyDescent="0.25">
      <c r="C6228" s="1"/>
    </row>
    <row r="6229" spans="3:3" x14ac:dyDescent="0.25">
      <c r="C6229" s="1"/>
    </row>
    <row r="6230" spans="3:3" x14ac:dyDescent="0.25">
      <c r="C6230" s="1"/>
    </row>
    <row r="6231" spans="3:3" x14ac:dyDescent="0.25">
      <c r="C6231" s="1"/>
    </row>
    <row r="6232" spans="3:3" x14ac:dyDescent="0.25">
      <c r="C6232" s="1"/>
    </row>
    <row r="6233" spans="3:3" x14ac:dyDescent="0.25">
      <c r="C6233" s="1"/>
    </row>
    <row r="6234" spans="3:3" x14ac:dyDescent="0.25">
      <c r="C6234" s="1"/>
    </row>
    <row r="6235" spans="3:3" x14ac:dyDescent="0.25">
      <c r="C6235" s="1"/>
    </row>
    <row r="6236" spans="3:3" x14ac:dyDescent="0.25">
      <c r="C6236" s="1"/>
    </row>
    <row r="6237" spans="3:3" x14ac:dyDescent="0.25">
      <c r="C6237" s="1"/>
    </row>
    <row r="6238" spans="3:3" x14ac:dyDescent="0.25">
      <c r="C6238" s="1"/>
    </row>
    <row r="6239" spans="3:3" x14ac:dyDescent="0.25">
      <c r="C6239" s="1"/>
    </row>
    <row r="6240" spans="3:3" x14ac:dyDescent="0.25">
      <c r="C6240" s="1"/>
    </row>
    <row r="6241" spans="3:3" x14ac:dyDescent="0.25">
      <c r="C6241" s="1"/>
    </row>
    <row r="6242" spans="3:3" x14ac:dyDescent="0.25">
      <c r="C6242" s="1"/>
    </row>
    <row r="6243" spans="3:3" x14ac:dyDescent="0.25">
      <c r="C6243" s="1"/>
    </row>
    <row r="6244" spans="3:3" x14ac:dyDescent="0.25">
      <c r="C6244" s="1"/>
    </row>
    <row r="6245" spans="3:3" x14ac:dyDescent="0.25">
      <c r="C6245" s="1"/>
    </row>
    <row r="6246" spans="3:3" x14ac:dyDescent="0.25">
      <c r="C6246" s="1"/>
    </row>
    <row r="6247" spans="3:3" x14ac:dyDescent="0.25">
      <c r="C6247" s="1"/>
    </row>
    <row r="6248" spans="3:3" x14ac:dyDescent="0.25">
      <c r="C6248" s="1"/>
    </row>
    <row r="6249" spans="3:3" x14ac:dyDescent="0.25">
      <c r="C6249" s="1"/>
    </row>
    <row r="6250" spans="3:3" x14ac:dyDescent="0.25">
      <c r="C6250" s="1"/>
    </row>
    <row r="6251" spans="3:3" x14ac:dyDescent="0.25">
      <c r="C6251" s="1"/>
    </row>
    <row r="6252" spans="3:3" x14ac:dyDescent="0.25">
      <c r="C6252" s="1"/>
    </row>
    <row r="6253" spans="3:3" x14ac:dyDescent="0.25">
      <c r="C6253" s="1"/>
    </row>
    <row r="6254" spans="3:3" x14ac:dyDescent="0.25">
      <c r="C6254" s="1"/>
    </row>
    <row r="6255" spans="3:3" x14ac:dyDescent="0.25">
      <c r="C6255" s="1"/>
    </row>
    <row r="6256" spans="3:3" x14ac:dyDescent="0.25">
      <c r="C6256" s="1"/>
    </row>
    <row r="6257" spans="3:3" x14ac:dyDescent="0.25">
      <c r="C6257" s="1"/>
    </row>
    <row r="6258" spans="3:3" x14ac:dyDescent="0.25">
      <c r="C6258" s="1"/>
    </row>
    <row r="6259" spans="3:3" x14ac:dyDescent="0.25">
      <c r="C6259" s="1"/>
    </row>
    <row r="6260" spans="3:3" x14ac:dyDescent="0.25">
      <c r="C6260" s="1"/>
    </row>
    <row r="6261" spans="3:3" x14ac:dyDescent="0.25">
      <c r="C6261" s="1"/>
    </row>
    <row r="6262" spans="3:3" x14ac:dyDescent="0.25">
      <c r="C6262" s="1"/>
    </row>
    <row r="6263" spans="3:3" x14ac:dyDescent="0.25">
      <c r="C6263" s="1"/>
    </row>
    <row r="6264" spans="3:3" x14ac:dyDescent="0.25">
      <c r="C6264" s="1"/>
    </row>
    <row r="6265" spans="3:3" x14ac:dyDescent="0.25">
      <c r="C6265" s="1"/>
    </row>
    <row r="6266" spans="3:3" x14ac:dyDescent="0.25">
      <c r="C6266" s="1"/>
    </row>
    <row r="6267" spans="3:3" x14ac:dyDescent="0.25">
      <c r="C6267" s="1"/>
    </row>
    <row r="6268" spans="3:3" x14ac:dyDescent="0.25">
      <c r="C6268" s="1"/>
    </row>
    <row r="6269" spans="3:3" x14ac:dyDescent="0.25">
      <c r="C6269" s="1"/>
    </row>
    <row r="6270" spans="3:3" x14ac:dyDescent="0.25">
      <c r="C6270" s="1"/>
    </row>
    <row r="6271" spans="3:3" x14ac:dyDescent="0.25">
      <c r="C6271" s="1"/>
    </row>
    <row r="6272" spans="3:3" x14ac:dyDescent="0.25">
      <c r="C6272" s="1"/>
    </row>
    <row r="6273" spans="3:3" x14ac:dyDescent="0.25">
      <c r="C6273" s="1"/>
    </row>
    <row r="6274" spans="3:3" x14ac:dyDescent="0.25">
      <c r="C6274" s="1"/>
    </row>
    <row r="6275" spans="3:3" x14ac:dyDescent="0.25">
      <c r="C6275" s="1"/>
    </row>
    <row r="6276" spans="3:3" x14ac:dyDescent="0.25">
      <c r="C6276" s="1"/>
    </row>
    <row r="6277" spans="3:3" x14ac:dyDescent="0.25">
      <c r="C6277" s="1"/>
    </row>
    <row r="6278" spans="3:3" x14ac:dyDescent="0.25">
      <c r="C6278" s="1"/>
    </row>
    <row r="6279" spans="3:3" x14ac:dyDescent="0.25">
      <c r="C6279" s="1"/>
    </row>
    <row r="6280" spans="3:3" x14ac:dyDescent="0.25">
      <c r="C6280" s="1"/>
    </row>
    <row r="6281" spans="3:3" x14ac:dyDescent="0.25">
      <c r="C6281" s="1"/>
    </row>
    <row r="6282" spans="3:3" x14ac:dyDescent="0.25">
      <c r="C6282" s="1"/>
    </row>
    <row r="6283" spans="3:3" x14ac:dyDescent="0.25">
      <c r="C6283" s="1"/>
    </row>
    <row r="6284" spans="3:3" x14ac:dyDescent="0.25">
      <c r="C6284" s="1"/>
    </row>
    <row r="6285" spans="3:3" x14ac:dyDescent="0.25">
      <c r="C6285" s="1"/>
    </row>
    <row r="6286" spans="3:3" x14ac:dyDescent="0.25">
      <c r="C6286" s="1"/>
    </row>
    <row r="6287" spans="3:3" x14ac:dyDescent="0.25">
      <c r="C6287" s="1"/>
    </row>
    <row r="6288" spans="3:3" x14ac:dyDescent="0.25">
      <c r="C6288" s="1"/>
    </row>
    <row r="6289" spans="3:3" x14ac:dyDescent="0.25">
      <c r="C6289" s="1"/>
    </row>
    <row r="6290" spans="3:3" x14ac:dyDescent="0.25">
      <c r="C6290" s="1"/>
    </row>
    <row r="6291" spans="3:3" x14ac:dyDescent="0.25">
      <c r="C6291" s="1"/>
    </row>
    <row r="6292" spans="3:3" x14ac:dyDescent="0.25">
      <c r="C6292" s="1"/>
    </row>
    <row r="6293" spans="3:3" x14ac:dyDescent="0.25">
      <c r="C6293" s="1"/>
    </row>
    <row r="6294" spans="3:3" x14ac:dyDescent="0.25">
      <c r="C6294" s="1"/>
    </row>
    <row r="6295" spans="3:3" x14ac:dyDescent="0.25">
      <c r="C6295" s="1"/>
    </row>
    <row r="6296" spans="3:3" x14ac:dyDescent="0.25">
      <c r="C6296" s="1"/>
    </row>
    <row r="6297" spans="3:3" x14ac:dyDescent="0.25">
      <c r="C6297" s="1"/>
    </row>
    <row r="6298" spans="3:3" x14ac:dyDescent="0.25">
      <c r="C6298" s="1"/>
    </row>
    <row r="6299" spans="3:3" x14ac:dyDescent="0.25">
      <c r="C6299" s="1"/>
    </row>
    <row r="6300" spans="3:3" x14ac:dyDescent="0.25">
      <c r="C6300" s="1"/>
    </row>
    <row r="6301" spans="3:3" x14ac:dyDescent="0.25">
      <c r="C6301" s="1"/>
    </row>
    <row r="6302" spans="3:3" x14ac:dyDescent="0.25">
      <c r="C6302" s="1"/>
    </row>
    <row r="6303" spans="3:3" x14ac:dyDescent="0.25">
      <c r="C6303" s="1"/>
    </row>
    <row r="6304" spans="3:3" x14ac:dyDescent="0.25">
      <c r="C6304" s="1"/>
    </row>
    <row r="6305" spans="3:3" x14ac:dyDescent="0.25">
      <c r="C6305" s="1"/>
    </row>
    <row r="6306" spans="3:3" x14ac:dyDescent="0.25">
      <c r="C6306" s="1"/>
    </row>
    <row r="6307" spans="3:3" x14ac:dyDescent="0.25">
      <c r="C6307" s="1"/>
    </row>
    <row r="6308" spans="3:3" x14ac:dyDescent="0.25">
      <c r="C6308" s="1"/>
    </row>
    <row r="6309" spans="3:3" x14ac:dyDescent="0.25">
      <c r="C6309" s="1"/>
    </row>
    <row r="6310" spans="3:3" x14ac:dyDescent="0.25">
      <c r="C6310" s="1"/>
    </row>
    <row r="6311" spans="3:3" x14ac:dyDescent="0.25">
      <c r="C6311" s="1"/>
    </row>
    <row r="6312" spans="3:3" x14ac:dyDescent="0.25">
      <c r="C6312" s="1"/>
    </row>
    <row r="6313" spans="3:3" x14ac:dyDescent="0.25">
      <c r="C6313" s="1"/>
    </row>
    <row r="6314" spans="3:3" x14ac:dyDescent="0.25">
      <c r="C6314" s="1"/>
    </row>
    <row r="6315" spans="3:3" x14ac:dyDescent="0.25">
      <c r="C6315" s="1"/>
    </row>
    <row r="6316" spans="3:3" x14ac:dyDescent="0.25">
      <c r="C6316" s="1"/>
    </row>
    <row r="6317" spans="3:3" x14ac:dyDescent="0.25">
      <c r="C6317" s="1"/>
    </row>
    <row r="6318" spans="3:3" x14ac:dyDescent="0.25">
      <c r="C6318" s="1"/>
    </row>
    <row r="6319" spans="3:3" x14ac:dyDescent="0.25">
      <c r="C6319" s="1"/>
    </row>
    <row r="6320" spans="3:3" x14ac:dyDescent="0.25">
      <c r="C6320" s="1"/>
    </row>
    <row r="6321" spans="3:3" x14ac:dyDescent="0.25">
      <c r="C6321" s="1"/>
    </row>
    <row r="6322" spans="3:3" x14ac:dyDescent="0.25">
      <c r="C6322" s="1"/>
    </row>
    <row r="6323" spans="3:3" x14ac:dyDescent="0.25">
      <c r="C6323" s="1"/>
    </row>
    <row r="6324" spans="3:3" x14ac:dyDescent="0.25">
      <c r="C6324" s="1"/>
    </row>
    <row r="6325" spans="3:3" x14ac:dyDescent="0.25">
      <c r="C6325" s="1"/>
    </row>
    <row r="6326" spans="3:3" x14ac:dyDescent="0.25">
      <c r="C6326" s="1"/>
    </row>
    <row r="6327" spans="3:3" x14ac:dyDescent="0.25">
      <c r="C6327" s="1"/>
    </row>
    <row r="6328" spans="3:3" x14ac:dyDescent="0.25">
      <c r="C6328" s="1"/>
    </row>
    <row r="6329" spans="3:3" x14ac:dyDescent="0.25">
      <c r="C6329" s="1"/>
    </row>
    <row r="6330" spans="3:3" x14ac:dyDescent="0.25">
      <c r="C6330" s="1"/>
    </row>
    <row r="6331" spans="3:3" x14ac:dyDescent="0.25">
      <c r="C6331" s="1"/>
    </row>
    <row r="6332" spans="3:3" x14ac:dyDescent="0.25">
      <c r="C6332" s="1"/>
    </row>
    <row r="6333" spans="3:3" x14ac:dyDescent="0.25">
      <c r="C6333" s="1"/>
    </row>
    <row r="6334" spans="3:3" x14ac:dyDescent="0.25">
      <c r="C6334" s="1"/>
    </row>
    <row r="6335" spans="3:3" x14ac:dyDescent="0.25">
      <c r="C6335" s="1"/>
    </row>
    <row r="6336" spans="3:3" x14ac:dyDescent="0.25">
      <c r="C6336" s="1"/>
    </row>
    <row r="6337" spans="3:3" x14ac:dyDescent="0.25">
      <c r="C6337" s="1"/>
    </row>
    <row r="6338" spans="3:3" x14ac:dyDescent="0.25">
      <c r="C6338" s="1"/>
    </row>
    <row r="6339" spans="3:3" x14ac:dyDescent="0.25">
      <c r="C6339" s="1"/>
    </row>
    <row r="6340" spans="3:3" x14ac:dyDescent="0.25">
      <c r="C6340" s="1"/>
    </row>
    <row r="6341" spans="3:3" x14ac:dyDescent="0.25">
      <c r="C6341" s="1"/>
    </row>
    <row r="6342" spans="3:3" x14ac:dyDescent="0.25">
      <c r="C6342" s="1"/>
    </row>
    <row r="6343" spans="3:3" x14ac:dyDescent="0.25">
      <c r="C6343" s="1"/>
    </row>
    <row r="6344" spans="3:3" x14ac:dyDescent="0.25">
      <c r="C6344" s="1"/>
    </row>
    <row r="6345" spans="3:3" x14ac:dyDescent="0.25">
      <c r="C6345" s="1"/>
    </row>
    <row r="6346" spans="3:3" x14ac:dyDescent="0.25">
      <c r="C6346" s="1"/>
    </row>
    <row r="6347" spans="3:3" x14ac:dyDescent="0.25">
      <c r="C6347" s="1"/>
    </row>
    <row r="6348" spans="3:3" x14ac:dyDescent="0.25">
      <c r="C6348" s="1"/>
    </row>
    <row r="6349" spans="3:3" x14ac:dyDescent="0.25">
      <c r="C6349" s="1"/>
    </row>
    <row r="6350" spans="3:3" x14ac:dyDescent="0.25">
      <c r="C6350" s="1"/>
    </row>
    <row r="6351" spans="3:3" x14ac:dyDescent="0.25">
      <c r="C6351" s="1"/>
    </row>
    <row r="6352" spans="3:3" x14ac:dyDescent="0.25">
      <c r="C6352" s="1"/>
    </row>
    <row r="6353" spans="3:3" x14ac:dyDescent="0.25">
      <c r="C6353" s="1"/>
    </row>
    <row r="6354" spans="3:3" x14ac:dyDescent="0.25">
      <c r="C6354" s="1"/>
    </row>
    <row r="6355" spans="3:3" x14ac:dyDescent="0.25">
      <c r="C6355" s="1"/>
    </row>
    <row r="6356" spans="3:3" x14ac:dyDescent="0.25">
      <c r="C6356" s="1"/>
    </row>
    <row r="6357" spans="3:3" x14ac:dyDescent="0.25">
      <c r="C6357" s="1"/>
    </row>
    <row r="6358" spans="3:3" x14ac:dyDescent="0.25">
      <c r="C6358" s="1"/>
    </row>
    <row r="6359" spans="3:3" x14ac:dyDescent="0.25">
      <c r="C6359" s="1"/>
    </row>
    <row r="6360" spans="3:3" x14ac:dyDescent="0.25">
      <c r="C6360" s="1"/>
    </row>
    <row r="6361" spans="3:3" x14ac:dyDescent="0.25">
      <c r="C6361" s="1"/>
    </row>
    <row r="6362" spans="3:3" x14ac:dyDescent="0.25">
      <c r="C6362" s="1"/>
    </row>
    <row r="6363" spans="3:3" x14ac:dyDescent="0.25">
      <c r="C6363" s="1"/>
    </row>
    <row r="6364" spans="3:3" x14ac:dyDescent="0.25">
      <c r="C6364" s="1"/>
    </row>
    <row r="6365" spans="3:3" x14ac:dyDescent="0.25">
      <c r="C6365" s="1"/>
    </row>
    <row r="6366" spans="3:3" x14ac:dyDescent="0.25">
      <c r="C6366" s="1"/>
    </row>
    <row r="6367" spans="3:3" x14ac:dyDescent="0.25">
      <c r="C6367" s="1"/>
    </row>
    <row r="6368" spans="3:3" x14ac:dyDescent="0.25">
      <c r="C6368" s="1"/>
    </row>
    <row r="6369" spans="3:3" x14ac:dyDescent="0.25">
      <c r="C6369" s="1"/>
    </row>
    <row r="6370" spans="3:3" x14ac:dyDescent="0.25">
      <c r="C6370" s="1"/>
    </row>
    <row r="6371" spans="3:3" x14ac:dyDescent="0.25">
      <c r="C6371" s="1"/>
    </row>
    <row r="6372" spans="3:3" x14ac:dyDescent="0.25">
      <c r="C6372" s="1"/>
    </row>
    <row r="6373" spans="3:3" x14ac:dyDescent="0.25">
      <c r="C6373" s="1"/>
    </row>
    <row r="6374" spans="3:3" x14ac:dyDescent="0.25">
      <c r="C6374" s="1"/>
    </row>
    <row r="6375" spans="3:3" x14ac:dyDescent="0.25">
      <c r="C6375" s="1"/>
    </row>
    <row r="6376" spans="3:3" x14ac:dyDescent="0.25">
      <c r="C6376" s="1"/>
    </row>
    <row r="6377" spans="3:3" x14ac:dyDescent="0.25">
      <c r="C6377" s="1"/>
    </row>
    <row r="6378" spans="3:3" x14ac:dyDescent="0.25">
      <c r="C6378" s="1"/>
    </row>
    <row r="6379" spans="3:3" x14ac:dyDescent="0.25">
      <c r="C6379" s="1"/>
    </row>
    <row r="6380" spans="3:3" x14ac:dyDescent="0.25">
      <c r="C6380" s="1"/>
    </row>
    <row r="6381" spans="3:3" x14ac:dyDescent="0.25">
      <c r="C6381" s="1"/>
    </row>
    <row r="6382" spans="3:3" x14ac:dyDescent="0.25">
      <c r="C6382" s="1"/>
    </row>
    <row r="6383" spans="3:3" x14ac:dyDescent="0.25">
      <c r="C6383" s="1"/>
    </row>
    <row r="6384" spans="3:3" x14ac:dyDescent="0.25">
      <c r="C6384" s="1"/>
    </row>
    <row r="6385" spans="3:3" x14ac:dyDescent="0.25">
      <c r="C6385" s="1"/>
    </row>
    <row r="6386" spans="3:3" x14ac:dyDescent="0.25">
      <c r="C6386" s="1"/>
    </row>
    <row r="6387" spans="3:3" x14ac:dyDescent="0.25">
      <c r="C6387" s="1"/>
    </row>
    <row r="6388" spans="3:3" x14ac:dyDescent="0.25">
      <c r="C6388" s="1"/>
    </row>
    <row r="6389" spans="3:3" x14ac:dyDescent="0.25">
      <c r="C6389" s="1"/>
    </row>
    <row r="6390" spans="3:3" x14ac:dyDescent="0.25">
      <c r="C6390" s="1"/>
    </row>
    <row r="6391" spans="3:3" x14ac:dyDescent="0.25">
      <c r="C6391" s="1"/>
    </row>
    <row r="6392" spans="3:3" x14ac:dyDescent="0.25">
      <c r="C6392" s="1"/>
    </row>
    <row r="6393" spans="3:3" x14ac:dyDescent="0.25">
      <c r="C6393" s="1"/>
    </row>
    <row r="6394" spans="3:3" x14ac:dyDescent="0.25">
      <c r="C6394" s="1"/>
    </row>
    <row r="6395" spans="3:3" x14ac:dyDescent="0.25">
      <c r="C6395" s="1"/>
    </row>
    <row r="6396" spans="3:3" x14ac:dyDescent="0.25">
      <c r="C6396" s="1"/>
    </row>
    <row r="6397" spans="3:3" x14ac:dyDescent="0.25">
      <c r="C6397" s="1"/>
    </row>
    <row r="6398" spans="3:3" x14ac:dyDescent="0.25">
      <c r="C6398" s="1"/>
    </row>
    <row r="6399" spans="3:3" x14ac:dyDescent="0.25">
      <c r="C6399" s="1"/>
    </row>
    <row r="6400" spans="3:3" x14ac:dyDescent="0.25">
      <c r="C6400" s="1"/>
    </row>
    <row r="6401" spans="3:3" x14ac:dyDescent="0.25">
      <c r="C6401" s="1"/>
    </row>
    <row r="6402" spans="3:3" x14ac:dyDescent="0.25">
      <c r="C6402" s="1"/>
    </row>
    <row r="6403" spans="3:3" x14ac:dyDescent="0.25">
      <c r="C6403" s="1"/>
    </row>
    <row r="6404" spans="3:3" x14ac:dyDescent="0.25">
      <c r="C6404" s="1"/>
    </row>
    <row r="6405" spans="3:3" x14ac:dyDescent="0.25">
      <c r="C6405" s="1"/>
    </row>
    <row r="6406" spans="3:3" x14ac:dyDescent="0.25">
      <c r="C6406" s="1"/>
    </row>
    <row r="6407" spans="3:3" x14ac:dyDescent="0.25">
      <c r="C6407" s="1"/>
    </row>
    <row r="6408" spans="3:3" x14ac:dyDescent="0.25">
      <c r="C6408" s="1"/>
    </row>
    <row r="6409" spans="3:3" x14ac:dyDescent="0.25">
      <c r="C6409" s="1"/>
    </row>
    <row r="6410" spans="3:3" x14ac:dyDescent="0.25">
      <c r="C6410" s="1"/>
    </row>
    <row r="6411" spans="3:3" x14ac:dyDescent="0.25">
      <c r="C6411" s="1"/>
    </row>
    <row r="6412" spans="3:3" x14ac:dyDescent="0.25">
      <c r="C6412" s="1"/>
    </row>
    <row r="6413" spans="3:3" x14ac:dyDescent="0.25">
      <c r="C6413" s="1"/>
    </row>
    <row r="6414" spans="3:3" x14ac:dyDescent="0.25">
      <c r="C6414" s="1"/>
    </row>
    <row r="6415" spans="3:3" x14ac:dyDescent="0.25">
      <c r="C6415" s="1"/>
    </row>
    <row r="6416" spans="3:3" x14ac:dyDescent="0.25">
      <c r="C6416" s="1"/>
    </row>
    <row r="6417" spans="3:3" x14ac:dyDescent="0.25">
      <c r="C6417" s="1"/>
    </row>
    <row r="6418" spans="3:3" x14ac:dyDescent="0.25">
      <c r="C6418" s="1"/>
    </row>
    <row r="6419" spans="3:3" x14ac:dyDescent="0.25">
      <c r="C6419" s="1"/>
    </row>
    <row r="6420" spans="3:3" x14ac:dyDescent="0.25">
      <c r="C6420" s="1"/>
    </row>
    <row r="6421" spans="3:3" x14ac:dyDescent="0.25">
      <c r="C6421" s="1"/>
    </row>
    <row r="6422" spans="3:3" x14ac:dyDescent="0.25">
      <c r="C6422" s="1"/>
    </row>
    <row r="6423" spans="3:3" x14ac:dyDescent="0.25">
      <c r="C6423" s="1"/>
    </row>
    <row r="6424" spans="3:3" x14ac:dyDescent="0.25">
      <c r="C6424" s="1"/>
    </row>
    <row r="6425" spans="3:3" x14ac:dyDescent="0.25">
      <c r="C6425" s="1"/>
    </row>
    <row r="6426" spans="3:3" x14ac:dyDescent="0.25">
      <c r="C6426" s="1"/>
    </row>
    <row r="6427" spans="3:3" x14ac:dyDescent="0.25">
      <c r="C6427" s="1"/>
    </row>
    <row r="6428" spans="3:3" x14ac:dyDescent="0.25">
      <c r="C6428" s="1"/>
    </row>
    <row r="6429" spans="3:3" x14ac:dyDescent="0.25">
      <c r="C6429" s="1"/>
    </row>
    <row r="6430" spans="3:3" x14ac:dyDescent="0.25">
      <c r="C6430" s="1"/>
    </row>
    <row r="6431" spans="3:3" x14ac:dyDescent="0.25">
      <c r="C6431" s="1"/>
    </row>
    <row r="6432" spans="3:3" x14ac:dyDescent="0.25">
      <c r="C6432" s="1"/>
    </row>
    <row r="6433" spans="3:3" x14ac:dyDescent="0.25">
      <c r="C6433" s="1"/>
    </row>
    <row r="6434" spans="3:3" x14ac:dyDescent="0.25">
      <c r="C6434" s="1"/>
    </row>
    <row r="6435" spans="3:3" x14ac:dyDescent="0.25">
      <c r="C6435" s="1"/>
    </row>
    <row r="6436" spans="3:3" x14ac:dyDescent="0.25">
      <c r="C6436" s="1"/>
    </row>
    <row r="6437" spans="3:3" x14ac:dyDescent="0.25">
      <c r="C6437" s="1"/>
    </row>
    <row r="6438" spans="3:3" x14ac:dyDescent="0.25">
      <c r="C6438" s="1"/>
    </row>
    <row r="6439" spans="3:3" x14ac:dyDescent="0.25">
      <c r="C6439" s="1"/>
    </row>
    <row r="6440" spans="3:3" x14ac:dyDescent="0.25">
      <c r="C6440" s="1"/>
    </row>
    <row r="6441" spans="3:3" x14ac:dyDescent="0.25">
      <c r="C6441" s="1"/>
    </row>
    <row r="6442" spans="3:3" x14ac:dyDescent="0.25">
      <c r="C6442" s="1"/>
    </row>
    <row r="6443" spans="3:3" x14ac:dyDescent="0.25">
      <c r="C6443" s="1"/>
    </row>
    <row r="6444" spans="3:3" x14ac:dyDescent="0.25">
      <c r="C6444" s="1"/>
    </row>
    <row r="6445" spans="3:3" x14ac:dyDescent="0.25">
      <c r="C6445" s="1"/>
    </row>
    <row r="6446" spans="3:3" x14ac:dyDescent="0.25">
      <c r="C6446" s="1"/>
    </row>
    <row r="6447" spans="3:3" x14ac:dyDescent="0.25">
      <c r="C6447" s="1"/>
    </row>
    <row r="6448" spans="3:3" x14ac:dyDescent="0.25">
      <c r="C6448" s="1"/>
    </row>
    <row r="6449" spans="3:3" x14ac:dyDescent="0.25">
      <c r="C6449" s="1"/>
    </row>
    <row r="6450" spans="3:3" x14ac:dyDescent="0.25">
      <c r="C6450" s="1"/>
    </row>
    <row r="6451" spans="3:3" x14ac:dyDescent="0.25">
      <c r="C6451" s="1"/>
    </row>
    <row r="6452" spans="3:3" x14ac:dyDescent="0.25">
      <c r="C6452" s="1"/>
    </row>
    <row r="6453" spans="3:3" x14ac:dyDescent="0.25">
      <c r="C6453" s="1"/>
    </row>
    <row r="6454" spans="3:3" x14ac:dyDescent="0.25">
      <c r="C6454" s="1"/>
    </row>
    <row r="6455" spans="3:3" x14ac:dyDescent="0.25">
      <c r="C6455" s="1"/>
    </row>
    <row r="6456" spans="3:3" x14ac:dyDescent="0.25">
      <c r="C6456" s="1"/>
    </row>
    <row r="6457" spans="3:3" x14ac:dyDescent="0.25">
      <c r="C6457" s="1"/>
    </row>
    <row r="6458" spans="3:3" x14ac:dyDescent="0.25">
      <c r="C6458" s="1"/>
    </row>
    <row r="6459" spans="3:3" x14ac:dyDescent="0.25">
      <c r="C6459" s="1"/>
    </row>
    <row r="6460" spans="3:3" x14ac:dyDescent="0.25">
      <c r="C6460" s="1"/>
    </row>
    <row r="6461" spans="3:3" x14ac:dyDescent="0.25">
      <c r="C6461" s="1"/>
    </row>
    <row r="6462" spans="3:3" x14ac:dyDescent="0.25">
      <c r="C6462" s="1"/>
    </row>
    <row r="6463" spans="3:3" x14ac:dyDescent="0.25">
      <c r="C6463" s="1"/>
    </row>
    <row r="6464" spans="3:3" x14ac:dyDescent="0.25">
      <c r="C6464" s="1"/>
    </row>
    <row r="6465" spans="3:3" x14ac:dyDescent="0.25">
      <c r="C6465" s="1"/>
    </row>
    <row r="6466" spans="3:3" x14ac:dyDescent="0.25">
      <c r="C6466" s="1"/>
    </row>
    <row r="6467" spans="3:3" x14ac:dyDescent="0.25">
      <c r="C6467" s="1"/>
    </row>
    <row r="6468" spans="3:3" x14ac:dyDescent="0.25">
      <c r="C6468" s="1"/>
    </row>
    <row r="6469" spans="3:3" x14ac:dyDescent="0.25">
      <c r="C6469" s="1"/>
    </row>
    <row r="6470" spans="3:3" x14ac:dyDescent="0.25">
      <c r="C6470" s="1"/>
    </row>
    <row r="6471" spans="3:3" x14ac:dyDescent="0.25">
      <c r="C6471" s="1"/>
    </row>
    <row r="6472" spans="3:3" x14ac:dyDescent="0.25">
      <c r="C6472" s="1"/>
    </row>
    <row r="6473" spans="3:3" x14ac:dyDescent="0.25">
      <c r="C6473" s="1"/>
    </row>
    <row r="6474" spans="3:3" x14ac:dyDescent="0.25">
      <c r="C6474" s="1"/>
    </row>
    <row r="6660" spans="5:5" ht="15.75" thickBot="1" x14ac:dyDescent="0.3"/>
    <row r="6661" spans="5:5" x14ac:dyDescent="0.25">
      <c r="E6661" s="4"/>
    </row>
    <row r="6662" spans="5:5" x14ac:dyDescent="0.25">
      <c r="E6662" s="5"/>
    </row>
    <row r="6663" spans="5:5" x14ac:dyDescent="0.25">
      <c r="E6663" s="2"/>
    </row>
    <row r="6664" spans="5:5" ht="15.75" thickBot="1" x14ac:dyDescent="0.3">
      <c r="E6664" s="6"/>
    </row>
    <row r="6665" spans="5:5" x14ac:dyDescent="0.25">
      <c r="E6665" s="7"/>
    </row>
    <row r="6666" spans="5:5" ht="15.75" thickBot="1" x14ac:dyDescent="0.3">
      <c r="E6666" s="3"/>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D1273E-12A5-42DE-851C-6148CEC0EFE8}">
  <sheetPr codeName="Sheet12"/>
  <dimension ref="A1:X92"/>
  <sheetViews>
    <sheetView zoomScale="71" workbookViewId="0">
      <selection activeCell="G13" sqref="G13"/>
    </sheetView>
  </sheetViews>
  <sheetFormatPr defaultRowHeight="15" x14ac:dyDescent="0.25"/>
  <cols>
    <col min="1" max="1" width="38.7109375" style="8" bestFit="1" customWidth="1"/>
    <col min="2" max="2" width="16.5703125" style="8" bestFit="1" customWidth="1"/>
    <col min="3" max="3" width="25.7109375" style="8" bestFit="1" customWidth="1"/>
    <col min="4" max="4" width="40.42578125" style="8" bestFit="1" customWidth="1"/>
    <col min="5" max="5" width="11.85546875" style="8" bestFit="1" customWidth="1"/>
    <col min="6" max="6" width="19.28515625" style="8" bestFit="1" customWidth="1"/>
    <col min="7" max="7" width="30.140625" style="8" bestFit="1" customWidth="1"/>
    <col min="8" max="8" width="17.85546875" style="8" bestFit="1" customWidth="1"/>
    <col min="9" max="9" width="27.85546875" style="8" bestFit="1" customWidth="1"/>
    <col min="10" max="10" width="26.85546875" style="8" bestFit="1" customWidth="1"/>
    <col min="11" max="11" width="36.5703125" style="8" bestFit="1" customWidth="1"/>
    <col min="12" max="12" width="6.5703125" style="8" bestFit="1" customWidth="1"/>
    <col min="13" max="13" width="7.28515625" style="8" customWidth="1"/>
    <col min="14" max="14" width="9.85546875" style="8" bestFit="1" customWidth="1"/>
    <col min="15" max="16" width="7.28515625" style="8" customWidth="1"/>
    <col min="17" max="16384" width="9.140625" style="8"/>
  </cols>
  <sheetData>
    <row r="1" spans="1:24" ht="15.75" thickBot="1" x14ac:dyDescent="0.3">
      <c r="C1" s="9" t="s">
        <v>33</v>
      </c>
    </row>
    <row r="2" spans="1:24" ht="15.75" thickBot="1" x14ac:dyDescent="0.3">
      <c r="A2" s="41" t="s">
        <v>34</v>
      </c>
      <c r="B2" s="9" t="s">
        <v>13</v>
      </c>
      <c r="C2" s="9" t="s">
        <v>7</v>
      </c>
      <c r="D2" s="9" t="s">
        <v>23</v>
      </c>
      <c r="E2" s="9" t="s">
        <v>11</v>
      </c>
      <c r="F2" s="9" t="s">
        <v>14</v>
      </c>
      <c r="G2" s="9" t="s">
        <v>88</v>
      </c>
      <c r="H2" s="9" t="s">
        <v>9</v>
      </c>
      <c r="I2" s="9" t="s">
        <v>12</v>
      </c>
      <c r="J2" s="9" t="s">
        <v>15</v>
      </c>
      <c r="K2" s="9" t="s">
        <v>10</v>
      </c>
    </row>
    <row r="3" spans="1:24" x14ac:dyDescent="0.25">
      <c r="A3" s="14" t="s">
        <v>8</v>
      </c>
      <c r="B3" s="15">
        <f>IFERROR(SUMIFS(Rodeo!$D:$D,Rodeo!$A:$A,B$2,Rodeo!$B:$B,$A3),"0")</f>
        <v>0</v>
      </c>
      <c r="C3" s="15">
        <f>IFERROR(SUMIFS(Rodeo!$D:$D,Rodeo!$A:$A,C$2,Rodeo!$B:$B,$A3),"0")</f>
        <v>23659</v>
      </c>
      <c r="D3" s="15">
        <f>IFERROR(SUMIFS(Rodeo!$D:$D,Rodeo!$A:$A,D$2,Rodeo!$B:$B,$A3),"0")</f>
        <v>6070</v>
      </c>
      <c r="E3" s="15">
        <f>IFERROR(SUMIFS(Rodeo!$D:$D,Rodeo!$A:$A,E$2,Rodeo!$B:$B,$A3),"0")</f>
        <v>653</v>
      </c>
      <c r="F3" s="15">
        <f>IFERROR(SUMIFS(Rodeo!$D:$D,Rodeo!$A:$A,F$2,Rodeo!$B:$B,$A3),"0")</f>
        <v>53</v>
      </c>
      <c r="G3" s="15">
        <f>IFERROR(SUMIFS(Rodeo!$D:$D,Rodeo!$A:$A,G$2,Rodeo!$B:$B,$A3),"0")</f>
        <v>501</v>
      </c>
      <c r="H3" s="15">
        <f>IFERROR(SUMIFS(Rodeo!$D:$D,Rodeo!$A:$A,H$2,Rodeo!$B:$B,$A3),"0")</f>
        <v>1914</v>
      </c>
      <c r="I3" s="15">
        <f>IFERROR(SUMIFS(Rodeo!$D:$D,Rodeo!$A:$A,I$2,Rodeo!$B:$B,$A3),"0")</f>
        <v>1071</v>
      </c>
      <c r="J3" s="15">
        <f>IFERROR(SUMIFS(Rodeo!$D:$D,Rodeo!$A:$A,J$2,Rodeo!$B:$B,$A3),"0")</f>
        <v>92</v>
      </c>
      <c r="K3" s="15">
        <f>IFERROR(SUMIFS(Rodeo!$D:$D,Rodeo!$A:$A,K$2,Rodeo!$B:$B,$A3),"0")</f>
        <v>250</v>
      </c>
      <c r="U3" s="17"/>
    </row>
    <row r="4" spans="1:24" ht="15.75" thickBot="1" x14ac:dyDescent="0.3">
      <c r="A4" s="18" t="s">
        <v>19</v>
      </c>
      <c r="B4" s="19">
        <f>IFERROR(SUMIFS(Rodeo!$D:$D,Rodeo!$A:$A,B$2,Rodeo!$B:$B,$A4),"0")</f>
        <v>0</v>
      </c>
      <c r="C4" s="19">
        <f>IFERROR(SUMIFS(Rodeo!$D:$D,Rodeo!$A:$A,C$2,Rodeo!$B:$B,$A4),"0")</f>
        <v>21685</v>
      </c>
      <c r="D4" s="19">
        <f>IFERROR(SUMIFS(Rodeo!$D:$D,Rodeo!$A:$A,D$2,Rodeo!$B:$B,$A4),"0")</f>
        <v>5309</v>
      </c>
      <c r="E4" s="19">
        <f>IFERROR(SUMIFS(Rodeo!$D:$D,Rodeo!$A:$A,E$2,Rodeo!$B:$B,$A4),"0")</f>
        <v>316</v>
      </c>
      <c r="F4" s="19">
        <f>IFERROR(SUMIFS(Rodeo!$D:$D,Rodeo!$A:$A,F$2,Rodeo!$B:$B,$A4),"0")</f>
        <v>51</v>
      </c>
      <c r="G4" s="19">
        <f>IFERROR(SUMIFS(Rodeo!$D:$D,Rodeo!$A:$A,G$2,Rodeo!$B:$B,$A4),"0")</f>
        <v>370</v>
      </c>
      <c r="H4" s="19">
        <f>IFERROR(SUMIFS(Rodeo!$D:$D,Rodeo!$A:$A,H$2,Rodeo!$B:$B,$A4),"0")</f>
        <v>3208</v>
      </c>
      <c r="I4" s="19">
        <f>IFERROR(SUMIFS(Rodeo!$D:$D,Rodeo!$A:$A,I$2,Rodeo!$B:$B,$A4),"0")</f>
        <v>678</v>
      </c>
      <c r="J4" s="19">
        <f>IFERROR(SUMIFS(Rodeo!$D:$D,Rodeo!$A:$A,J$2,Rodeo!$B:$B,$A4),"0")</f>
        <v>166</v>
      </c>
      <c r="K4" s="19">
        <f>IFERROR(SUMIFS(Rodeo!$D:$D,Rodeo!$A:$A,K$2,Rodeo!$B:$B,$A4),"0")</f>
        <v>1994</v>
      </c>
    </row>
    <row r="5" spans="1:24" x14ac:dyDescent="0.25">
      <c r="A5" s="20" t="s">
        <v>2</v>
      </c>
      <c r="B5" s="21">
        <f>IFERROR(SUMIFS(Rodeo!$D:$D,Rodeo!$A:$A,B$2,Rodeo!$B:$B,$A5),"0")</f>
        <v>0</v>
      </c>
      <c r="C5" s="21">
        <f>IFERROR(SUMIFS(Rodeo!$D:$D,Rodeo!$A:$A,C$2,Rodeo!$B:$B,$A5),"0")</f>
        <v>7870</v>
      </c>
      <c r="D5" s="21">
        <f>IFERROR(SUMIFS(Rodeo!$D:$D,Rodeo!$A:$A,D$2,Rodeo!$B:$B,$A5),"0")</f>
        <v>624</v>
      </c>
      <c r="E5" s="21">
        <f>IFERROR(SUMIFS(Rodeo!$D:$D,Rodeo!$A:$A,E$2,Rodeo!$B:$B,$A5),"0")</f>
        <v>216</v>
      </c>
      <c r="F5" s="21">
        <f>IFERROR(SUMIFS(Rodeo!$D:$D,Rodeo!$A:$A,F$2,Rodeo!$B:$B,$A5),"0")</f>
        <v>13</v>
      </c>
      <c r="G5" s="21">
        <f>IFERROR(SUMIFS(Rodeo!$D:$D,Rodeo!$A:$A,G$2,Rodeo!$B:$B,$A5),"0")</f>
        <v>109</v>
      </c>
      <c r="H5" s="21">
        <f>IFERROR(SUMIFS(Rodeo!$D:$D,Rodeo!$A:$A,H$2,Rodeo!$B:$B,$A5),"0")</f>
        <v>1453</v>
      </c>
      <c r="I5" s="21">
        <f>IFERROR(SUMIFS(Rodeo!$D:$D,Rodeo!$A:$A,I$2,Rodeo!$B:$B,$A5),"0")</f>
        <v>233</v>
      </c>
      <c r="J5" s="21">
        <f>IFERROR(SUMIFS(Rodeo!$D:$D,Rodeo!$A:$A,J$2,Rodeo!$B:$B,$A5),"0")</f>
        <v>39</v>
      </c>
      <c r="K5" s="21">
        <f>IFERROR(SUMIFS(Rodeo!$D:$D,Rodeo!$A:$A,K$2,Rodeo!$B:$B,$A5),"0")</f>
        <v>1072</v>
      </c>
      <c r="U5" s="23"/>
    </row>
    <row r="6" spans="1:24" ht="15.75" thickBot="1" x14ac:dyDescent="0.3">
      <c r="A6" s="24" t="s">
        <v>1</v>
      </c>
      <c r="B6" s="25">
        <f>IFERROR(SUMIFS(Rodeo!$D:$D,Rodeo!$A:$A,B$2,Rodeo!$B:$B,$A6),"0")</f>
        <v>0</v>
      </c>
      <c r="C6" s="25">
        <f>IFERROR(SUMIFS(Rodeo!$D:$D,Rodeo!$A:$A,C$2,Rodeo!$B:$B,$A6),"0")</f>
        <v>3535</v>
      </c>
      <c r="D6" s="25">
        <f>IFERROR(SUMIFS(Rodeo!$D:$D,Rodeo!$A:$A,D$2,Rodeo!$B:$B,$A6),"0")</f>
        <v>351</v>
      </c>
      <c r="E6" s="25">
        <f>IFERROR(SUMIFS(Rodeo!$D:$D,Rodeo!$A:$A,E$2,Rodeo!$B:$B,$A6),"0")</f>
        <v>11</v>
      </c>
      <c r="F6" s="25">
        <f>IFERROR(SUMIFS(Rodeo!$D:$D,Rodeo!$A:$A,F$2,Rodeo!$B:$B,$A6),"0")</f>
        <v>4</v>
      </c>
      <c r="G6" s="25">
        <f>IFERROR(SUMIFS(Rodeo!$D:$D,Rodeo!$A:$A,G$2,Rodeo!$B:$B,$A6),"0")</f>
        <v>69</v>
      </c>
      <c r="H6" s="25">
        <f>IFERROR(SUMIFS(Rodeo!$D:$D,Rodeo!$A:$A,H$2,Rodeo!$B:$B,$A6),"0")</f>
        <v>619</v>
      </c>
      <c r="I6" s="25">
        <f>IFERROR(SUMIFS(Rodeo!$D:$D,Rodeo!$A:$A,I$2,Rodeo!$B:$B,$A6),"0")</f>
        <v>160</v>
      </c>
      <c r="J6" s="25">
        <f>IFERROR(SUMIFS(Rodeo!$D:$D,Rodeo!$A:$A,J$2,Rodeo!$B:$B,$A6),"0")</f>
        <v>14</v>
      </c>
      <c r="K6" s="25">
        <f>IFERROR(SUMIFS(Rodeo!$D:$D,Rodeo!$A:$A,K$2,Rodeo!$B:$B,$A6),"0")</f>
        <v>376</v>
      </c>
      <c r="U6" s="23"/>
    </row>
    <row r="7" spans="1:24" x14ac:dyDescent="0.25">
      <c r="A7" s="14" t="s">
        <v>55</v>
      </c>
      <c r="B7" s="15">
        <f>IFERROR(SUMIFS(Rodeo!$D:$D,Rodeo!$A:$A,B$2,Rodeo!$B:$B,$A7),"0")</f>
        <v>0</v>
      </c>
      <c r="C7" s="15">
        <f>IFERROR(SUMIFS(Rodeo!$D:$D,Rodeo!$A:$A,C$2,Rodeo!$B:$B,$A7),"0")</f>
        <v>6441</v>
      </c>
      <c r="D7" s="15">
        <f>IFERROR(SUMIFS(Rodeo!$D:$D,Rodeo!$A:$A,D$2,Rodeo!$B:$B,$A7),"0")</f>
        <v>493</v>
      </c>
      <c r="E7" s="15">
        <f>IFERROR(SUMIFS(Rodeo!$D:$D,Rodeo!$A:$A,E$2,Rodeo!$B:$B,$A7),"0")</f>
        <v>6</v>
      </c>
      <c r="F7" s="15">
        <f>IFERROR(SUMIFS(Rodeo!$D:$D,Rodeo!$A:$A,F$2,Rodeo!$B:$B,$A7),"0")</f>
        <v>15</v>
      </c>
      <c r="G7" s="15">
        <f>IFERROR(SUMIFS(Rodeo!$D:$D,Rodeo!$A:$A,G$2,Rodeo!$B:$B,$A7),"0")</f>
        <v>575</v>
      </c>
      <c r="H7" s="15">
        <f>IFERROR(SUMIFS(Rodeo!$D:$D,Rodeo!$A:$A,H$2,Rodeo!$B:$B,$A7),"0")</f>
        <v>2194</v>
      </c>
      <c r="I7" s="15">
        <f>IFERROR(SUMIFS(Rodeo!$D:$D,Rodeo!$A:$A,I$2,Rodeo!$B:$B,$A7),"0")</f>
        <v>200</v>
      </c>
      <c r="J7" s="15">
        <f>IFERROR(SUMIFS(Rodeo!$D:$D,Rodeo!$A:$A,J$2,Rodeo!$B:$B,$A7),"0")</f>
        <v>28</v>
      </c>
      <c r="K7" s="15">
        <f>IFERROR(SUMIFS(Rodeo!$D:$D,Rodeo!$A:$A,K$2,Rodeo!$B:$B,$A7),"0")</f>
        <v>1391</v>
      </c>
      <c r="U7" s="23"/>
    </row>
    <row r="8" spans="1:24" ht="15.75" thickBot="1" x14ac:dyDescent="0.3">
      <c r="A8" s="18" t="s">
        <v>35</v>
      </c>
      <c r="B8" s="19">
        <f>IFERROR(SUMIFS(Rodeo!$D:$D,Rodeo!$A:$A,B$2,Rodeo!$B:$B,$A8),"0")</f>
        <v>0</v>
      </c>
      <c r="C8" s="19">
        <f>IFERROR(SUMIFS(Rodeo!$D:$D,Rodeo!$A:$A,C$2,Rodeo!$B:$B,$A8),"0")</f>
        <v>2962</v>
      </c>
      <c r="D8" s="19">
        <f>IFERROR(SUMIFS(Rodeo!$D:$D,Rodeo!$A:$A,D$2,Rodeo!$B:$B,$A8),"0")</f>
        <v>269</v>
      </c>
      <c r="E8" s="19">
        <f>IFERROR(SUMIFS(Rodeo!$D:$D,Rodeo!$A:$A,E$2,Rodeo!$B:$B,$A8),"0")</f>
        <v>2</v>
      </c>
      <c r="F8" s="19">
        <f>IFERROR(SUMIFS(Rodeo!$D:$D,Rodeo!$A:$A,F$2,Rodeo!$B:$B,$A8),"0")</f>
        <v>12</v>
      </c>
      <c r="G8" s="19">
        <f>IFERROR(SUMIFS(Rodeo!$D:$D,Rodeo!$A:$A,G$2,Rodeo!$B:$B,$A8),"0")</f>
        <v>328</v>
      </c>
      <c r="H8" s="19">
        <f>IFERROR(SUMIFS(Rodeo!$D:$D,Rodeo!$A:$A,H$2,Rodeo!$B:$B,$A8),"0")</f>
        <v>2394</v>
      </c>
      <c r="I8" s="19">
        <f>IFERROR(SUMIFS(Rodeo!$D:$D,Rodeo!$A:$A,I$2,Rodeo!$B:$B,$A8),"0")</f>
        <v>398</v>
      </c>
      <c r="J8" s="19">
        <f>IFERROR(SUMIFS(Rodeo!$D:$D,Rodeo!$A:$A,J$2,Rodeo!$B:$B,$A8),"0")</f>
        <v>11</v>
      </c>
      <c r="K8" s="19">
        <f>IFERROR(SUMIFS(Rodeo!$D:$D,Rodeo!$A:$A,K$2,Rodeo!$B:$B,$A8),"0")</f>
        <v>1657</v>
      </c>
      <c r="U8" s="26"/>
      <c r="V8" s="27"/>
      <c r="W8" s="26"/>
      <c r="X8" s="27"/>
    </row>
    <row r="9" spans="1:24" x14ac:dyDescent="0.25">
      <c r="A9" s="20" t="s">
        <v>49</v>
      </c>
      <c r="B9" s="15">
        <f>IFERROR(SUMIFS(Rodeo!$D:$D,Rodeo!$A:$A,B$2,Rodeo!$B:$B,$A9),"0")</f>
        <v>0</v>
      </c>
      <c r="C9" s="15">
        <f>IFERROR(SUMIFS(Rodeo!$D:$D,Rodeo!$A:$A,C$2,Rodeo!$B:$B,$A9),"0")</f>
        <v>3772</v>
      </c>
      <c r="D9" s="15">
        <f>IFERROR(SUMIFS(Rodeo!$D:$D,Rodeo!$A:$A,D$2,Rodeo!$B:$B,$A9),"0")</f>
        <v>161</v>
      </c>
      <c r="E9" s="15">
        <f>IFERROR(SUMIFS(Rodeo!$D:$D,Rodeo!$A:$A,E$2,Rodeo!$B:$B,$A9),"0")</f>
        <v>0</v>
      </c>
      <c r="F9" s="15">
        <f>IFERROR(SUMIFS(Rodeo!$D:$D,Rodeo!$A:$A,F$2,Rodeo!$B:$B,$A9),"0")</f>
        <v>6</v>
      </c>
      <c r="G9" s="15">
        <f>IFERROR(SUMIFS(Rodeo!$D:$D,Rodeo!$A:$A,G$2,Rodeo!$B:$B,$A9),"0")</f>
        <v>69</v>
      </c>
      <c r="H9" s="15">
        <f>IFERROR(SUMIFS(Rodeo!$D:$D,Rodeo!$A:$A,H$2,Rodeo!$B:$B,$A9),"0")</f>
        <v>955</v>
      </c>
      <c r="I9" s="15">
        <f>IFERROR(SUMIFS(Rodeo!$D:$D,Rodeo!$A:$A,I$2,Rodeo!$B:$B,$A9),"0")</f>
        <v>208</v>
      </c>
      <c r="J9" s="15">
        <f>IFERROR(SUMIFS(Rodeo!$D:$D,Rodeo!$A:$A,J$2,Rodeo!$B:$B,$A9),"0")</f>
        <v>15</v>
      </c>
      <c r="K9" s="15">
        <f>IFERROR(SUMIFS(Rodeo!$D:$D,Rodeo!$A:$A,K$2,Rodeo!$B:$B,$A9),"0")</f>
        <v>663</v>
      </c>
    </row>
    <row r="10" spans="1:24" x14ac:dyDescent="0.25">
      <c r="A10" s="28" t="s">
        <v>38</v>
      </c>
      <c r="B10" s="29">
        <f>IFERROR(SUMIFS(Rodeo!$D:$D,Rodeo!$A:$A,B$2,Rodeo!$B:$B,$A10),"0")</f>
        <v>0</v>
      </c>
      <c r="C10" s="29">
        <f>IFERROR(SUMIFS(Rodeo!$D:$D,Rodeo!$A:$A,C$2,Rodeo!$B:$B,$A10),"0")</f>
        <v>0</v>
      </c>
      <c r="D10" s="29">
        <f>IFERROR(SUMIFS(Rodeo!$D:$D,Rodeo!$A:$A,D$2,Rodeo!$B:$B,$A10),"0")</f>
        <v>0</v>
      </c>
      <c r="E10" s="29">
        <f>IFERROR(SUMIFS(Rodeo!$D:$D,Rodeo!$A:$A,E$2,Rodeo!$B:$B,$A10),"0")</f>
        <v>0</v>
      </c>
      <c r="F10" s="29">
        <f>IFERROR(SUMIFS(Rodeo!$D:$D,Rodeo!$A:$A,F$2,Rodeo!$B:$B,$A10),"0")</f>
        <v>0</v>
      </c>
      <c r="G10" s="29">
        <f>IFERROR(SUMIFS(Rodeo!$D:$D,Rodeo!$A:$A,G$2,Rodeo!$B:$B,$A10),"0")</f>
        <v>0</v>
      </c>
      <c r="H10" s="29">
        <f>IFERROR(SUMIFS(Rodeo!$D:$D,Rodeo!$A:$A,H$2,Rodeo!$B:$B,$A10),"0")</f>
        <v>0</v>
      </c>
      <c r="I10" s="29">
        <f>IFERROR(SUMIFS(Rodeo!$D:$D,Rodeo!$A:$A,I$2,Rodeo!$B:$B,$A10),"0")</f>
        <v>0</v>
      </c>
      <c r="J10" s="29">
        <f>IFERROR(SUMIFS(Rodeo!$D:$D,Rodeo!$A:$A,J$2,Rodeo!$B:$B,$A10),"0")</f>
        <v>0</v>
      </c>
      <c r="K10" s="29">
        <f>IFERROR(SUMIFS(Rodeo!$D:$D,Rodeo!$A:$A,K$2,Rodeo!$B:$B,$A10),"0")</f>
        <v>0</v>
      </c>
    </row>
    <row r="11" spans="1:24" ht="15.75" thickBot="1" x14ac:dyDescent="0.3">
      <c r="A11" s="18" t="s">
        <v>5</v>
      </c>
      <c r="B11" s="25">
        <f>IFERROR(SUMIFS(Rodeo!$D:$D,Rodeo!$A:$A,B$2,Rodeo!$B:$B,$A11),"0")</f>
        <v>0</v>
      </c>
      <c r="C11" s="25">
        <f>IFERROR(SUMIFS(Rodeo!$D:$D,Rodeo!$A:$A,C$2,Rodeo!$B:$B,$A11),"0")</f>
        <v>0</v>
      </c>
      <c r="D11" s="25">
        <f>IFERROR(SUMIFS(Rodeo!$D:$D,Rodeo!$A:$A,D$2,Rodeo!$B:$B,$A11),"0")</f>
        <v>0</v>
      </c>
      <c r="E11" s="25">
        <f>IFERROR(SUMIFS(Rodeo!$D:$D,Rodeo!$A:$A,E$2,Rodeo!$B:$B,$A11),"0")</f>
        <v>0</v>
      </c>
      <c r="F11" s="25">
        <f>IFERROR(SUMIFS(Rodeo!$D:$D,Rodeo!$A:$A,F$2,Rodeo!$B:$B,$A11),"0")</f>
        <v>0</v>
      </c>
      <c r="G11" s="25">
        <f>IFERROR(SUMIFS(Rodeo!$D:$D,Rodeo!$A:$A,G$2,Rodeo!$B:$B,$A11),"0")</f>
        <v>0</v>
      </c>
      <c r="H11" s="25">
        <f>IFERROR(SUMIFS(Rodeo!$D:$D,Rodeo!$A:$A,H$2,Rodeo!$B:$B,$A11),"0")</f>
        <v>0</v>
      </c>
      <c r="I11" s="25">
        <f>IFERROR(SUMIFS(Rodeo!$D:$D,Rodeo!$A:$A,I$2,Rodeo!$B:$B,$A11),"0")</f>
        <v>0</v>
      </c>
      <c r="J11" s="25">
        <f>IFERROR(SUMIFS(Rodeo!$D:$D,Rodeo!$A:$A,J$2,Rodeo!$B:$B,$A11),"0")</f>
        <v>0</v>
      </c>
      <c r="K11" s="25">
        <f>IFERROR(SUMIFS(Rodeo!$D:$D,Rodeo!$A:$A,K$2,Rodeo!$B:$B,$A11),"0")</f>
        <v>0</v>
      </c>
    </row>
    <row r="12" spans="1:24" ht="15.75" thickBot="1" x14ac:dyDescent="0.3">
      <c r="A12" s="18" t="s">
        <v>43</v>
      </c>
      <c r="B12" s="62">
        <f t="shared" ref="B12:K12" si="0">SUM(B3:B11)</f>
        <v>0</v>
      </c>
      <c r="C12" s="62">
        <f t="shared" si="0"/>
        <v>69924</v>
      </c>
      <c r="D12" s="62">
        <f t="shared" si="0"/>
        <v>13277</v>
      </c>
      <c r="E12" s="62">
        <f t="shared" si="0"/>
        <v>1204</v>
      </c>
      <c r="F12" s="62">
        <f t="shared" si="0"/>
        <v>154</v>
      </c>
      <c r="G12" s="62">
        <f>SUM(G3:G11)</f>
        <v>2021</v>
      </c>
      <c r="H12" s="62">
        <f t="shared" si="0"/>
        <v>12737</v>
      </c>
      <c r="I12" s="62">
        <f t="shared" si="0"/>
        <v>2948</v>
      </c>
      <c r="J12" s="62">
        <f>SUM(J3:J11)</f>
        <v>365</v>
      </c>
      <c r="K12" s="62">
        <f t="shared" si="0"/>
        <v>7403</v>
      </c>
    </row>
    <row r="13" spans="1:24" ht="15.75" thickBot="1" x14ac:dyDescent="0.3"/>
    <row r="14" spans="1:24" ht="15.75" thickBot="1" x14ac:dyDescent="0.3">
      <c r="B14" s="9" t="s">
        <v>62</v>
      </c>
      <c r="C14" s="9" t="s">
        <v>7</v>
      </c>
      <c r="D14" s="9" t="s">
        <v>63</v>
      </c>
    </row>
    <row r="15" spans="1:24" x14ac:dyDescent="0.25">
      <c r="A15" s="14" t="s">
        <v>8</v>
      </c>
      <c r="B15" s="43" t="str">
        <f>TEXT((D3)/1000,"0.0")</f>
        <v>6.1</v>
      </c>
      <c r="C15" s="44" t="str">
        <f t="shared" ref="C15:C24" si="1">TEXT(C3/1000,"0")</f>
        <v>24</v>
      </c>
      <c r="D15" s="32" t="str">
        <f t="shared" ref="D15:D23" si="2">TEXT((C3-D3)/1000,"0.0")</f>
        <v>17.6</v>
      </c>
    </row>
    <row r="16" spans="1:24" ht="15.75" thickBot="1" x14ac:dyDescent="0.3">
      <c r="A16" s="24" t="s">
        <v>19</v>
      </c>
      <c r="B16" s="49" t="str">
        <f>TEXT((D4)/1000,"0.0")</f>
        <v>5.3</v>
      </c>
      <c r="C16" s="50" t="str">
        <f t="shared" si="1"/>
        <v>22</v>
      </c>
      <c r="D16" s="33" t="str">
        <f t="shared" si="2"/>
        <v>16.4</v>
      </c>
    </row>
    <row r="17" spans="1:11" x14ac:dyDescent="0.25">
      <c r="A17" s="14" t="s">
        <v>2</v>
      </c>
      <c r="B17" s="43" t="str">
        <f t="shared" ref="B17:B24" si="3">TEXT((D5)/1000,"0.0")</f>
        <v>0.6</v>
      </c>
      <c r="C17" s="44" t="str">
        <f t="shared" si="1"/>
        <v>8</v>
      </c>
      <c r="D17" s="32" t="str">
        <f t="shared" si="2"/>
        <v>7.2</v>
      </c>
    </row>
    <row r="18" spans="1:11" ht="15.75" thickBot="1" x14ac:dyDescent="0.3">
      <c r="A18" s="18" t="s">
        <v>1</v>
      </c>
      <c r="B18" s="47" t="str">
        <f t="shared" si="3"/>
        <v>0.4</v>
      </c>
      <c r="C18" s="48" t="str">
        <f t="shared" si="1"/>
        <v>4</v>
      </c>
      <c r="D18" s="34" t="str">
        <f t="shared" si="2"/>
        <v>3.2</v>
      </c>
    </row>
    <row r="19" spans="1:11" x14ac:dyDescent="0.25">
      <c r="A19" s="14" t="s">
        <v>0</v>
      </c>
      <c r="B19" s="54" t="str">
        <f t="shared" si="3"/>
        <v>0.5</v>
      </c>
      <c r="C19" s="55" t="str">
        <f t="shared" si="1"/>
        <v>6</v>
      </c>
      <c r="D19" s="56" t="str">
        <f t="shared" si="2"/>
        <v>5.9</v>
      </c>
    </row>
    <row r="20" spans="1:11" ht="15.75" thickBot="1" x14ac:dyDescent="0.3">
      <c r="A20" s="24" t="s">
        <v>20</v>
      </c>
      <c r="B20" s="49" t="str">
        <f t="shared" si="3"/>
        <v>0.3</v>
      </c>
      <c r="C20" s="50" t="str">
        <f t="shared" si="1"/>
        <v>3</v>
      </c>
      <c r="D20" s="33" t="str">
        <f t="shared" si="2"/>
        <v>2.7</v>
      </c>
    </row>
    <row r="21" spans="1:11" x14ac:dyDescent="0.25">
      <c r="A21" s="14" t="s">
        <v>49</v>
      </c>
      <c r="B21" s="43" t="str">
        <f t="shared" si="3"/>
        <v>0.2</v>
      </c>
      <c r="C21" s="44" t="str">
        <f t="shared" si="1"/>
        <v>4</v>
      </c>
      <c r="D21" s="32" t="str">
        <f t="shared" si="2"/>
        <v>3.6</v>
      </c>
    </row>
    <row r="22" spans="1:11" x14ac:dyDescent="0.25">
      <c r="A22" s="28" t="s">
        <v>38</v>
      </c>
      <c r="B22" s="45" t="str">
        <f t="shared" si="3"/>
        <v>0.0</v>
      </c>
      <c r="C22" s="42" t="str">
        <f t="shared" si="1"/>
        <v>0</v>
      </c>
      <c r="D22" s="46" t="str">
        <f t="shared" si="2"/>
        <v>0.0</v>
      </c>
    </row>
    <row r="23" spans="1:11" ht="15.75" thickBot="1" x14ac:dyDescent="0.3">
      <c r="A23" s="18" t="s">
        <v>5</v>
      </c>
      <c r="B23" s="47" t="str">
        <f t="shared" si="3"/>
        <v>0.0</v>
      </c>
      <c r="C23" s="48" t="str">
        <f t="shared" si="1"/>
        <v>0</v>
      </c>
      <c r="D23" s="34" t="str">
        <f t="shared" si="2"/>
        <v>0.0</v>
      </c>
    </row>
    <row r="24" spans="1:11" ht="15.75" thickBot="1" x14ac:dyDescent="0.3">
      <c r="B24" s="51" t="str">
        <f t="shared" si="3"/>
        <v>13.3</v>
      </c>
      <c r="C24" s="52" t="str">
        <f t="shared" si="1"/>
        <v>70</v>
      </c>
      <c r="D24" s="53" t="str">
        <f>TEXT((C12-D12)/1000,"0")</f>
        <v>57</v>
      </c>
    </row>
    <row r="25" spans="1:11" ht="15.75" thickBot="1" x14ac:dyDescent="0.3"/>
    <row r="26" spans="1:11" x14ac:dyDescent="0.25">
      <c r="A26" s="194" t="s">
        <v>56</v>
      </c>
      <c r="B26" s="31" t="str">
        <f>B2</f>
        <v>ReadyToPick</v>
      </c>
      <c r="C26" s="31" t="s">
        <v>7</v>
      </c>
      <c r="D26" s="35" t="s">
        <v>23</v>
      </c>
      <c r="E26" s="31" t="s">
        <v>11</v>
      </c>
      <c r="F26" s="31" t="s">
        <v>14</v>
      </c>
      <c r="G26" s="31" t="s">
        <v>88</v>
      </c>
      <c r="H26" s="64" t="s">
        <v>9</v>
      </c>
      <c r="I26" s="31" t="s">
        <v>12</v>
      </c>
      <c r="J26" s="35" t="s">
        <v>15</v>
      </c>
      <c r="K26" s="31" t="s">
        <v>10</v>
      </c>
    </row>
    <row r="27" spans="1:11" ht="15.75" thickBot="1" x14ac:dyDescent="0.3">
      <c r="A27" s="195"/>
      <c r="B27" s="36">
        <f t="shared" ref="B27:K27" si="4">SUM(B28:B37)</f>
        <v>2761</v>
      </c>
      <c r="C27" s="36">
        <f t="shared" si="4"/>
        <v>8866</v>
      </c>
      <c r="D27" s="37">
        <f t="shared" si="4"/>
        <v>155</v>
      </c>
      <c r="E27" s="36">
        <f t="shared" si="4"/>
        <v>3507</v>
      </c>
      <c r="F27" s="63">
        <f t="shared" si="4"/>
        <v>275</v>
      </c>
      <c r="G27" s="63">
        <f>SUM(G28:G37)</f>
        <v>10</v>
      </c>
      <c r="H27" s="65">
        <f t="shared" si="4"/>
        <v>2578</v>
      </c>
      <c r="I27" s="36">
        <f>SUM(I28:I37)</f>
        <v>19</v>
      </c>
      <c r="J27" s="37">
        <f t="shared" si="4"/>
        <v>0</v>
      </c>
      <c r="K27" s="36">
        <f t="shared" si="4"/>
        <v>2549</v>
      </c>
    </row>
    <row r="28" spans="1:11" x14ac:dyDescent="0.25">
      <c r="A28" s="20" t="s">
        <v>60</v>
      </c>
      <c r="B28" s="15">
        <f>IFERROR(SUMIFS(Rodeo!$D:$D,Rodeo!$A:$A,$B$2,Rodeo!$B:$B,A28),"0")</f>
        <v>0</v>
      </c>
      <c r="C28" s="15">
        <f>IFERROR(SUMIFS(Rodeo!$D:$D,Rodeo!$A:$A,$C$2,Rodeo!$B:$B,A28),"0")</f>
        <v>403</v>
      </c>
      <c r="D28" s="15">
        <f>IFERROR(SUMIFS(Rodeo!$D:$D,Rodeo!$A:$A,$D$2,Rodeo!$B:$B,A28),"0")</f>
        <v>0</v>
      </c>
      <c r="E28" s="15">
        <f>IFERROR(SUMIFS(Rodeo!$D:$D,Rodeo!$A:$A,$E$2,Rodeo!$B:$B,A28),"0")</f>
        <v>0</v>
      </c>
      <c r="F28" s="15">
        <f>IFERROR(SUMIFS(Rodeo!$D:$D,Rodeo!$A:$A,$F$2,Rodeo!$B:$B,A28),"0")</f>
        <v>0</v>
      </c>
      <c r="G28" s="15">
        <f>IFERROR(SUMIFS(Rodeo!$D:$D,Rodeo!$A:$A,$G$2,Rodeo!$B:$B,A28),"0")</f>
        <v>0</v>
      </c>
      <c r="H28" s="15">
        <f>IFERROR(SUMIFS(Rodeo!$D:$D,Rodeo!$A:$A,$H$2,Rodeo!$B:$B,A28),"0")</f>
        <v>0</v>
      </c>
      <c r="I28" s="15">
        <f>IFERROR(SUMIFS(Rodeo!$D:$D,Rodeo!$A:$A,$I$2,Rodeo!$B:$B,$A28),"0")</f>
        <v>0</v>
      </c>
      <c r="J28" s="15">
        <f>IFERROR(SUMIFS(Rodeo!$D:$D,Rodeo!$A:$A,$J$2,Rodeo!$B:$B,A28),"0")</f>
        <v>0</v>
      </c>
      <c r="K28" s="15">
        <f>IFERROR(SUMIFS(Rodeo!$D:$D,Rodeo!$A:$A,$K$2,Rodeo!$B:$B,A28),"0")</f>
        <v>0</v>
      </c>
    </row>
    <row r="29" spans="1:11" x14ac:dyDescent="0.25">
      <c r="A29" s="28" t="s">
        <v>41</v>
      </c>
      <c r="B29" s="29">
        <f>IFERROR(SUMIFS(Rodeo!$D:$D,Rodeo!$A:$A,$B$2,Rodeo!$B:$B,A29),"0")</f>
        <v>0</v>
      </c>
      <c r="C29" s="29">
        <f>IFERROR(SUMIFS(Rodeo!$D:$D,Rodeo!$A:$A,$C$2,Rodeo!$B:$B,A29),"0")</f>
        <v>500</v>
      </c>
      <c r="D29" s="29">
        <f>IFERROR(SUMIFS(Rodeo!$D:$D,Rodeo!$A:$A,$D$2,Rodeo!$B:$B,A29),"0")</f>
        <v>1</v>
      </c>
      <c r="E29" s="29">
        <f>IFERROR(SUMIFS(Rodeo!$D:$D,Rodeo!$A:$A,$E$2,Rodeo!$B:$B,A29),"0")</f>
        <v>813</v>
      </c>
      <c r="F29" s="29">
        <f>IFERROR(SUMIFS(Rodeo!$D:$D,Rodeo!$A:$A,$F$2,Rodeo!$B:$B,A29),"0")</f>
        <v>12</v>
      </c>
      <c r="G29" s="29">
        <f>IFERROR(SUMIFS(Rodeo!$D:$D,Rodeo!$A:$A,$G$2,Rodeo!$B:$B,A29),"0")</f>
        <v>0</v>
      </c>
      <c r="H29" s="29">
        <f>IFERROR(SUMIFS(Rodeo!$D:$D,Rodeo!$A:$A,$H$2,Rodeo!$B:$B,A29),"0")</f>
        <v>725</v>
      </c>
      <c r="I29" s="29">
        <f>IFERROR(SUMIFS(Rodeo!$D:$D,Rodeo!$A:$A,$I$2,Rodeo!$B:$B,$A29),"0")</f>
        <v>0</v>
      </c>
      <c r="J29" s="29">
        <f>IFERROR(SUMIFS(Rodeo!$D:$D,Rodeo!$A:$A,$J$2,Rodeo!$B:$B,A29),"0")</f>
        <v>0</v>
      </c>
      <c r="K29" s="29">
        <f>IFERROR(SUMIFS(Rodeo!$D:$D,Rodeo!$A:$A,$K$2,Rodeo!$B:$B,A29),"0")</f>
        <v>725</v>
      </c>
    </row>
    <row r="30" spans="1:11" x14ac:dyDescent="0.25">
      <c r="A30" s="28" t="s">
        <v>51</v>
      </c>
      <c r="B30" s="29">
        <f>IFERROR(SUMIFS(Rodeo!$D:$D,Rodeo!$A:$A,$B$2,Rodeo!$B:$B,A30),"0")</f>
        <v>0</v>
      </c>
      <c r="C30" s="29">
        <f>IFERROR(SUMIFS(Rodeo!$D:$D,Rodeo!$A:$A,$C$2,Rodeo!$B:$B,A30),"0")</f>
        <v>477</v>
      </c>
      <c r="D30" s="29">
        <f>IFERROR(SUMIFS(Rodeo!$D:$D,Rodeo!$A:$A,$D$2,Rodeo!$B:$B,A30),"0")</f>
        <v>0</v>
      </c>
      <c r="E30" s="29">
        <f>IFERROR(SUMIFS(Rodeo!$D:$D,Rodeo!$A:$A,$E$2,Rodeo!$B:$B,A30),"0")</f>
        <v>530</v>
      </c>
      <c r="F30" s="29">
        <f>IFERROR(SUMIFS(Rodeo!$D:$D,Rodeo!$A:$A,$F$2,Rodeo!$B:$B,A30),"0")</f>
        <v>79</v>
      </c>
      <c r="G30" s="29">
        <f>IFERROR(SUMIFS(Rodeo!$D:$D,Rodeo!$A:$A,$G$2,Rodeo!$B:$B,A30),"0")</f>
        <v>0</v>
      </c>
      <c r="H30" s="29">
        <f>IFERROR(SUMIFS(Rodeo!$D:$D,Rodeo!$A:$A,$H$2,Rodeo!$B:$B,A30),"0")</f>
        <v>69</v>
      </c>
      <c r="I30" s="29">
        <f>IFERROR(SUMIFS(Rodeo!$D:$D,Rodeo!$A:$A,$I$2,Rodeo!$B:$B,$A30),"0")</f>
        <v>10</v>
      </c>
      <c r="J30" s="29">
        <f>IFERROR(SUMIFS(Rodeo!$D:$D,Rodeo!$A:$A,$J$2,Rodeo!$B:$B,A30),"0")</f>
        <v>0</v>
      </c>
      <c r="K30" s="29">
        <f>IFERROR(SUMIFS(Rodeo!$D:$D,Rodeo!$A:$A,$K$2,Rodeo!$B:$B,A30),"0")</f>
        <v>59</v>
      </c>
    </row>
    <row r="31" spans="1:11" x14ac:dyDescent="0.25">
      <c r="A31" s="28" t="s">
        <v>42</v>
      </c>
      <c r="B31" s="29">
        <f>IFERROR(SUMIFS(Rodeo!$D:$D,Rodeo!$A:$A,$B$2,Rodeo!$B:$B,A31),"0")</f>
        <v>0</v>
      </c>
      <c r="C31" s="29">
        <f>IFERROR(SUMIFS(Rodeo!$D:$D,Rodeo!$A:$A,$C$2,Rodeo!$B:$B,A31),"0")</f>
        <v>127</v>
      </c>
      <c r="D31" s="29">
        <f>IFERROR(SUMIFS(Rodeo!$D:$D,Rodeo!$A:$A,$D$2,Rodeo!$B:$B,A31),"0")</f>
        <v>0</v>
      </c>
      <c r="E31" s="29">
        <f>IFERROR(SUMIFS(Rodeo!$D:$D,Rodeo!$A:$A,$E$2,Rodeo!$B:$B,A31),"0")</f>
        <v>802</v>
      </c>
      <c r="F31" s="29">
        <f>IFERROR(SUMIFS(Rodeo!$D:$D,Rodeo!$A:$A,$F$2,Rodeo!$B:$B,A31),"0")</f>
        <v>1</v>
      </c>
      <c r="G31" s="29">
        <f>IFERROR(SUMIFS(Rodeo!$D:$D,Rodeo!$A:$A,$G$2,Rodeo!$B:$B,A31),"0")</f>
        <v>0</v>
      </c>
      <c r="H31" s="29">
        <f>IFERROR(SUMIFS(Rodeo!$D:$D,Rodeo!$A:$A,$H$2,Rodeo!$B:$B,A31),"0")</f>
        <v>0</v>
      </c>
      <c r="I31" s="29">
        <f>IFERROR(SUMIFS(Rodeo!$D:$D,Rodeo!$A:$A,$I$2,Rodeo!$B:$B,$A31),"0")</f>
        <v>0</v>
      </c>
      <c r="J31" s="29">
        <f>IFERROR(SUMIFS(Rodeo!$D:$D,Rodeo!$A:$A,$J$2,Rodeo!$B:$B,A31),"0")</f>
        <v>0</v>
      </c>
      <c r="K31" s="29">
        <f>IFERROR(SUMIFS(Rodeo!$D:$D,Rodeo!$A:$A,$K$2,Rodeo!$B:$B,A31),"0")</f>
        <v>0</v>
      </c>
    </row>
    <row r="32" spans="1:11" x14ac:dyDescent="0.25">
      <c r="A32" s="20" t="s">
        <v>53</v>
      </c>
      <c r="B32" s="29">
        <f>IFERROR(SUMIFS(Rodeo!$D:$D,Rodeo!$A:$A,$B$2,Rodeo!$B:$B,A32),"0")</f>
        <v>0</v>
      </c>
      <c r="C32" s="29">
        <f>IFERROR(SUMIFS(Rodeo!$D:$D,Rodeo!$A:$A,$C$2,Rodeo!$B:$B,A32),"0")</f>
        <v>1332</v>
      </c>
      <c r="D32" s="29">
        <f>IFERROR(SUMIFS(Rodeo!$D:$D,Rodeo!$A:$A,$D$2,Rodeo!$B:$B,A32),"0")</f>
        <v>0</v>
      </c>
      <c r="E32" s="29">
        <f>IFERROR(SUMIFS(Rodeo!$D:$D,Rodeo!$A:$A,$E$2,Rodeo!$B:$B,A32),"0")</f>
        <v>1362</v>
      </c>
      <c r="F32" s="29">
        <f>IFERROR(SUMIFS(Rodeo!$D:$D,Rodeo!$A:$A,$F$2,Rodeo!$B:$B,A32),"0")</f>
        <v>32</v>
      </c>
      <c r="G32" s="29">
        <f>IFERROR(SUMIFS(Rodeo!$D:$D,Rodeo!$A:$A,$G$2,Rodeo!$B:$B,A32),"0")</f>
        <v>0</v>
      </c>
      <c r="H32" s="29">
        <f>IFERROR(SUMIFS(Rodeo!$D:$D,Rodeo!$A:$A,$H$2,Rodeo!$B:$B,A32),"0")</f>
        <v>701</v>
      </c>
      <c r="I32" s="29">
        <f>IFERROR(SUMIFS(Rodeo!$D:$D,Rodeo!$A:$A,$I$2,Rodeo!$B:$B,$A32),"0")</f>
        <v>0</v>
      </c>
      <c r="J32" s="29">
        <f>IFERROR(SUMIFS(Rodeo!$D:$D,Rodeo!$A:$A,$J$2,Rodeo!$B:$B,A32),"0")</f>
        <v>0</v>
      </c>
      <c r="K32" s="29">
        <f>IFERROR(SUMIFS(Rodeo!$D:$D,Rodeo!$A:$A,$K$2,Rodeo!$B:$B,A32),"0")</f>
        <v>701</v>
      </c>
    </row>
    <row r="33" spans="1:11" x14ac:dyDescent="0.25">
      <c r="A33" s="28" t="s">
        <v>4</v>
      </c>
      <c r="B33" s="29">
        <f>IFERROR(SUMIFS(Rodeo!$D:$D,Rodeo!$A:$A,$B$2,Rodeo!$B:$B,A33),"0")</f>
        <v>2758</v>
      </c>
      <c r="C33" s="29">
        <f>IFERROR(SUMIFS(Rodeo!$D:$D,Rodeo!$A:$A,$C$2,Rodeo!$B:$B,A33),"0")</f>
        <v>1080</v>
      </c>
      <c r="D33" s="29">
        <f>IFERROR(SUMIFS(Rodeo!$D:$D,Rodeo!$A:$A,$D$2,Rodeo!$B:$B,A33),"0")</f>
        <v>152</v>
      </c>
      <c r="E33" s="29">
        <f>IFERROR(SUMIFS(Rodeo!$D:$D,Rodeo!$A:$A,$E$2,Rodeo!$B:$B,A33),"0")</f>
        <v>0</v>
      </c>
      <c r="F33" s="29">
        <f>IFERROR(SUMIFS(Rodeo!$D:$D,Rodeo!$A:$A,$F$2,Rodeo!$B:$B,A33),"0")</f>
        <v>0</v>
      </c>
      <c r="G33" s="29">
        <f>IFERROR(SUMIFS(Rodeo!$D:$D,Rodeo!$A:$A,$G$2,Rodeo!$B:$B,A33),"0")</f>
        <v>0</v>
      </c>
      <c r="H33" s="29">
        <f>IFERROR(SUMIFS(Rodeo!$D:$D,Rodeo!$A:$A,$H$2,Rodeo!$B:$B,A33),"0")</f>
        <v>0</v>
      </c>
      <c r="I33" s="29">
        <f>IFERROR(SUMIFS(Rodeo!$D:$D,Rodeo!$A:$A,$I$2,Rodeo!$B:$B,$A33),"0")</f>
        <v>0</v>
      </c>
      <c r="J33" s="29">
        <f>IFERROR(SUMIFS(Rodeo!$D:$D,Rodeo!$A:$A,$J$2,Rodeo!$B:$B,A33),"0")</f>
        <v>0</v>
      </c>
      <c r="K33" s="29">
        <f>IFERROR(SUMIFS(Rodeo!$D:$D,Rodeo!$A:$A,$K$2,Rodeo!$B:$B,A33),"0")</f>
        <v>0</v>
      </c>
    </row>
    <row r="34" spans="1:11" x14ac:dyDescent="0.25">
      <c r="A34" s="28" t="s">
        <v>39</v>
      </c>
      <c r="B34" s="29">
        <f>IFERROR(SUMIFS(Rodeo!$D:$D,Rodeo!$A:$A,$B$2,Rodeo!$B:$B,A34),"0")</f>
        <v>0</v>
      </c>
      <c r="C34" s="29">
        <f>IFERROR(SUMIFS(Rodeo!$D:$D,Rodeo!$A:$A,$C$2,Rodeo!$B:$B,A34),"0")</f>
        <v>4280</v>
      </c>
      <c r="D34" s="29">
        <f>IFERROR(SUMIFS(Rodeo!$D:$D,Rodeo!$A:$A,$D$2,Rodeo!$B:$B,A34),"0")</f>
        <v>2</v>
      </c>
      <c r="E34" s="29">
        <f>IFERROR(SUMIFS(Rodeo!$D:$D,Rodeo!$A:$A,$E$2,Rodeo!$B:$B,A34),"0")</f>
        <v>0</v>
      </c>
      <c r="F34" s="29">
        <f>IFERROR(SUMIFS(Rodeo!$D:$D,Rodeo!$A:$A,$F$2,Rodeo!$B:$B,A34),"0")</f>
        <v>145</v>
      </c>
      <c r="G34" s="29">
        <f>IFERROR(SUMIFS(Rodeo!$D:$D,Rodeo!$A:$A,$G$2,Rodeo!$B:$B,A34),"0")</f>
        <v>10</v>
      </c>
      <c r="H34" s="29">
        <f>IFERROR(SUMIFS(Rodeo!$D:$D,Rodeo!$A:$A,$H$2,Rodeo!$B:$B,A34),"0")</f>
        <v>666</v>
      </c>
      <c r="I34" s="29">
        <f>IFERROR(SUMIFS(Rodeo!$D:$D,Rodeo!$A:$A,$I$2,Rodeo!$B:$B,$A34),"0")</f>
        <v>7</v>
      </c>
      <c r="J34" s="29">
        <f>IFERROR(SUMIFS(Rodeo!$D:$D,Rodeo!$A:$A,$J$2,Rodeo!$B:$B,A34),"0")</f>
        <v>0</v>
      </c>
      <c r="K34" s="29">
        <f>IFERROR(SUMIFS(Rodeo!$D:$D,Rodeo!$A:$A,$K$2,Rodeo!$B:$B,A34),"0")</f>
        <v>649</v>
      </c>
    </row>
    <row r="35" spans="1:11" x14ac:dyDescent="0.25">
      <c r="A35" s="28" t="s">
        <v>40</v>
      </c>
      <c r="B35" s="29">
        <f>IFERROR(SUMIFS(Rodeo!$D:$D,Rodeo!$A:$A,$B$2,Rodeo!$B:$B,A35),"0")</f>
        <v>0</v>
      </c>
      <c r="C35" s="29">
        <f>IFERROR(SUMIFS(Rodeo!$D:$D,Rodeo!$A:$A,$C$2,Rodeo!$B:$B,A35),"0")</f>
        <v>640</v>
      </c>
      <c r="D35" s="29">
        <f>IFERROR(SUMIFS(Rodeo!$D:$D,Rodeo!$A:$A,$D$2,Rodeo!$B:$B,A35),"0")</f>
        <v>0</v>
      </c>
      <c r="E35" s="29">
        <f>IFERROR(SUMIFS(Rodeo!$D:$D,Rodeo!$A:$A,$E$2,Rodeo!$B:$B,A35),"0")</f>
        <v>0</v>
      </c>
      <c r="F35" s="29">
        <f>IFERROR(SUMIFS(Rodeo!$D:$D,Rodeo!$A:$A,$F$2,Rodeo!$B:$B,A35),"0")</f>
        <v>6</v>
      </c>
      <c r="G35" s="29">
        <f>IFERROR(SUMIFS(Rodeo!$D:$D,Rodeo!$A:$A,$G$2,Rodeo!$B:$B,A35),"0")</f>
        <v>0</v>
      </c>
      <c r="H35" s="29">
        <f>IFERROR(SUMIFS(Rodeo!$D:$D,Rodeo!$A:$A,$H$2,Rodeo!$B:$B,A35),"0")</f>
        <v>417</v>
      </c>
      <c r="I35" s="29">
        <f>IFERROR(SUMIFS(Rodeo!$D:$D,Rodeo!$A:$A,$I$2,Rodeo!$B:$B,$A35),"0")</f>
        <v>2</v>
      </c>
      <c r="J35" s="29">
        <f>IFERROR(SUMIFS(Rodeo!$D:$D,Rodeo!$A:$A,$J$2,Rodeo!$B:$B,A35),"0")</f>
        <v>0</v>
      </c>
      <c r="K35" s="29">
        <f>IFERROR(SUMIFS(Rodeo!$D:$D,Rodeo!$A:$A,$K$2,Rodeo!$B:$B,A35),"0")</f>
        <v>415</v>
      </c>
    </row>
    <row r="36" spans="1:11" x14ac:dyDescent="0.25">
      <c r="A36" s="28" t="s">
        <v>17</v>
      </c>
      <c r="B36" s="29">
        <f>IFERROR(SUMIFS(Rodeo!$D:$D,Rodeo!$A:$A,$B$2,Rodeo!$B:$B,A36),"0")</f>
        <v>3</v>
      </c>
      <c r="C36" s="29">
        <f>IFERROR(SUMIFS(Rodeo!$D:$D,Rodeo!$A:$A,$C$2,Rodeo!$B:$B,A36),"0")</f>
        <v>27</v>
      </c>
      <c r="D36" s="29">
        <f>IFERROR(SUMIFS(Rodeo!$D:$D,Rodeo!$A:$A,$D$2,Rodeo!$B:$B,A36),"0")</f>
        <v>0</v>
      </c>
      <c r="E36" s="29">
        <f>IFERROR(SUMIFS(Rodeo!$D:$D,Rodeo!$A:$A,$E$2,Rodeo!$B:$B,A36),"0")</f>
        <v>0</v>
      </c>
      <c r="F36" s="29">
        <f>IFERROR(SUMIFS(Rodeo!$D:$D,Rodeo!$A:$A,$F$2,Rodeo!$B:$B,A36),"0")</f>
        <v>0</v>
      </c>
      <c r="G36" s="29">
        <f>IFERROR(SUMIFS(Rodeo!$D:$D,Rodeo!$A:$A,$G$2,Rodeo!$B:$B,A36),"0")</f>
        <v>0</v>
      </c>
      <c r="H36" s="29">
        <f>IFERROR(SUMIFS(Rodeo!$D:$D,Rodeo!$A:$A,$H$2,Rodeo!$B:$B,A36),"0")</f>
        <v>0</v>
      </c>
      <c r="I36" s="29">
        <f>IFERROR(SUMIFS(Rodeo!$D:$D,Rodeo!$A:$A,$I$2,Rodeo!$B:$B,$A36),"0")</f>
        <v>0</v>
      </c>
      <c r="J36" s="29">
        <f>IFERROR(SUMIFS(Rodeo!$D:$D,Rodeo!$A:$A,$J$2,Rodeo!$B:$B,A36),"0")</f>
        <v>0</v>
      </c>
      <c r="K36" s="29">
        <f>IFERROR(SUMIFS(Rodeo!$D:$D,Rodeo!$A:$A,$K$2,Rodeo!$B:$B,A36),"0")</f>
        <v>0</v>
      </c>
    </row>
    <row r="37" spans="1:11" ht="15.75" thickBot="1" x14ac:dyDescent="0.3">
      <c r="A37" s="18" t="s">
        <v>58</v>
      </c>
      <c r="B37" s="19">
        <f>IFERROR(SUMIFS(Rodeo!$D:$D,Rodeo!$A:$A,$B$2,Rodeo!$B:$B,A37),"0")</f>
        <v>0</v>
      </c>
      <c r="C37" s="19">
        <f>IFERROR(SUMIFS(Rodeo!$D:$D,Rodeo!$A:$A,$C$2,Rodeo!$B:$B,A37),"0")</f>
        <v>0</v>
      </c>
      <c r="D37" s="19">
        <f>IFERROR(SUMIFS(Rodeo!$D:$D,Rodeo!$A:$A,$D$2,Rodeo!$B:$B,A37),"0")</f>
        <v>0</v>
      </c>
      <c r="E37" s="19">
        <f>IFERROR(SUMIFS(Rodeo!$D:$D,Rodeo!$A:$A,$E$2,Rodeo!$B:$B,A37),"0")</f>
        <v>0</v>
      </c>
      <c r="F37" s="19">
        <f>IFERROR(SUMIFS(Rodeo!$D:$D,Rodeo!$A:$A,$F$2,Rodeo!$B:$B,A37),"0")</f>
        <v>0</v>
      </c>
      <c r="G37" s="19">
        <f>IFERROR(SUMIFS(Rodeo!$D:$D,Rodeo!$A:$A,$G$2,Rodeo!$B:$B,A37),"0")</f>
        <v>0</v>
      </c>
      <c r="H37" s="19">
        <f>IFERROR(SUMIFS(Rodeo!$D:$D,Rodeo!$A:$A,$H$2,Rodeo!$B:$B,A37),"0")</f>
        <v>0</v>
      </c>
      <c r="I37" s="19">
        <f>IFERROR(SUMIFS(Rodeo!$D:$D,Rodeo!$A:$A,$I$2,Rodeo!$B:$B,$A37),"0")</f>
        <v>0</v>
      </c>
      <c r="J37" s="19">
        <f>IFERROR(SUMIFS(Rodeo!$D:$D,Rodeo!$A:$A,$J$2,Rodeo!$B:$B,A37),"0")</f>
        <v>0</v>
      </c>
      <c r="K37" s="19">
        <f>IFERROR(SUMIFS(Rodeo!$D:$D,Rodeo!$A:$A,$K$2,Rodeo!$B:$B,A37),"0")</f>
        <v>0</v>
      </c>
    </row>
    <row r="38" spans="1:11" ht="15.75" thickBot="1" x14ac:dyDescent="0.3"/>
    <row r="39" spans="1:11" ht="15.75" thickBot="1" x14ac:dyDescent="0.3">
      <c r="A39" s="194" t="s">
        <v>36</v>
      </c>
      <c r="B39" s="10" t="str">
        <f>B2</f>
        <v>ReadyToPick</v>
      </c>
      <c r="C39" s="11" t="s">
        <v>7</v>
      </c>
      <c r="D39" s="13" t="s">
        <v>23</v>
      </c>
      <c r="E39" s="12" t="s">
        <v>11</v>
      </c>
      <c r="F39" s="11" t="s">
        <v>14</v>
      </c>
      <c r="G39" s="11" t="s">
        <v>88</v>
      </c>
      <c r="H39" s="12" t="s">
        <v>9</v>
      </c>
      <c r="I39" s="31" t="s">
        <v>12</v>
      </c>
      <c r="J39" s="11" t="s">
        <v>15</v>
      </c>
      <c r="K39" s="13" t="s">
        <v>10</v>
      </c>
    </row>
    <row r="40" spans="1:11" ht="15.75" thickBot="1" x14ac:dyDescent="0.3">
      <c r="A40" s="195"/>
      <c r="B40" s="38">
        <f t="shared" ref="B40:K40" si="5">SUM(B41:B316)</f>
        <v>3676</v>
      </c>
      <c r="C40" s="39">
        <f t="shared" si="5"/>
        <v>31153</v>
      </c>
      <c r="D40" s="40">
        <f t="shared" si="5"/>
        <v>0</v>
      </c>
      <c r="E40" s="38">
        <f t="shared" si="5"/>
        <v>0</v>
      </c>
      <c r="F40" s="39">
        <f t="shared" si="5"/>
        <v>0</v>
      </c>
      <c r="G40" s="39">
        <f t="shared" ref="G40" si="6">SUM(G41:G316)</f>
        <v>423</v>
      </c>
      <c r="H40" s="38">
        <f t="shared" si="5"/>
        <v>5361</v>
      </c>
      <c r="I40" s="39">
        <f t="shared" ref="I40" si="7">SUM(I41:I318)</f>
        <v>1237</v>
      </c>
      <c r="J40" s="39">
        <f t="shared" si="5"/>
        <v>144</v>
      </c>
      <c r="K40" s="40">
        <f t="shared" si="5"/>
        <v>3557</v>
      </c>
    </row>
    <row r="41" spans="1:11" x14ac:dyDescent="0.25">
      <c r="A41" s="28" t="s">
        <v>187</v>
      </c>
      <c r="B41" s="16">
        <f>IFERROR(SUMIFS(Rodeo!$D:$D,Rodeo!$A:$A,$B$2,Rodeo!$B:$B,A41),"0")</f>
        <v>0</v>
      </c>
      <c r="C41" s="16">
        <f>IFERROR(SUMIFS(Rodeo!$D:$D,Rodeo!$A:$A,$C$2,Rodeo!$B:$B,A41),"0")</f>
        <v>10</v>
      </c>
      <c r="D41" s="16">
        <f>IFERROR(SUMIFS(Rodeo!$D:$D,Rodeo!$A:$A,$D$2,Rodeo!$B:$B,A41),"0")</f>
        <v>0</v>
      </c>
      <c r="E41" s="16">
        <f>IFERROR(SUMIFS(Rodeo!$D:$D,Rodeo!$A:$A,$E$2,Rodeo!$B:$B,A41),"0")</f>
        <v>0</v>
      </c>
      <c r="F41" s="16">
        <f>IFERROR(SUMIFS(Rodeo!$D:$D,Rodeo!$A:$A,$F$2,Rodeo!$B:$B,A41),"0")</f>
        <v>0</v>
      </c>
      <c r="G41" s="16">
        <f>IFERROR(SUMIFS(Rodeo!$D:$D,Rodeo!$A:$A,$G$2,Rodeo!$B:$B,A41),"0")</f>
        <v>0</v>
      </c>
      <c r="H41" s="16">
        <f>IFERROR(SUMIFS(Rodeo!$D:$D,Rodeo!$A:$A,$H$2,Rodeo!$B:$B,A41),"0")</f>
        <v>28</v>
      </c>
      <c r="I41" s="16">
        <f>IFERROR(SUMIFS(Rodeo!$D$2:$D$16228,Rodeo!$A$2:$A$16228,$I$2,Rodeo!$B$2:$B$16228,$A41),"0")</f>
        <v>0</v>
      </c>
      <c r="J41" s="16">
        <f>IFERROR(SUMIFS(Rodeo!$D:$D,Rodeo!$A:$A,$J$2,Rodeo!$B:$B,A41),"0")</f>
        <v>4</v>
      </c>
      <c r="K41" s="16">
        <f>IFERROR(SUMIFS(Rodeo!$D:$D,Rodeo!$A:$A,$K$2,Rodeo!$B:$B,A41),"0")</f>
        <v>24</v>
      </c>
    </row>
    <row r="42" spans="1:11" x14ac:dyDescent="0.25">
      <c r="A42" s="28" t="s">
        <v>28</v>
      </c>
      <c r="B42" s="22">
        <f>IFERROR(SUMIFS(Rodeo!$D:$D,Rodeo!$A:$A,$B$2,Rodeo!$B:$B,A42),"0")</f>
        <v>388</v>
      </c>
      <c r="C42" s="22">
        <f>IFERROR(SUMIFS(Rodeo!$D:$D,Rodeo!$A:$A,$C$2,Rodeo!$B:$B,A42),"0")</f>
        <v>225</v>
      </c>
      <c r="D42" s="22">
        <f>IFERROR(SUMIFS(Rodeo!$D:$D,Rodeo!$A:$A,$D$2,Rodeo!$B:$B,A42),"0")</f>
        <v>0</v>
      </c>
      <c r="E42" s="22">
        <f>IFERROR(SUMIFS(Rodeo!$D:$D,Rodeo!$A:$A,$E$2,Rodeo!$B:$B,A42),"0")</f>
        <v>0</v>
      </c>
      <c r="F42" s="22">
        <f>IFERROR(SUMIFS(Rodeo!$D:$D,Rodeo!$A:$A,$F$2,Rodeo!$B:$B,A42),"0")</f>
        <v>0</v>
      </c>
      <c r="G42" s="22">
        <f>IFERROR(SUMIFS(Rodeo!$D:$D,Rodeo!$A:$A,$G$2,Rodeo!$B:$B,A42),"0")</f>
        <v>0</v>
      </c>
      <c r="H42" s="22">
        <f>IFERROR(SUMIFS(Rodeo!$D:$D,Rodeo!$A:$A,$H$2,Rodeo!$B:$B,A42),"0")</f>
        <v>98</v>
      </c>
      <c r="I42" s="22">
        <f>IFERROR(SUMIFS(Rodeo!$D$2:$D$16228,Rodeo!$A$2:$A$16228,$I$2,Rodeo!$B$2:$B$16228,$A42),"0")</f>
        <v>17</v>
      </c>
      <c r="J42" s="22">
        <f>IFERROR(SUMIFS(Rodeo!$D:$D,Rodeo!$A:$A,$J$2,Rodeo!$B:$B,A42),"0")</f>
        <v>1</v>
      </c>
      <c r="K42" s="22">
        <f>IFERROR(SUMIFS(Rodeo!$D:$D,Rodeo!$A:$A,$K$2,Rodeo!$B:$B,A42),"0")</f>
        <v>80</v>
      </c>
    </row>
    <row r="43" spans="1:11" x14ac:dyDescent="0.25">
      <c r="A43" s="28" t="s">
        <v>334</v>
      </c>
      <c r="B43" s="22">
        <f>IFERROR(SUMIFS(Rodeo!$D:$D,Rodeo!$A:$A,$B$2,Rodeo!$B:$B,A43),"0")</f>
        <v>0</v>
      </c>
      <c r="C43" s="22">
        <f>IFERROR(SUMIFS(Rodeo!$D:$D,Rodeo!$A:$A,$C$2,Rodeo!$B:$B,A43),"0")</f>
        <v>0</v>
      </c>
      <c r="D43" s="22">
        <f>IFERROR(SUMIFS(Rodeo!$D:$D,Rodeo!$A:$A,$D$2,Rodeo!$B:$B,A43),"0")</f>
        <v>0</v>
      </c>
      <c r="E43" s="22">
        <f>IFERROR(SUMIFS(Rodeo!$D:$D,Rodeo!$A:$A,$E$2,Rodeo!$B:$B,A43),"0")</f>
        <v>0</v>
      </c>
      <c r="F43" s="22">
        <f>IFERROR(SUMIFS(Rodeo!$D:$D,Rodeo!$A:$A,$F$2,Rodeo!$B:$B,A43),"0")</f>
        <v>0</v>
      </c>
      <c r="G43" s="22">
        <f>IFERROR(SUMIFS(Rodeo!$D:$D,Rodeo!$A:$A,$G$2,Rodeo!$B:$B,A43),"0")</f>
        <v>0</v>
      </c>
      <c r="H43" s="22">
        <f>IFERROR(SUMIFS(Rodeo!$D:$D,Rodeo!$A:$A,$H$2,Rodeo!$B:$B,A43),"0")</f>
        <v>22</v>
      </c>
      <c r="I43" s="22">
        <f>IFERROR(SUMIFS(Rodeo!$D$2:$D$16228,Rodeo!$A$2:$A$16228,$I$2,Rodeo!$B$2:$B$16228,$A43),"0")</f>
        <v>0</v>
      </c>
      <c r="J43" s="22">
        <f>IFERROR(SUMIFS(Rodeo!$D:$D,Rodeo!$A:$A,$J$2,Rodeo!$B:$B,A43),"0")</f>
        <v>0</v>
      </c>
      <c r="K43" s="22">
        <f>IFERROR(SUMIFS(Rodeo!$D:$D,Rodeo!$A:$A,$K$2,Rodeo!$B:$B,A43),"0")</f>
        <v>22</v>
      </c>
    </row>
    <row r="44" spans="1:11" x14ac:dyDescent="0.25">
      <c r="A44" s="28" t="s">
        <v>30</v>
      </c>
      <c r="B44" s="22">
        <f>IFERROR(SUMIFS(Rodeo!$D:$D,Rodeo!$A:$A,$B$2,Rodeo!$B:$B,A44),"0")</f>
        <v>33</v>
      </c>
      <c r="C44" s="22">
        <f>IFERROR(SUMIFS(Rodeo!$D:$D,Rodeo!$A:$A,$C$2,Rodeo!$B:$B,A44),"0")</f>
        <v>545</v>
      </c>
      <c r="D44" s="22">
        <f>IFERROR(SUMIFS(Rodeo!$D:$D,Rodeo!$A:$A,$D$2,Rodeo!$B:$B,A44),"0")</f>
        <v>0</v>
      </c>
      <c r="E44" s="22">
        <f>IFERROR(SUMIFS(Rodeo!$D:$D,Rodeo!$A:$A,$E$2,Rodeo!$B:$B,A44),"0")</f>
        <v>0</v>
      </c>
      <c r="F44" s="22">
        <f>IFERROR(SUMIFS(Rodeo!$D:$D,Rodeo!$A:$A,$F$2,Rodeo!$B:$B,A44),"0")</f>
        <v>0</v>
      </c>
      <c r="G44" s="22">
        <f>IFERROR(SUMIFS(Rodeo!$D:$D,Rodeo!$A:$A,$G$2,Rodeo!$B:$B,A44),"0")</f>
        <v>82</v>
      </c>
      <c r="H44" s="22">
        <f>IFERROR(SUMIFS(Rodeo!$D:$D,Rodeo!$A:$A,$H$2,Rodeo!$B:$B,A44),"0")</f>
        <v>702</v>
      </c>
      <c r="I44" s="22">
        <f>IFERROR(SUMIFS(Rodeo!$D$2:$D$16228,Rodeo!$A$2:$A$16228,$I$2,Rodeo!$B$2:$B$16228,$A44),"0")</f>
        <v>167</v>
      </c>
      <c r="J44" s="22">
        <f>IFERROR(SUMIFS(Rodeo!$D:$D,Rodeo!$A:$A,$J$2,Rodeo!$B:$B,A44),"0")</f>
        <v>3</v>
      </c>
      <c r="K44" s="22">
        <f>IFERROR(SUMIFS(Rodeo!$D:$D,Rodeo!$A:$A,$K$2,Rodeo!$B:$B,A44),"0")</f>
        <v>450</v>
      </c>
    </row>
    <row r="45" spans="1:11" x14ac:dyDescent="0.25">
      <c r="A45" s="28" t="s">
        <v>54</v>
      </c>
      <c r="B45" s="22">
        <f>IFERROR(SUMIFS(Rodeo!$D:$D,Rodeo!$A:$A,$B$2,Rodeo!$B:$B,A45),"0")</f>
        <v>0</v>
      </c>
      <c r="C45" s="22">
        <f>IFERROR(SUMIFS(Rodeo!$D:$D,Rodeo!$A:$A,$C$2,Rodeo!$B:$B,A45),"0")</f>
        <v>2</v>
      </c>
      <c r="D45" s="22">
        <f>IFERROR(SUMIFS(Rodeo!$D:$D,Rodeo!$A:$A,$D$2,Rodeo!$B:$B,A45),"0")</f>
        <v>0</v>
      </c>
      <c r="E45" s="22">
        <f>IFERROR(SUMIFS(Rodeo!$D:$D,Rodeo!$A:$A,$E$2,Rodeo!$B:$B,A45),"0")</f>
        <v>0</v>
      </c>
      <c r="F45" s="22">
        <f>IFERROR(SUMIFS(Rodeo!$D:$D,Rodeo!$A:$A,$F$2,Rodeo!$B:$B,A45),"0")</f>
        <v>0</v>
      </c>
      <c r="G45" s="22">
        <f>IFERROR(SUMIFS(Rodeo!$D:$D,Rodeo!$A:$A,$G$2,Rodeo!$B:$B,A45),"0")</f>
        <v>0</v>
      </c>
      <c r="H45" s="22">
        <f>IFERROR(SUMIFS(Rodeo!$D:$D,Rodeo!$A:$A,$H$2,Rodeo!$B:$B,A45),"0")</f>
        <v>66</v>
      </c>
      <c r="I45" s="22">
        <f>IFERROR(SUMIFS(Rodeo!$D$2:$D$16228,Rodeo!$A$2:$A$16228,$I$2,Rodeo!$B$2:$B$16228,$A45),"0")</f>
        <v>18</v>
      </c>
      <c r="J45" s="22">
        <f>IFERROR(SUMIFS(Rodeo!$D:$D,Rodeo!$A:$A,$J$2,Rodeo!$B:$B,A45),"0")</f>
        <v>0</v>
      </c>
      <c r="K45" s="22">
        <f>IFERROR(SUMIFS(Rodeo!$D:$D,Rodeo!$A:$A,$K$2,Rodeo!$B:$B,A45),"0")</f>
        <v>48</v>
      </c>
    </row>
    <row r="46" spans="1:11" x14ac:dyDescent="0.25">
      <c r="A46" s="28" t="s">
        <v>52</v>
      </c>
      <c r="B46" s="22">
        <f>IFERROR(SUMIFS(Rodeo!$D:$D,Rodeo!$A:$A,$B$2,Rodeo!$B:$B,A46),"0")</f>
        <v>0</v>
      </c>
      <c r="C46" s="22">
        <f>IFERROR(SUMIFS(Rodeo!$D:$D,Rodeo!$A:$A,$C$2,Rodeo!$B:$B,A46),"0")</f>
        <v>0</v>
      </c>
      <c r="D46" s="22">
        <f>IFERROR(SUMIFS(Rodeo!$D:$D,Rodeo!$A:$A,$D$2,Rodeo!$B:$B,A46),"0")</f>
        <v>0</v>
      </c>
      <c r="E46" s="22">
        <f>IFERROR(SUMIFS(Rodeo!$D:$D,Rodeo!$A:$A,$E$2,Rodeo!$B:$B,A46),"0")</f>
        <v>0</v>
      </c>
      <c r="F46" s="22">
        <f>IFERROR(SUMIFS(Rodeo!$D:$D,Rodeo!$A:$A,$F$2,Rodeo!$B:$B,A46),"0")</f>
        <v>0</v>
      </c>
      <c r="G46" s="22">
        <f>IFERROR(SUMIFS(Rodeo!$D:$D,Rodeo!$A:$A,$G$2,Rodeo!$B:$B,A46),"0")</f>
        <v>0</v>
      </c>
      <c r="H46" s="22">
        <f>IFERROR(SUMIFS(Rodeo!$D:$D,Rodeo!$A:$A,$H$2,Rodeo!$B:$B,A46),"0")</f>
        <v>12</v>
      </c>
      <c r="I46" s="22">
        <f>IFERROR(SUMIFS(Rodeo!$D$2:$D$16228,Rodeo!$A$2:$A$16228,$I$2,Rodeo!$B$2:$B$16228,$A46),"0")</f>
        <v>1</v>
      </c>
      <c r="J46" s="22">
        <f>IFERROR(SUMIFS(Rodeo!$D:$D,Rodeo!$A:$A,$J$2,Rodeo!$B:$B,A46),"0")</f>
        <v>0</v>
      </c>
      <c r="K46" s="22">
        <f>IFERROR(SUMIFS(Rodeo!$D:$D,Rodeo!$A:$A,$K$2,Rodeo!$B:$B,A46),"0")</f>
        <v>11</v>
      </c>
    </row>
    <row r="47" spans="1:11" x14ac:dyDescent="0.25">
      <c r="A47" s="28" t="s">
        <v>332</v>
      </c>
      <c r="B47" s="22">
        <f>IFERROR(SUMIFS(Rodeo!$D:$D,Rodeo!$A:$A,$B$2,Rodeo!$B:$B,A47),"0")</f>
        <v>0</v>
      </c>
      <c r="C47" s="22">
        <f>IFERROR(SUMIFS(Rodeo!$D:$D,Rodeo!$A:$A,$C$2,Rodeo!$B:$B,A47),"0")</f>
        <v>30297</v>
      </c>
      <c r="D47" s="22">
        <f>IFERROR(SUMIFS(Rodeo!$D:$D,Rodeo!$A:$A,$D$2,Rodeo!$B:$B,A47),"0")</f>
        <v>0</v>
      </c>
      <c r="E47" s="22">
        <f>IFERROR(SUMIFS(Rodeo!$D:$D,Rodeo!$A:$A,$E$2,Rodeo!$B:$B,A47),"0")</f>
        <v>0</v>
      </c>
      <c r="F47" s="22">
        <f>IFERROR(SUMIFS(Rodeo!$D:$D,Rodeo!$A:$A,$F$2,Rodeo!$B:$B,A47),"0")</f>
        <v>0</v>
      </c>
      <c r="G47" s="22">
        <f>IFERROR(SUMIFS(Rodeo!$D:$D,Rodeo!$A:$A,$G$2,Rodeo!$B:$B,A47),"0")</f>
        <v>338</v>
      </c>
      <c r="H47" s="22">
        <f>IFERROR(SUMIFS(Rodeo!$D:$D,Rodeo!$A:$A,$H$2,Rodeo!$B:$B,A47),"0")</f>
        <v>3038</v>
      </c>
      <c r="I47" s="22">
        <f>IFERROR(SUMIFS(Rodeo!$D$2:$D$16228,Rodeo!$A$2:$A$16228,$I$2,Rodeo!$B$2:$B$16228,$A47),"0")</f>
        <v>982</v>
      </c>
      <c r="J47" s="22">
        <f>IFERROR(SUMIFS(Rodeo!$D:$D,Rodeo!$A:$A,$J$2,Rodeo!$B:$B,A47),"0")</f>
        <v>127</v>
      </c>
      <c r="K47" s="22">
        <f>IFERROR(SUMIFS(Rodeo!$D:$D,Rodeo!$A:$A,$K$2,Rodeo!$B:$B,A47),"0")</f>
        <v>1591</v>
      </c>
    </row>
    <row r="48" spans="1:11" x14ac:dyDescent="0.25">
      <c r="A48" s="28" t="s">
        <v>50</v>
      </c>
      <c r="B48" s="22">
        <f>IFERROR(SUMIFS(Rodeo!$D:$D,Rodeo!$A:$A,$B$2,Rodeo!$B:$B,A48),"0")</f>
        <v>776</v>
      </c>
      <c r="C48" s="22">
        <f>IFERROR(SUMIFS(Rodeo!$D:$D,Rodeo!$A:$A,$C$2,Rodeo!$B:$B,A48),"0")</f>
        <v>74</v>
      </c>
      <c r="D48" s="22">
        <f>IFERROR(SUMIFS(Rodeo!$D:$D,Rodeo!$A:$A,$D$2,Rodeo!$B:$B,A48),"0")</f>
        <v>0</v>
      </c>
      <c r="E48" s="22">
        <f>IFERROR(SUMIFS(Rodeo!$D:$D,Rodeo!$A:$A,$E$2,Rodeo!$B:$B,A48),"0")</f>
        <v>0</v>
      </c>
      <c r="F48" s="22">
        <f>IFERROR(SUMIFS(Rodeo!$D:$D,Rodeo!$A:$A,$F$2,Rodeo!$B:$B,A48),"0")</f>
        <v>0</v>
      </c>
      <c r="G48" s="22">
        <f>IFERROR(SUMIFS(Rodeo!$D:$D,Rodeo!$A:$A,$G$2,Rodeo!$B:$B,A48),"0")</f>
        <v>0</v>
      </c>
      <c r="H48" s="22">
        <f>IFERROR(SUMIFS(Rodeo!$D:$D,Rodeo!$A:$A,$H$2,Rodeo!$B:$B,A48),"0")</f>
        <v>426</v>
      </c>
      <c r="I48" s="22">
        <f>IFERROR(SUMIFS(Rodeo!$D$2:$D$16228,Rodeo!$A$2:$A$16228,$I$2,Rodeo!$B$2:$B$16228,$A48),"0")</f>
        <v>6</v>
      </c>
      <c r="J48" s="22">
        <f>IFERROR(SUMIFS(Rodeo!$D:$D,Rodeo!$A:$A,$J$2,Rodeo!$B:$B,A48),"0")</f>
        <v>2</v>
      </c>
      <c r="K48" s="22">
        <f>IFERROR(SUMIFS(Rodeo!$D:$D,Rodeo!$A:$A,$K$2,Rodeo!$B:$B,A48),"0")</f>
        <v>418</v>
      </c>
    </row>
    <row r="49" spans="1:11" x14ac:dyDescent="0.25">
      <c r="A49" s="28" t="s">
        <v>24</v>
      </c>
      <c r="B49" s="22">
        <f>IFERROR(SUMIFS(Rodeo!$D:$D,Rodeo!$A:$A,$B$2,Rodeo!$B:$B,A49),"0")</f>
        <v>1153</v>
      </c>
      <c r="C49" s="22">
        <f>IFERROR(SUMIFS(Rodeo!$D:$D,Rodeo!$A:$A,$C$2,Rodeo!$B:$B,A49),"0")</f>
        <v>0</v>
      </c>
      <c r="D49" s="22">
        <f>IFERROR(SUMIFS(Rodeo!$D:$D,Rodeo!$A:$A,$D$2,Rodeo!$B:$B,A49),"0")</f>
        <v>0</v>
      </c>
      <c r="E49" s="22">
        <f>IFERROR(SUMIFS(Rodeo!$D:$D,Rodeo!$A:$A,$E$2,Rodeo!$B:$B,A49),"0")</f>
        <v>0</v>
      </c>
      <c r="F49" s="22">
        <f>IFERROR(SUMIFS(Rodeo!$D:$D,Rodeo!$A:$A,$F$2,Rodeo!$B:$B,A49),"0")</f>
        <v>0</v>
      </c>
      <c r="G49" s="22">
        <f>IFERROR(SUMIFS(Rodeo!$D:$D,Rodeo!$A:$A,$G$2,Rodeo!$B:$B,A49),"0")</f>
        <v>3</v>
      </c>
      <c r="H49" s="22">
        <f>IFERROR(SUMIFS(Rodeo!$D:$D,Rodeo!$A:$A,$H$2,Rodeo!$B:$B,A49),"0")</f>
        <v>44</v>
      </c>
      <c r="I49" s="22">
        <f>IFERROR(SUMIFS(Rodeo!$D$2:$D$16228,Rodeo!$A$2:$A$16228,$I$2,Rodeo!$B$2:$B$16228,$A49),"0")</f>
        <v>21</v>
      </c>
      <c r="J49" s="22">
        <f>IFERROR(SUMIFS(Rodeo!$D:$D,Rodeo!$A:$A,$J$2,Rodeo!$B:$B,A49),"0")</f>
        <v>0</v>
      </c>
      <c r="K49" s="22">
        <f>IFERROR(SUMIFS(Rodeo!$D:$D,Rodeo!$A:$A,$K$2,Rodeo!$B:$B,A49),"0")</f>
        <v>20</v>
      </c>
    </row>
    <row r="50" spans="1:11" x14ac:dyDescent="0.25">
      <c r="A50" s="28" t="s">
        <v>333</v>
      </c>
      <c r="B50" s="22">
        <f>IFERROR(SUMIFS(Rodeo!$D:$D,Rodeo!$A:$A,$B$2,Rodeo!$B:$B,A50),"0")</f>
        <v>0</v>
      </c>
      <c r="C50" s="22">
        <f>IFERROR(SUMIFS(Rodeo!$D:$D,Rodeo!$A:$A,$C$2,Rodeo!$B:$B,A50),"0")</f>
        <v>0</v>
      </c>
      <c r="D50" s="22">
        <f>IFERROR(SUMIFS(Rodeo!$D:$D,Rodeo!$A:$A,$D$2,Rodeo!$B:$B,A50),"0")</f>
        <v>0</v>
      </c>
      <c r="E50" s="22">
        <f>IFERROR(SUMIFS(Rodeo!$D:$D,Rodeo!$A:$A,$E$2,Rodeo!$B:$B,A50),"0")</f>
        <v>0</v>
      </c>
      <c r="F50" s="22">
        <f>IFERROR(SUMIFS(Rodeo!$D:$D,Rodeo!$A:$A,$F$2,Rodeo!$B:$B,A50),"0")</f>
        <v>0</v>
      </c>
      <c r="G50" s="22">
        <f>IFERROR(SUMIFS(Rodeo!$D:$D,Rodeo!$A:$A,$G$2,Rodeo!$B:$B,A50),"0")</f>
        <v>0</v>
      </c>
      <c r="H50" s="22">
        <f>IFERROR(SUMIFS(Rodeo!$D:$D,Rodeo!$A:$A,$H$2,Rodeo!$B:$B,A50),"0")</f>
        <v>269</v>
      </c>
      <c r="I50" s="22">
        <f>IFERROR(SUMIFS(Rodeo!$D$2:$D$16228,Rodeo!$A$2:$A$16228,$I$2,Rodeo!$B$2:$B$16228,$A50),"0")</f>
        <v>0</v>
      </c>
      <c r="J50" s="22">
        <f>IFERROR(SUMIFS(Rodeo!$D:$D,Rodeo!$A:$A,$J$2,Rodeo!$B:$B,A50),"0")</f>
        <v>0</v>
      </c>
      <c r="K50" s="22">
        <f>IFERROR(SUMIFS(Rodeo!$D:$D,Rodeo!$A:$A,$K$2,Rodeo!$B:$B,A50),"0")</f>
        <v>269</v>
      </c>
    </row>
    <row r="51" spans="1:11" x14ac:dyDescent="0.25">
      <c r="A51" s="28" t="s">
        <v>335</v>
      </c>
      <c r="B51" s="22">
        <f>IFERROR(SUMIFS(Rodeo!$D:$D,Rodeo!$A:$A,$B$2,Rodeo!$B:$B,A51),"0")</f>
        <v>0</v>
      </c>
      <c r="C51" s="22">
        <f>IFERROR(SUMIFS(Rodeo!$D:$D,Rodeo!$A:$A,$C$2,Rodeo!$B:$B,A51),"0")</f>
        <v>0</v>
      </c>
      <c r="D51" s="22">
        <f>IFERROR(SUMIFS(Rodeo!$D:$D,Rodeo!$A:$A,$D$2,Rodeo!$B:$B,A51),"0")</f>
        <v>0</v>
      </c>
      <c r="E51" s="22">
        <f>IFERROR(SUMIFS(Rodeo!$D:$D,Rodeo!$A:$A,$E$2,Rodeo!$B:$B,A51),"0")</f>
        <v>0</v>
      </c>
      <c r="F51" s="22">
        <f>IFERROR(SUMIFS(Rodeo!$D:$D,Rodeo!$A:$A,$F$2,Rodeo!$B:$B,A51),"0")</f>
        <v>0</v>
      </c>
      <c r="G51" s="22">
        <f>IFERROR(SUMIFS(Rodeo!$D:$D,Rodeo!$A:$A,$G$2,Rodeo!$B:$B,A51),"0")</f>
        <v>0</v>
      </c>
      <c r="H51" s="22">
        <f>IFERROR(SUMIFS(Rodeo!$D:$D,Rodeo!$A:$A,$H$2,Rodeo!$B:$B,A51),"0")</f>
        <v>35</v>
      </c>
      <c r="I51" s="22">
        <f>IFERROR(SUMIFS(Rodeo!$D$2:$D$16228,Rodeo!$A$2:$A$16228,$I$2,Rodeo!$B$2:$B$16228,$A51),"0")</f>
        <v>1</v>
      </c>
      <c r="J51" s="22">
        <f>IFERROR(SUMIFS(Rodeo!$D:$D,Rodeo!$A:$A,$J$2,Rodeo!$B:$B,A51),"0")</f>
        <v>5</v>
      </c>
      <c r="K51" s="22">
        <f>IFERROR(SUMIFS(Rodeo!$D:$D,Rodeo!$A:$A,$K$2,Rodeo!$B:$B,A51),"0")</f>
        <v>29</v>
      </c>
    </row>
    <row r="52" spans="1:11" x14ac:dyDescent="0.25">
      <c r="A52" s="28" t="s">
        <v>27</v>
      </c>
      <c r="B52" s="22">
        <f>IFERROR(SUMIFS(Rodeo!$D:$D,Rodeo!$A:$A,$B$2,Rodeo!$B:$B,A52),"0")</f>
        <v>0</v>
      </c>
      <c r="C52" s="22">
        <f>IFERROR(SUMIFS(Rodeo!$D:$D,Rodeo!$A:$A,$C$2,Rodeo!$B:$B,A52),"0")</f>
        <v>0</v>
      </c>
      <c r="D52" s="22">
        <f>IFERROR(SUMIFS(Rodeo!$D:$D,Rodeo!$A:$A,$D$2,Rodeo!$B:$B,A52),"0")</f>
        <v>0</v>
      </c>
      <c r="E52" s="22">
        <f>IFERROR(SUMIFS(Rodeo!$D:$D,Rodeo!$A:$A,$E$2,Rodeo!$B:$B,A52),"0")</f>
        <v>0</v>
      </c>
      <c r="F52" s="22">
        <f>IFERROR(SUMIFS(Rodeo!$D:$D,Rodeo!$A:$A,$F$2,Rodeo!$B:$B,A52),"0")</f>
        <v>0</v>
      </c>
      <c r="G52" s="22">
        <f>IFERROR(SUMIFS(Rodeo!$D:$D,Rodeo!$A:$A,$G$2,Rodeo!$B:$B,A52),"0")</f>
        <v>0</v>
      </c>
      <c r="H52" s="22">
        <f>IFERROR(SUMIFS(Rodeo!$D:$D,Rodeo!$A:$A,$H$2,Rodeo!$B:$B,A52),"0")</f>
        <v>351</v>
      </c>
      <c r="I52" s="22">
        <f>IFERROR(SUMIFS(Rodeo!$D$2:$D$16228,Rodeo!$A$2:$A$16228,$I$2,Rodeo!$B$2:$B$16228,$A52),"0")</f>
        <v>9</v>
      </c>
      <c r="J52" s="22">
        <f>IFERROR(SUMIFS(Rodeo!$D:$D,Rodeo!$A:$A,$J$2,Rodeo!$B:$B,A52),"0")</f>
        <v>1</v>
      </c>
      <c r="K52" s="22">
        <f>IFERROR(SUMIFS(Rodeo!$D:$D,Rodeo!$A:$A,$K$2,Rodeo!$B:$B,A52),"0")</f>
        <v>341</v>
      </c>
    </row>
    <row r="53" spans="1:11" x14ac:dyDescent="0.25">
      <c r="A53" s="28" t="s">
        <v>44</v>
      </c>
      <c r="B53" s="22">
        <f>IFERROR(SUMIFS(Rodeo!$D:$D,Rodeo!$A:$A,$B$2,Rodeo!$B:$B,A53),"0")</f>
        <v>0</v>
      </c>
      <c r="C53" s="22">
        <f>IFERROR(SUMIFS(Rodeo!$D:$D,Rodeo!$A:$A,$C$2,Rodeo!$B:$B,A53),"0")</f>
        <v>0</v>
      </c>
      <c r="D53" s="22">
        <f>IFERROR(SUMIFS(Rodeo!$D:$D,Rodeo!$A:$A,$D$2,Rodeo!$B:$B,A53),"0")</f>
        <v>0</v>
      </c>
      <c r="E53" s="22">
        <f>IFERROR(SUMIFS(Rodeo!$D:$D,Rodeo!$A:$A,$E$2,Rodeo!$B:$B,A53),"0")</f>
        <v>0</v>
      </c>
      <c r="F53" s="22">
        <f>IFERROR(SUMIFS(Rodeo!$D:$D,Rodeo!$A:$A,$F$2,Rodeo!$B:$B,A53),"0")</f>
        <v>0</v>
      </c>
      <c r="G53" s="22">
        <f>IFERROR(SUMIFS(Rodeo!$D:$D,Rodeo!$A:$A,$G$2,Rodeo!$B:$B,A53),"0")</f>
        <v>0</v>
      </c>
      <c r="H53" s="22">
        <f>IFERROR(SUMIFS(Rodeo!$D:$D,Rodeo!$A:$A,$H$2,Rodeo!$B:$B,A53),"0")</f>
        <v>7</v>
      </c>
      <c r="I53" s="22">
        <f>IFERROR(SUMIFS(Rodeo!$D$2:$D$16228,Rodeo!$A$2:$A$16228,$I$2,Rodeo!$B$2:$B$16228,$A53),"0")</f>
        <v>0</v>
      </c>
      <c r="J53" s="22">
        <f>IFERROR(SUMIFS(Rodeo!$D:$D,Rodeo!$A:$A,$J$2,Rodeo!$B:$B,A53),"0")</f>
        <v>0</v>
      </c>
      <c r="K53" s="22">
        <f>IFERROR(SUMIFS(Rodeo!$D:$D,Rodeo!$A:$A,$K$2,Rodeo!$B:$B,A53),"0")</f>
        <v>7</v>
      </c>
    </row>
    <row r="54" spans="1:11" x14ac:dyDescent="0.25">
      <c r="A54" s="28" t="s">
        <v>26</v>
      </c>
      <c r="B54" s="22">
        <f>IFERROR(SUMIFS(Rodeo!$D:$D,Rodeo!$A:$A,$B$2,Rodeo!$B:$B,A54),"0")</f>
        <v>1326</v>
      </c>
      <c r="C54" s="22">
        <f>IFERROR(SUMIFS(Rodeo!$D:$D,Rodeo!$A:$A,$C$2,Rodeo!$B:$B,A54),"0")</f>
        <v>0</v>
      </c>
      <c r="D54" s="22">
        <f>IFERROR(SUMIFS(Rodeo!$D:$D,Rodeo!$A:$A,$D$2,Rodeo!$B:$B,A54),"0")</f>
        <v>0</v>
      </c>
      <c r="E54" s="22">
        <f>IFERROR(SUMIFS(Rodeo!$D:$D,Rodeo!$A:$A,$E$2,Rodeo!$B:$B,A54),"0")</f>
        <v>0</v>
      </c>
      <c r="F54" s="22">
        <f>IFERROR(SUMIFS(Rodeo!$D:$D,Rodeo!$A:$A,$F$2,Rodeo!$B:$B,A54),"0")</f>
        <v>0</v>
      </c>
      <c r="G54" s="22">
        <f>IFERROR(SUMIFS(Rodeo!$D:$D,Rodeo!$A:$A,$G$2,Rodeo!$B:$B,A54),"0")</f>
        <v>0</v>
      </c>
      <c r="H54" s="22">
        <f>IFERROR(SUMIFS(Rodeo!$D:$D,Rodeo!$A:$A,$H$2,Rodeo!$B:$B,A54),"0")</f>
        <v>10</v>
      </c>
      <c r="I54" s="22">
        <f>IFERROR(SUMIFS(Rodeo!$D$2:$D$16228,Rodeo!$A$2:$A$16228,$I$2,Rodeo!$B$2:$B$16228,$A54),"0")</f>
        <v>3</v>
      </c>
      <c r="J54" s="22">
        <f>IFERROR(SUMIFS(Rodeo!$D:$D,Rodeo!$A:$A,$J$2,Rodeo!$B:$B,A54),"0")</f>
        <v>1</v>
      </c>
      <c r="K54" s="22">
        <f>IFERROR(SUMIFS(Rodeo!$D:$D,Rodeo!$A:$A,$K$2,Rodeo!$B:$B,A54),"0")</f>
        <v>6</v>
      </c>
    </row>
    <row r="55" spans="1:11" x14ac:dyDescent="0.25">
      <c r="A55" s="28" t="s">
        <v>64</v>
      </c>
      <c r="B55" s="22">
        <f>IFERROR(SUMIFS(Rodeo!$D:$D,Rodeo!$A:$A,$B$2,Rodeo!$B:$B,A55),"0")</f>
        <v>0</v>
      </c>
      <c r="C55" s="22">
        <f>IFERROR(SUMIFS(Rodeo!$D:$D,Rodeo!$A:$A,$C$2,Rodeo!$B:$B,A55),"0")</f>
        <v>0</v>
      </c>
      <c r="D55" s="22">
        <f>IFERROR(SUMIFS(Rodeo!$D:$D,Rodeo!$A:$A,$D$2,Rodeo!$B:$B,A55),"0")</f>
        <v>0</v>
      </c>
      <c r="E55" s="22">
        <f>IFERROR(SUMIFS(Rodeo!$D:$D,Rodeo!$A:$A,$E$2,Rodeo!$B:$B,A55),"0")</f>
        <v>0</v>
      </c>
      <c r="F55" s="22">
        <f>IFERROR(SUMIFS(Rodeo!$D:$D,Rodeo!$A:$A,$F$2,Rodeo!$B:$B,A55),"0")</f>
        <v>0</v>
      </c>
      <c r="G55" s="22">
        <f>IFERROR(SUMIFS(Rodeo!$D:$D,Rodeo!$A:$A,$G$2,Rodeo!$B:$B,A55),"0")</f>
        <v>0</v>
      </c>
      <c r="H55" s="22">
        <f>IFERROR(SUMIFS(Rodeo!$D:$D,Rodeo!$A:$A,$H$2,Rodeo!$B:$B,A55),"0")</f>
        <v>44</v>
      </c>
      <c r="I55" s="22">
        <f>IFERROR(SUMIFS(Rodeo!$D$2:$D$16228,Rodeo!$A$2:$A$16228,$I$2,Rodeo!$B$2:$B$16228,$A55),"0")</f>
        <v>11</v>
      </c>
      <c r="J55" s="22">
        <f>IFERROR(SUMIFS(Rodeo!$D:$D,Rodeo!$A:$A,$J$2,Rodeo!$B:$B,A55),"0")</f>
        <v>0</v>
      </c>
      <c r="K55" s="22">
        <f>IFERROR(SUMIFS(Rodeo!$D:$D,Rodeo!$A:$A,$K$2,Rodeo!$B:$B,A55),"0")</f>
        <v>33</v>
      </c>
    </row>
    <row r="56" spans="1:11" x14ac:dyDescent="0.25">
      <c r="A56" s="28" t="s">
        <v>25</v>
      </c>
      <c r="B56" s="22">
        <f>IFERROR(SUMIFS(Rodeo!$D:$D,Rodeo!$A:$A,$B$2,Rodeo!$B:$B,A56),"0")</f>
        <v>0</v>
      </c>
      <c r="C56" s="22">
        <f>IFERROR(SUMIFS(Rodeo!$D:$D,Rodeo!$A:$A,$C$2,Rodeo!$B:$B,A56),"0")</f>
        <v>0</v>
      </c>
      <c r="D56" s="22">
        <f>IFERROR(SUMIFS(Rodeo!$D:$D,Rodeo!$A:$A,$D$2,Rodeo!$B:$B,A56),"0")</f>
        <v>0</v>
      </c>
      <c r="E56" s="22">
        <f>IFERROR(SUMIFS(Rodeo!$D:$D,Rodeo!$A:$A,$E$2,Rodeo!$B:$B,A56),"0")</f>
        <v>0</v>
      </c>
      <c r="F56" s="22">
        <f>IFERROR(SUMIFS(Rodeo!$D:$D,Rodeo!$A:$A,$F$2,Rodeo!$B:$B,A56),"0")</f>
        <v>0</v>
      </c>
      <c r="G56" s="22">
        <f>IFERROR(SUMIFS(Rodeo!$D:$D,Rodeo!$A:$A,$G$2,Rodeo!$B:$B,A56),"0")</f>
        <v>0</v>
      </c>
      <c r="H56" s="22">
        <f>IFERROR(SUMIFS(Rodeo!$D:$D,Rodeo!$A:$A,$H$2,Rodeo!$B:$B,A56),"0")</f>
        <v>58</v>
      </c>
      <c r="I56" s="22">
        <f>IFERROR(SUMIFS(Rodeo!$D$2:$D$16228,Rodeo!$A$2:$A$16228,$I$2,Rodeo!$B$2:$B$16228,$A56),"0")</f>
        <v>0</v>
      </c>
      <c r="J56" s="22">
        <f>IFERROR(SUMIFS(Rodeo!$D:$D,Rodeo!$A:$A,$J$2,Rodeo!$B:$B,A56),"0")</f>
        <v>0</v>
      </c>
      <c r="K56" s="22">
        <f>IFERROR(SUMIFS(Rodeo!$D:$D,Rodeo!$A:$A,$K$2,Rodeo!$B:$B,A56),"0")</f>
        <v>58</v>
      </c>
    </row>
    <row r="57" spans="1:11" x14ac:dyDescent="0.25">
      <c r="A57" s="28" t="s">
        <v>336</v>
      </c>
      <c r="B57" s="22">
        <f>IFERROR(SUMIFS(Rodeo!$D:$D,Rodeo!$A:$A,$B$2,Rodeo!$B:$B,A57),"0")</f>
        <v>0</v>
      </c>
      <c r="C57" s="22">
        <f>IFERROR(SUMIFS(Rodeo!$D:$D,Rodeo!$A:$A,$C$2,Rodeo!$B:$B,A57),"0")</f>
        <v>0</v>
      </c>
      <c r="D57" s="22">
        <f>IFERROR(SUMIFS(Rodeo!$D:$D,Rodeo!$A:$A,$D$2,Rodeo!$B:$B,A57),"0")</f>
        <v>0</v>
      </c>
      <c r="E57" s="22">
        <f>IFERROR(SUMIFS(Rodeo!$D:$D,Rodeo!$A:$A,$E$2,Rodeo!$B:$B,A57),"0")</f>
        <v>0</v>
      </c>
      <c r="F57" s="22">
        <f>IFERROR(SUMIFS(Rodeo!$D:$D,Rodeo!$A:$A,$F$2,Rodeo!$B:$B,A57),"0")</f>
        <v>0</v>
      </c>
      <c r="G57" s="22">
        <f>IFERROR(SUMIFS(Rodeo!$D:$D,Rodeo!$A:$A,$G$2,Rodeo!$B:$B,A57),"0")</f>
        <v>0</v>
      </c>
      <c r="H57" s="22">
        <f>IFERROR(SUMIFS(Rodeo!$D:$D,Rodeo!$A:$A,$H$2,Rodeo!$B:$B,A57),"0")</f>
        <v>68</v>
      </c>
      <c r="I57" s="22">
        <f>IFERROR(SUMIFS(Rodeo!$D$2:$D$16228,Rodeo!$A$2:$A$16228,$I$2,Rodeo!$B$2:$B$16228,$A57),"0")</f>
        <v>1</v>
      </c>
      <c r="J57" s="22">
        <f>IFERROR(SUMIFS(Rodeo!$D:$D,Rodeo!$A:$A,$J$2,Rodeo!$B:$B,A57),"0")</f>
        <v>0</v>
      </c>
      <c r="K57" s="22">
        <f>IFERROR(SUMIFS(Rodeo!$D:$D,Rodeo!$A:$A,$K$2,Rodeo!$B:$B,A57),"0")</f>
        <v>67</v>
      </c>
    </row>
    <row r="58" spans="1:11" x14ac:dyDescent="0.25">
      <c r="A58" s="28" t="s">
        <v>61</v>
      </c>
      <c r="B58" s="22">
        <f>IFERROR(SUMIFS(Rodeo!$D:$D,Rodeo!$A:$A,$B$2,Rodeo!$B:$B,A58),"0")</f>
        <v>0</v>
      </c>
      <c r="C58" s="22">
        <f>IFERROR(SUMIFS(Rodeo!$D:$D,Rodeo!$A:$A,$C$2,Rodeo!$B:$B,A58),"0")</f>
        <v>0</v>
      </c>
      <c r="D58" s="22">
        <f>IFERROR(SUMIFS(Rodeo!$D:$D,Rodeo!$A:$A,$D$2,Rodeo!$B:$B,A58),"0")</f>
        <v>0</v>
      </c>
      <c r="E58" s="22">
        <f>IFERROR(SUMIFS(Rodeo!$D:$D,Rodeo!$A:$A,$E$2,Rodeo!$B:$B,A58),"0")</f>
        <v>0</v>
      </c>
      <c r="F58" s="22">
        <f>IFERROR(SUMIFS(Rodeo!$D:$D,Rodeo!$A:$A,$F$2,Rodeo!$B:$B,A58),"0")</f>
        <v>0</v>
      </c>
      <c r="G58" s="22">
        <f>IFERROR(SUMIFS(Rodeo!$D:$D,Rodeo!$A:$A,$G$2,Rodeo!$B:$B,A58),"0")</f>
        <v>0</v>
      </c>
      <c r="H58" s="22">
        <f>IFERROR(SUMIFS(Rodeo!$D:$D,Rodeo!$A:$A,$H$2,Rodeo!$B:$B,A58),"0")</f>
        <v>82</v>
      </c>
      <c r="I58" s="22">
        <f>IFERROR(SUMIFS(Rodeo!$D$2:$D$16228,Rodeo!$A$2:$A$16228,$I$2,Rodeo!$B$2:$B$16228,$A58),"0")</f>
        <v>0</v>
      </c>
      <c r="J58" s="22">
        <f>IFERROR(SUMIFS(Rodeo!$D:$D,Rodeo!$A:$A,$J$2,Rodeo!$B:$B,A58),"0")</f>
        <v>0</v>
      </c>
      <c r="K58" s="22">
        <f>IFERROR(SUMIFS(Rodeo!$D:$D,Rodeo!$A:$A,$K$2,Rodeo!$B:$B,A58),"0")</f>
        <v>82</v>
      </c>
    </row>
    <row r="59" spans="1:11" x14ac:dyDescent="0.25">
      <c r="A59" s="28" t="s">
        <v>194</v>
      </c>
      <c r="B59" s="22">
        <f>IFERROR(SUMIFS(Rodeo!$D:$D,Rodeo!$A:$A,$B$2,Rodeo!$B:$B,A59),"0")</f>
        <v>0</v>
      </c>
      <c r="C59" s="22">
        <f>IFERROR(SUMIFS(Rodeo!$D:$D,Rodeo!$A:$A,$C$2,Rodeo!$B:$B,A59),"0")</f>
        <v>0</v>
      </c>
      <c r="D59" s="22">
        <f>IFERROR(SUMIFS(Rodeo!$D:$D,Rodeo!$A:$A,$D$2,Rodeo!$B:$B,A59),"0")</f>
        <v>0</v>
      </c>
      <c r="E59" s="22">
        <f>IFERROR(SUMIFS(Rodeo!$D:$D,Rodeo!$A:$A,$E$2,Rodeo!$B:$B,A59),"0")</f>
        <v>0</v>
      </c>
      <c r="F59" s="22">
        <f>IFERROR(SUMIFS(Rodeo!$D:$D,Rodeo!$A:$A,$F$2,Rodeo!$B:$B,A59),"0")</f>
        <v>0</v>
      </c>
      <c r="G59" s="22">
        <f>IFERROR(SUMIFS(Rodeo!$D:$D,Rodeo!$A:$A,$G$2,Rodeo!$B:$B,A59),"0")</f>
        <v>0</v>
      </c>
      <c r="H59" s="22">
        <f>IFERROR(SUMIFS(Rodeo!$D:$D,Rodeo!$A:$A,$H$2,Rodeo!$B:$B,A59),"0")</f>
        <v>1</v>
      </c>
      <c r="I59" s="22">
        <f>IFERROR(SUMIFS(Rodeo!$D$2:$D$16228,Rodeo!$A$2:$A$16228,$I$2,Rodeo!$B$2:$B$16228,$A59),"0")</f>
        <v>0</v>
      </c>
      <c r="J59" s="22">
        <f>IFERROR(SUMIFS(Rodeo!$D:$D,Rodeo!$A:$A,$J$2,Rodeo!$B:$B,A59),"0")</f>
        <v>0</v>
      </c>
      <c r="K59" s="22">
        <f>IFERROR(SUMIFS(Rodeo!$D:$D,Rodeo!$A:$A,$K$2,Rodeo!$B:$B,A59),"0")</f>
        <v>1</v>
      </c>
    </row>
    <row r="60" spans="1:11" x14ac:dyDescent="0.25">
      <c r="A60" s="28"/>
      <c r="B60" s="22">
        <f>IFERROR(SUMIFS(Rodeo!$D:$D,Rodeo!$A:$A,$B$2,Rodeo!$B:$B,A60),"0")</f>
        <v>0</v>
      </c>
      <c r="C60" s="22">
        <f>IFERROR(SUMIFS(Rodeo!$D:$D,Rodeo!$A:$A,$C$2,Rodeo!$B:$B,A60),"0")</f>
        <v>0</v>
      </c>
      <c r="D60" s="22">
        <f>IFERROR(SUMIFS(Rodeo!$D:$D,Rodeo!$A:$A,$D$2,Rodeo!$B:$B,A60),"0")</f>
        <v>0</v>
      </c>
      <c r="E60" s="22">
        <f>IFERROR(SUMIFS(Rodeo!$D:$D,Rodeo!$A:$A,$E$2,Rodeo!$B:$B,A60),"0")</f>
        <v>0</v>
      </c>
      <c r="F60" s="22">
        <f>IFERROR(SUMIFS(Rodeo!$D:$D,Rodeo!$A:$A,$F$2,Rodeo!$B:$B,A60),"0")</f>
        <v>0</v>
      </c>
      <c r="G60" s="22">
        <f>IFERROR(SUMIFS(Rodeo!$D:$D,Rodeo!$A:$A,$G$2,Rodeo!$B:$B,A60),"0")</f>
        <v>0</v>
      </c>
      <c r="H60" s="22">
        <f>IFERROR(SUMIFS(Rodeo!$D:$D,Rodeo!$A:$A,$H$2,Rodeo!$B:$B,A60),"0")</f>
        <v>0</v>
      </c>
      <c r="I60" s="22">
        <f>IFERROR(SUMIFS(Rodeo!$D$2:$D$16228,Rodeo!$A$2:$A$16228,$I$2,Rodeo!$B$2:$B$16228,$A60),"0")</f>
        <v>0</v>
      </c>
      <c r="J60" s="22">
        <f>IFERROR(SUMIFS(Rodeo!$D:$D,Rodeo!$A:$A,$J$2,Rodeo!$B:$B,A60),"0")</f>
        <v>0</v>
      </c>
      <c r="K60" s="22">
        <f>IFERROR(SUMIFS(Rodeo!$D:$D,Rodeo!$A:$A,$K$2,Rodeo!$B:$B,A60),"0")</f>
        <v>0</v>
      </c>
    </row>
    <row r="61" spans="1:11" x14ac:dyDescent="0.25">
      <c r="A61" s="28"/>
      <c r="B61" s="22">
        <f>IFERROR(SUMIFS(Rodeo!$D:$D,Rodeo!$A:$A,$B$2,Rodeo!$B:$B,A61),"0")</f>
        <v>0</v>
      </c>
      <c r="C61" s="22">
        <f>IFERROR(SUMIFS(Rodeo!$D:$D,Rodeo!$A:$A,$C$2,Rodeo!$B:$B,A61),"0")</f>
        <v>0</v>
      </c>
      <c r="D61" s="22">
        <f>IFERROR(SUMIFS(Rodeo!$D:$D,Rodeo!$A:$A,$D$2,Rodeo!$B:$B,A61),"0")</f>
        <v>0</v>
      </c>
      <c r="E61" s="22">
        <f>IFERROR(SUMIFS(Rodeo!$D:$D,Rodeo!$A:$A,$E$2,Rodeo!$B:$B,A61),"0")</f>
        <v>0</v>
      </c>
      <c r="F61" s="22">
        <f>IFERROR(SUMIFS(Rodeo!$D:$D,Rodeo!$A:$A,$F$2,Rodeo!$B:$B,A61),"0")</f>
        <v>0</v>
      </c>
      <c r="G61" s="22">
        <f>IFERROR(SUMIFS(Rodeo!$D:$D,Rodeo!$A:$A,$G$2,Rodeo!$B:$B,A61),"0")</f>
        <v>0</v>
      </c>
      <c r="H61" s="22">
        <f>IFERROR(SUMIFS(Rodeo!$D:$D,Rodeo!$A:$A,$H$2,Rodeo!$B:$B,A61),"0")</f>
        <v>0</v>
      </c>
      <c r="I61" s="22">
        <f>IFERROR(SUMIFS(Rodeo!$D$2:$D$16228,Rodeo!$A$2:$A$16228,$I$2,Rodeo!$B$2:$B$16228,$A61),"0")</f>
        <v>0</v>
      </c>
      <c r="J61" s="22">
        <f>IFERROR(SUMIFS(Rodeo!$D:$D,Rodeo!$A:$A,$J$2,Rodeo!$B:$B,A61),"0")</f>
        <v>0</v>
      </c>
      <c r="K61" s="22">
        <f>IFERROR(SUMIFS(Rodeo!$D:$D,Rodeo!$A:$A,$K$2,Rodeo!$B:$B,A61),"0")</f>
        <v>0</v>
      </c>
    </row>
    <row r="62" spans="1:11" x14ac:dyDescent="0.25">
      <c r="A62" s="28"/>
      <c r="B62" s="22">
        <f>IFERROR(SUMIFS(Rodeo!$D:$D,Rodeo!$A:$A,$B$2,Rodeo!$B:$B,A62),"0")</f>
        <v>0</v>
      </c>
      <c r="C62" s="22">
        <f>IFERROR(SUMIFS(Rodeo!$D:$D,Rodeo!$A:$A,$C$2,Rodeo!$B:$B,A62),"0")</f>
        <v>0</v>
      </c>
      <c r="D62" s="22">
        <f>IFERROR(SUMIFS(Rodeo!$D:$D,Rodeo!$A:$A,$D$2,Rodeo!$B:$B,A62),"0")</f>
        <v>0</v>
      </c>
      <c r="E62" s="22">
        <f>IFERROR(SUMIFS(Rodeo!$D:$D,Rodeo!$A:$A,$E$2,Rodeo!$B:$B,A62),"0")</f>
        <v>0</v>
      </c>
      <c r="F62" s="22">
        <f>IFERROR(SUMIFS(Rodeo!$D:$D,Rodeo!$A:$A,$F$2,Rodeo!$B:$B,A62),"0")</f>
        <v>0</v>
      </c>
      <c r="G62" s="22">
        <f>IFERROR(SUMIFS(Rodeo!$D:$D,Rodeo!$A:$A,$G$2,Rodeo!$B:$B,A62),"0")</f>
        <v>0</v>
      </c>
      <c r="H62" s="22">
        <f>IFERROR(SUMIFS(Rodeo!$D:$D,Rodeo!$A:$A,$H$2,Rodeo!$B:$B,A62),"0")</f>
        <v>0</v>
      </c>
      <c r="I62" s="22">
        <f>IFERROR(SUMIFS(Rodeo!$D$2:$D$16228,Rodeo!$A$2:$A$16228,$I$2,Rodeo!$B$2:$B$16228,$A62),"0")</f>
        <v>0</v>
      </c>
      <c r="J62" s="22">
        <f>IFERROR(SUMIFS(Rodeo!$D:$D,Rodeo!$A:$A,$J$2,Rodeo!$B:$B,A62),"0")</f>
        <v>0</v>
      </c>
      <c r="K62" s="22">
        <f>IFERROR(SUMIFS(Rodeo!$D:$D,Rodeo!$A:$A,$K$2,Rodeo!$B:$B,A62),"0")</f>
        <v>0</v>
      </c>
    </row>
    <row r="63" spans="1:11" x14ac:dyDescent="0.25">
      <c r="A63" s="28"/>
      <c r="B63" s="22">
        <f>IFERROR(SUMIFS(Rodeo!$D:$D,Rodeo!$A:$A,$B$2,Rodeo!$B:$B,A63),"0")</f>
        <v>0</v>
      </c>
      <c r="C63" s="22">
        <f>IFERROR(SUMIFS(Rodeo!$D:$D,Rodeo!$A:$A,$C$2,Rodeo!$B:$B,A63),"0")</f>
        <v>0</v>
      </c>
      <c r="D63" s="22">
        <f>IFERROR(SUMIFS(Rodeo!$D:$D,Rodeo!$A:$A,$D$2,Rodeo!$B:$B,A63),"0")</f>
        <v>0</v>
      </c>
      <c r="E63" s="22">
        <f>IFERROR(SUMIFS(Rodeo!$D:$D,Rodeo!$A:$A,$E$2,Rodeo!$B:$B,A63),"0")</f>
        <v>0</v>
      </c>
      <c r="F63" s="22">
        <f>IFERROR(SUMIFS(Rodeo!$D:$D,Rodeo!$A:$A,$F$2,Rodeo!$B:$B,A63),"0")</f>
        <v>0</v>
      </c>
      <c r="G63" s="22">
        <f>IFERROR(SUMIFS(Rodeo!$D:$D,Rodeo!$A:$A,$G$2,Rodeo!$B:$B,A63),"0")</f>
        <v>0</v>
      </c>
      <c r="H63" s="22">
        <f>IFERROR(SUMIFS(Rodeo!$D:$D,Rodeo!$A:$A,$H$2,Rodeo!$B:$B,A63),"0")</f>
        <v>0</v>
      </c>
      <c r="I63" s="22">
        <f>IFERROR(SUMIFS(Rodeo!$D$2:$D$16228,Rodeo!$A$2:$A$16228,$I$2,Rodeo!$B$2:$B$16228,$A63),"0")</f>
        <v>0</v>
      </c>
      <c r="J63" s="22">
        <f>IFERROR(SUMIFS(Rodeo!$D:$D,Rodeo!$A:$A,$J$2,Rodeo!$B:$B,A63),"0")</f>
        <v>0</v>
      </c>
      <c r="K63" s="22">
        <f>IFERROR(SUMIFS(Rodeo!$D:$D,Rodeo!$A:$A,$K$2,Rodeo!$B:$B,A63),"0")</f>
        <v>0</v>
      </c>
    </row>
    <row r="64" spans="1:11" x14ac:dyDescent="0.25">
      <c r="A64" s="28"/>
      <c r="B64" s="22">
        <f>IFERROR(SUMIFS(Rodeo!$D:$D,Rodeo!$A:$A,$B$2,Rodeo!$B:$B,A64),"0")</f>
        <v>0</v>
      </c>
      <c r="C64" s="22">
        <f>IFERROR(SUMIFS(Rodeo!$D:$D,Rodeo!$A:$A,$C$2,Rodeo!$B:$B,A64),"0")</f>
        <v>0</v>
      </c>
      <c r="D64" s="22">
        <f>IFERROR(SUMIFS(Rodeo!$D:$D,Rodeo!$A:$A,$D$2,Rodeo!$B:$B,A64),"0")</f>
        <v>0</v>
      </c>
      <c r="E64" s="22">
        <f>IFERROR(SUMIFS(Rodeo!$D:$D,Rodeo!$A:$A,$E$2,Rodeo!$B:$B,A64),"0")</f>
        <v>0</v>
      </c>
      <c r="F64" s="22">
        <f>IFERROR(SUMIFS(Rodeo!$D:$D,Rodeo!$A:$A,$F$2,Rodeo!$B:$B,A64),"0")</f>
        <v>0</v>
      </c>
      <c r="G64" s="22">
        <f>IFERROR(SUMIFS(Rodeo!$D:$D,Rodeo!$A:$A,$G$2,Rodeo!$B:$B,A64),"0")</f>
        <v>0</v>
      </c>
      <c r="H64" s="22">
        <f>IFERROR(SUMIFS(Rodeo!$D:$D,Rodeo!$A:$A,$H$2,Rodeo!$B:$B,A64),"0")</f>
        <v>0</v>
      </c>
      <c r="I64" s="22">
        <f>IFERROR(SUMIFS(Rodeo!$D$2:$D$16228,Rodeo!$A$2:$A$16228,$I$2,Rodeo!$B$2:$B$16228,$A64),"0")</f>
        <v>0</v>
      </c>
      <c r="J64" s="22">
        <f>IFERROR(SUMIFS(Rodeo!$D:$D,Rodeo!$A:$A,$J$2,Rodeo!$B:$B,A64),"0")</f>
        <v>0</v>
      </c>
      <c r="K64" s="22">
        <f>IFERROR(SUMIFS(Rodeo!$D:$D,Rodeo!$A:$A,$K$2,Rodeo!$B:$B,A64),"0")</f>
        <v>0</v>
      </c>
    </row>
    <row r="65" spans="1:11" x14ac:dyDescent="0.25">
      <c r="A65" s="28"/>
      <c r="B65" s="22">
        <f>IFERROR(SUMIFS(Rodeo!$D:$D,Rodeo!$A:$A,$B$2,Rodeo!$B:$B,A65),"0")</f>
        <v>0</v>
      </c>
      <c r="C65" s="22">
        <f>IFERROR(SUMIFS(Rodeo!$D:$D,Rodeo!$A:$A,$C$2,Rodeo!$B:$B,A65),"0")</f>
        <v>0</v>
      </c>
      <c r="D65" s="22">
        <f>IFERROR(SUMIFS(Rodeo!$D:$D,Rodeo!$A:$A,$D$2,Rodeo!$B:$B,A65),"0")</f>
        <v>0</v>
      </c>
      <c r="E65" s="22">
        <f>IFERROR(SUMIFS(Rodeo!$D:$D,Rodeo!$A:$A,$E$2,Rodeo!$B:$B,A65),"0")</f>
        <v>0</v>
      </c>
      <c r="F65" s="22">
        <f>IFERROR(SUMIFS(Rodeo!$D:$D,Rodeo!$A:$A,$F$2,Rodeo!$B:$B,A65),"0")</f>
        <v>0</v>
      </c>
      <c r="G65" s="22">
        <f>IFERROR(SUMIFS(Rodeo!$D:$D,Rodeo!$A:$A,$G$2,Rodeo!$B:$B,A65),"0")</f>
        <v>0</v>
      </c>
      <c r="H65" s="22">
        <f>IFERROR(SUMIFS(Rodeo!$D:$D,Rodeo!$A:$A,$H$2,Rodeo!$B:$B,A65),"0")</f>
        <v>0</v>
      </c>
      <c r="I65" s="22">
        <f>IFERROR(SUMIFS(Rodeo!$D$2:$D$16228,Rodeo!$A$2:$A$16228,$I$2,Rodeo!$B$2:$B$16228,$A65),"0")</f>
        <v>0</v>
      </c>
      <c r="J65" s="22">
        <f>IFERROR(SUMIFS(Rodeo!$D:$D,Rodeo!$A:$A,$J$2,Rodeo!$B:$B,A65),"0")</f>
        <v>0</v>
      </c>
      <c r="K65" s="22">
        <f>IFERROR(SUMIFS(Rodeo!$D:$D,Rodeo!$A:$A,$K$2,Rodeo!$B:$B,A65),"0")</f>
        <v>0</v>
      </c>
    </row>
    <row r="66" spans="1:11" x14ac:dyDescent="0.25">
      <c r="A66" s="28"/>
      <c r="B66" s="22">
        <f>IFERROR(SUMIFS(Rodeo!$D:$D,Rodeo!$A:$A,$B$2,Rodeo!$B:$B,A66),"0")</f>
        <v>0</v>
      </c>
      <c r="C66" s="22">
        <f>IFERROR(SUMIFS(Rodeo!$D:$D,Rodeo!$A:$A,$C$2,Rodeo!$B:$B,A66),"0")</f>
        <v>0</v>
      </c>
      <c r="D66" s="22">
        <f>IFERROR(SUMIFS(Rodeo!$D:$D,Rodeo!$A:$A,$D$2,Rodeo!$B:$B,A66),"0")</f>
        <v>0</v>
      </c>
      <c r="E66" s="22">
        <f>IFERROR(SUMIFS(Rodeo!$D:$D,Rodeo!$A:$A,$E$2,Rodeo!$B:$B,A66),"0")</f>
        <v>0</v>
      </c>
      <c r="F66" s="22">
        <f>IFERROR(SUMIFS(Rodeo!$D:$D,Rodeo!$A:$A,$F$2,Rodeo!$B:$B,A66),"0")</f>
        <v>0</v>
      </c>
      <c r="G66" s="22">
        <f>IFERROR(SUMIFS(Rodeo!$D:$D,Rodeo!$A:$A,$G$2,Rodeo!$B:$B,A66),"0")</f>
        <v>0</v>
      </c>
      <c r="H66" s="22">
        <f>IFERROR(SUMIFS(Rodeo!$D:$D,Rodeo!$A:$A,$H$2,Rodeo!$B:$B,A66),"0")</f>
        <v>0</v>
      </c>
      <c r="I66" s="22">
        <f>IFERROR(SUMIFS(Rodeo!$D$2:$D$16228,Rodeo!$A$2:$A$16228,$I$2,Rodeo!$B$2:$B$16228,$A66),"0")</f>
        <v>0</v>
      </c>
      <c r="J66" s="22">
        <f>IFERROR(SUMIFS(Rodeo!$D:$D,Rodeo!$A:$A,$J$2,Rodeo!$B:$B,A66),"0")</f>
        <v>0</v>
      </c>
      <c r="K66" s="22">
        <f>IFERROR(SUMIFS(Rodeo!$D:$D,Rodeo!$A:$A,$K$2,Rodeo!$B:$B,A66),"0")</f>
        <v>0</v>
      </c>
    </row>
    <row r="67" spans="1:11" x14ac:dyDescent="0.25">
      <c r="A67" s="28"/>
      <c r="B67" s="22">
        <f>IFERROR(SUMIFS(Rodeo!$D:$D,Rodeo!$A:$A,$B$2,Rodeo!$B:$B,A67),"0")</f>
        <v>0</v>
      </c>
      <c r="C67" s="22">
        <f>IFERROR(SUMIFS(Rodeo!$D:$D,Rodeo!$A:$A,$C$2,Rodeo!$B:$B,A67),"0")</f>
        <v>0</v>
      </c>
      <c r="D67" s="22">
        <f>IFERROR(SUMIFS(Rodeo!$D:$D,Rodeo!$A:$A,$D$2,Rodeo!$B:$B,A67),"0")</f>
        <v>0</v>
      </c>
      <c r="E67" s="22">
        <f>IFERROR(SUMIFS(Rodeo!$D:$D,Rodeo!$A:$A,$E$2,Rodeo!$B:$B,A67),"0")</f>
        <v>0</v>
      </c>
      <c r="F67" s="22">
        <f>IFERROR(SUMIFS(Rodeo!$D:$D,Rodeo!$A:$A,$F$2,Rodeo!$B:$B,A67),"0")</f>
        <v>0</v>
      </c>
      <c r="G67" s="22">
        <f>IFERROR(SUMIFS(Rodeo!$D:$D,Rodeo!$A:$A,$G$2,Rodeo!$B:$B,A67),"0")</f>
        <v>0</v>
      </c>
      <c r="H67" s="22">
        <f>IFERROR(SUMIFS(Rodeo!$D:$D,Rodeo!$A:$A,$H$2,Rodeo!$B:$B,A67),"0")</f>
        <v>0</v>
      </c>
      <c r="I67" s="22">
        <f>IFERROR(SUMIFS(Rodeo!$D$2:$D$16228,Rodeo!$A$2:$A$16228,$I$2,Rodeo!$B$2:$B$16228,$A67),"0")</f>
        <v>0</v>
      </c>
      <c r="J67" s="22">
        <f>IFERROR(SUMIFS(Rodeo!$D:$D,Rodeo!$A:$A,$J$2,Rodeo!$B:$B,A67),"0")</f>
        <v>0</v>
      </c>
      <c r="K67" s="22">
        <f>IFERROR(SUMIFS(Rodeo!$D:$D,Rodeo!$A:$A,$K$2,Rodeo!$B:$B,A67),"0")</f>
        <v>0</v>
      </c>
    </row>
    <row r="68" spans="1:11" x14ac:dyDescent="0.25">
      <c r="A68" s="28"/>
      <c r="B68" s="22">
        <f>IFERROR(SUMIFS(Rodeo!$D:$D,Rodeo!$A:$A,$B$2,Rodeo!$B:$B,A68),"0")</f>
        <v>0</v>
      </c>
      <c r="C68" s="22">
        <f>IFERROR(SUMIFS(Rodeo!$D:$D,Rodeo!$A:$A,$C$2,Rodeo!$B:$B,A68),"0")</f>
        <v>0</v>
      </c>
      <c r="D68" s="22">
        <f>IFERROR(SUMIFS(Rodeo!$D:$D,Rodeo!$A:$A,$D$2,Rodeo!$B:$B,A68),"0")</f>
        <v>0</v>
      </c>
      <c r="E68" s="22">
        <f>IFERROR(SUMIFS(Rodeo!$D:$D,Rodeo!$A:$A,$E$2,Rodeo!$B:$B,A68),"0")</f>
        <v>0</v>
      </c>
      <c r="F68" s="22">
        <f>IFERROR(SUMIFS(Rodeo!$D:$D,Rodeo!$A:$A,$F$2,Rodeo!$B:$B,A68),"0")</f>
        <v>0</v>
      </c>
      <c r="G68" s="22">
        <f>IFERROR(SUMIFS(Rodeo!$D:$D,Rodeo!$A:$A,$G$2,Rodeo!$B:$B,A68),"0")</f>
        <v>0</v>
      </c>
      <c r="H68" s="22">
        <f>IFERROR(SUMIFS(Rodeo!$D:$D,Rodeo!$A:$A,$H$2,Rodeo!$B:$B,A68),"0")</f>
        <v>0</v>
      </c>
      <c r="I68" s="22">
        <f>IFERROR(SUMIFS(Rodeo!$D$2:$D$16228,Rodeo!$A$2:$A$16228,$I$2,Rodeo!$B$2:$B$16228,$A68),"0")</f>
        <v>0</v>
      </c>
      <c r="J68" s="22">
        <f>IFERROR(SUMIFS(Rodeo!$D:$D,Rodeo!$A:$A,$J$2,Rodeo!$B:$B,A68),"0")</f>
        <v>0</v>
      </c>
      <c r="K68" s="22">
        <f>IFERROR(SUMIFS(Rodeo!$D:$D,Rodeo!$A:$A,$K$2,Rodeo!$B:$B,A68),"0")</f>
        <v>0</v>
      </c>
    </row>
    <row r="69" spans="1:11" x14ac:dyDescent="0.25">
      <c r="A69" s="28"/>
      <c r="B69" s="22">
        <f>IFERROR(SUMIFS(Rodeo!$D:$D,Rodeo!$A:$A,$B$2,Rodeo!$B:$B,A69),"0")</f>
        <v>0</v>
      </c>
      <c r="C69" s="22">
        <f>IFERROR(SUMIFS(Rodeo!$D:$D,Rodeo!$A:$A,$C$2,Rodeo!$B:$B,A69),"0")</f>
        <v>0</v>
      </c>
      <c r="D69" s="22">
        <f>IFERROR(SUMIFS(Rodeo!$D:$D,Rodeo!$A:$A,$D$2,Rodeo!$B:$B,A69),"0")</f>
        <v>0</v>
      </c>
      <c r="E69" s="22">
        <f>IFERROR(SUMIFS(Rodeo!$D:$D,Rodeo!$A:$A,$E$2,Rodeo!$B:$B,A69),"0")</f>
        <v>0</v>
      </c>
      <c r="F69" s="22">
        <f>IFERROR(SUMIFS(Rodeo!$D:$D,Rodeo!$A:$A,$F$2,Rodeo!$B:$B,A69),"0")</f>
        <v>0</v>
      </c>
      <c r="G69" s="22">
        <f>IFERROR(SUMIFS(Rodeo!$D:$D,Rodeo!$A:$A,$G$2,Rodeo!$B:$B,A69),"0")</f>
        <v>0</v>
      </c>
      <c r="H69" s="22">
        <f>IFERROR(SUMIFS(Rodeo!$D:$D,Rodeo!$A:$A,$H$2,Rodeo!$B:$B,A69),"0")</f>
        <v>0</v>
      </c>
      <c r="I69" s="22">
        <f>IFERROR(SUMIFS(Rodeo!$D$2:$D$16228,Rodeo!$A$2:$A$16228,$I$2,Rodeo!$B$2:$B$16228,$A69),"0")</f>
        <v>0</v>
      </c>
      <c r="J69" s="22">
        <f>IFERROR(SUMIFS(Rodeo!$D:$D,Rodeo!$A:$A,$J$2,Rodeo!$B:$B,A69),"0")</f>
        <v>0</v>
      </c>
      <c r="K69" s="22">
        <f>IFERROR(SUMIFS(Rodeo!$D:$D,Rodeo!$A:$A,$K$2,Rodeo!$B:$B,A69),"0")</f>
        <v>0</v>
      </c>
    </row>
    <row r="70" spans="1:11" x14ac:dyDescent="0.25">
      <c r="A70" s="28"/>
      <c r="B70" s="22">
        <f>IFERROR(SUMIFS(Rodeo!$D:$D,Rodeo!$A:$A,$B$2,Rodeo!$B:$B,A70),"0")</f>
        <v>0</v>
      </c>
      <c r="C70" s="22">
        <f>IFERROR(SUMIFS(Rodeo!$D:$D,Rodeo!$A:$A,$C$2,Rodeo!$B:$B,A70),"0")</f>
        <v>0</v>
      </c>
      <c r="D70" s="22">
        <f>IFERROR(SUMIFS(Rodeo!$D:$D,Rodeo!$A:$A,$D$2,Rodeo!$B:$B,A70),"0")</f>
        <v>0</v>
      </c>
      <c r="E70" s="22">
        <f>IFERROR(SUMIFS(Rodeo!$D:$D,Rodeo!$A:$A,$E$2,Rodeo!$B:$B,A70),"0")</f>
        <v>0</v>
      </c>
      <c r="F70" s="22">
        <f>IFERROR(SUMIFS(Rodeo!$D:$D,Rodeo!$A:$A,$F$2,Rodeo!$B:$B,A70),"0")</f>
        <v>0</v>
      </c>
      <c r="G70" s="22">
        <f>IFERROR(SUMIFS(Rodeo!$D:$D,Rodeo!$A:$A,$G$2,Rodeo!$B:$B,A70),"0")</f>
        <v>0</v>
      </c>
      <c r="H70" s="22">
        <f>IFERROR(SUMIFS(Rodeo!$D:$D,Rodeo!$A:$A,$H$2,Rodeo!$B:$B,A70),"0")</f>
        <v>0</v>
      </c>
      <c r="I70" s="22">
        <f>IFERROR(SUMIFS(Rodeo!$D$2:$D$16228,Rodeo!$A$2:$A$16228,$I$2,Rodeo!$B$2:$B$16228,$A70),"0")</f>
        <v>0</v>
      </c>
      <c r="J70" s="22">
        <f>IFERROR(SUMIFS(Rodeo!$D:$D,Rodeo!$A:$A,$J$2,Rodeo!$B:$B,A70),"0")</f>
        <v>0</v>
      </c>
      <c r="K70" s="22">
        <f>IFERROR(SUMIFS(Rodeo!$D:$D,Rodeo!$A:$A,$K$2,Rodeo!$B:$B,A70),"0")</f>
        <v>0</v>
      </c>
    </row>
    <row r="71" spans="1:11" x14ac:dyDescent="0.25">
      <c r="A71" s="28"/>
      <c r="B71" s="22">
        <f>IFERROR(SUMIFS(Rodeo!$D:$D,Rodeo!$A:$A,$B$2,Rodeo!$B:$B,A71),"0")</f>
        <v>0</v>
      </c>
      <c r="C71" s="22">
        <f>IFERROR(SUMIFS(Rodeo!$D:$D,Rodeo!$A:$A,$C$2,Rodeo!$B:$B,A71),"0")</f>
        <v>0</v>
      </c>
      <c r="D71" s="22">
        <f>IFERROR(SUMIFS(Rodeo!$D:$D,Rodeo!$A:$A,$D$2,Rodeo!$B:$B,A71),"0")</f>
        <v>0</v>
      </c>
      <c r="E71" s="22">
        <f>IFERROR(SUMIFS(Rodeo!$D:$D,Rodeo!$A:$A,$E$2,Rodeo!$B:$B,A71),"0")</f>
        <v>0</v>
      </c>
      <c r="F71" s="22">
        <f>IFERROR(SUMIFS(Rodeo!$D:$D,Rodeo!$A:$A,$F$2,Rodeo!$B:$B,A71),"0")</f>
        <v>0</v>
      </c>
      <c r="G71" s="22">
        <f>IFERROR(SUMIFS(Rodeo!$D:$D,Rodeo!$A:$A,$G$2,Rodeo!$B:$B,A71),"0")</f>
        <v>0</v>
      </c>
      <c r="H71" s="22">
        <f>IFERROR(SUMIFS(Rodeo!$D:$D,Rodeo!$A:$A,$H$2,Rodeo!$B:$B,A71),"0")</f>
        <v>0</v>
      </c>
      <c r="I71" s="22">
        <f>IFERROR(SUMIFS(Rodeo!$D$2:$D$16228,Rodeo!$A$2:$A$16228,$I$2,Rodeo!$B$2:$B$16228,$A71),"0")</f>
        <v>0</v>
      </c>
      <c r="J71" s="22">
        <f>IFERROR(SUMIFS(Rodeo!$D:$D,Rodeo!$A:$A,$J$2,Rodeo!$B:$B,A71),"0")</f>
        <v>0</v>
      </c>
      <c r="K71" s="22">
        <f>IFERROR(SUMIFS(Rodeo!$D:$D,Rodeo!$A:$A,$K$2,Rodeo!$B:$B,A71),"0")</f>
        <v>0</v>
      </c>
    </row>
    <row r="72" spans="1:11" x14ac:dyDescent="0.25">
      <c r="A72" s="28"/>
      <c r="B72" s="22">
        <f>IFERROR(SUMIFS(Rodeo!$D:$D,Rodeo!$A:$A,$B$2,Rodeo!$B:$B,A72),"0")</f>
        <v>0</v>
      </c>
      <c r="C72" s="22">
        <f>IFERROR(SUMIFS(Rodeo!$D:$D,Rodeo!$A:$A,$C$2,Rodeo!$B:$B,A72),"0")</f>
        <v>0</v>
      </c>
      <c r="D72" s="22">
        <f>IFERROR(SUMIFS(Rodeo!$D:$D,Rodeo!$A:$A,$D$2,Rodeo!$B:$B,A72),"0")</f>
        <v>0</v>
      </c>
      <c r="E72" s="22">
        <f>IFERROR(SUMIFS(Rodeo!$D:$D,Rodeo!$A:$A,$E$2,Rodeo!$B:$B,A72),"0")</f>
        <v>0</v>
      </c>
      <c r="F72" s="22">
        <f>IFERROR(SUMIFS(Rodeo!$D:$D,Rodeo!$A:$A,$F$2,Rodeo!$B:$B,A72),"0")</f>
        <v>0</v>
      </c>
      <c r="G72" s="22">
        <f>IFERROR(SUMIFS(Rodeo!$D:$D,Rodeo!$A:$A,$G$2,Rodeo!$B:$B,A72),"0")</f>
        <v>0</v>
      </c>
      <c r="H72" s="22">
        <f>IFERROR(SUMIFS(Rodeo!$D:$D,Rodeo!$A:$A,$H$2,Rodeo!$B:$B,A72),"0")</f>
        <v>0</v>
      </c>
      <c r="I72" s="22">
        <f>IFERROR(SUMIFS(Rodeo!$D$2:$D$16228,Rodeo!$A$2:$A$16228,$I$2,Rodeo!$B$2:$B$16228,$A72),"0")</f>
        <v>0</v>
      </c>
      <c r="J72" s="22">
        <f>IFERROR(SUMIFS(Rodeo!$D:$D,Rodeo!$A:$A,$J$2,Rodeo!$B:$B,A72),"0")</f>
        <v>0</v>
      </c>
      <c r="K72" s="22">
        <f>IFERROR(SUMIFS(Rodeo!$D:$D,Rodeo!$A:$A,$K$2,Rodeo!$B:$B,A72),"0")</f>
        <v>0</v>
      </c>
    </row>
    <row r="73" spans="1:11" x14ac:dyDescent="0.25">
      <c r="A73" s="28"/>
      <c r="B73" s="22">
        <f>IFERROR(SUMIFS(Rodeo!$D:$D,Rodeo!$A:$A,$B$2,Rodeo!$B:$B,A73),"0")</f>
        <v>0</v>
      </c>
      <c r="C73" s="22">
        <f>IFERROR(SUMIFS(Rodeo!$D:$D,Rodeo!$A:$A,$C$2,Rodeo!$B:$B,A73),"0")</f>
        <v>0</v>
      </c>
      <c r="D73" s="22">
        <f>IFERROR(SUMIFS(Rodeo!$D:$D,Rodeo!$A:$A,$D$2,Rodeo!$B:$B,A73),"0")</f>
        <v>0</v>
      </c>
      <c r="E73" s="22">
        <f>IFERROR(SUMIFS(Rodeo!$D:$D,Rodeo!$A:$A,$E$2,Rodeo!$B:$B,A73),"0")</f>
        <v>0</v>
      </c>
      <c r="F73" s="22">
        <f>IFERROR(SUMIFS(Rodeo!$D:$D,Rodeo!$A:$A,$F$2,Rodeo!$B:$B,A73),"0")</f>
        <v>0</v>
      </c>
      <c r="G73" s="22">
        <f>IFERROR(SUMIFS(Rodeo!$D:$D,Rodeo!$A:$A,$G$2,Rodeo!$B:$B,A73),"0")</f>
        <v>0</v>
      </c>
      <c r="H73" s="22">
        <f>IFERROR(SUMIFS(Rodeo!$D:$D,Rodeo!$A:$A,$H$2,Rodeo!$B:$B,A73),"0")</f>
        <v>0</v>
      </c>
      <c r="I73" s="22">
        <f>IFERROR(SUMIFS(Rodeo!$D$2:$D$16228,Rodeo!$A$2:$A$16228,$I$2,Rodeo!$B$2:$B$16228,$A73),"0")</f>
        <v>0</v>
      </c>
      <c r="J73" s="22">
        <f>IFERROR(SUMIFS(Rodeo!$D:$D,Rodeo!$A:$A,$J$2,Rodeo!$B:$B,A73),"0")</f>
        <v>0</v>
      </c>
      <c r="K73" s="22">
        <f>IFERROR(SUMIFS(Rodeo!$D:$D,Rodeo!$A:$A,$K$2,Rodeo!$B:$B,A73),"0")</f>
        <v>0</v>
      </c>
    </row>
    <row r="74" spans="1:11" x14ac:dyDescent="0.25">
      <c r="A74" s="28"/>
      <c r="B74" s="22">
        <f>IFERROR(SUMIFS(Rodeo!$D:$D,Rodeo!$A:$A,$B$2,Rodeo!$B:$B,A74),"0")</f>
        <v>0</v>
      </c>
      <c r="C74" s="22">
        <f>IFERROR(SUMIFS(Rodeo!$D:$D,Rodeo!$A:$A,$C$2,Rodeo!$B:$B,A74),"0")</f>
        <v>0</v>
      </c>
      <c r="D74" s="22">
        <f>IFERROR(SUMIFS(Rodeo!$D:$D,Rodeo!$A:$A,$D$2,Rodeo!$B:$B,A74),"0")</f>
        <v>0</v>
      </c>
      <c r="E74" s="22">
        <f>IFERROR(SUMIFS(Rodeo!$D:$D,Rodeo!$A:$A,$E$2,Rodeo!$B:$B,A74),"0")</f>
        <v>0</v>
      </c>
      <c r="F74" s="22">
        <f>IFERROR(SUMIFS(Rodeo!$D:$D,Rodeo!$A:$A,$F$2,Rodeo!$B:$B,A74),"0")</f>
        <v>0</v>
      </c>
      <c r="G74" s="22">
        <f>IFERROR(SUMIFS(Rodeo!$D:$D,Rodeo!$A:$A,$G$2,Rodeo!$B:$B,A74),"0")</f>
        <v>0</v>
      </c>
      <c r="H74" s="22">
        <f>IFERROR(SUMIFS(Rodeo!$D:$D,Rodeo!$A:$A,$H$2,Rodeo!$B:$B,A74),"0")</f>
        <v>0</v>
      </c>
      <c r="I74" s="22">
        <f>IFERROR(SUMIFS(Rodeo!$D$2:$D$16228,Rodeo!$A$2:$A$16228,$I$2,Rodeo!$B$2:$B$16228,$A74),"0")</f>
        <v>0</v>
      </c>
      <c r="J74" s="22">
        <f>IFERROR(SUMIFS(Rodeo!$D:$D,Rodeo!$A:$A,$J$2,Rodeo!$B:$B,A74),"0")</f>
        <v>0</v>
      </c>
      <c r="K74" s="22">
        <f>IFERROR(SUMIFS(Rodeo!$D:$D,Rodeo!$A:$A,$K$2,Rodeo!$B:$B,A74),"0")</f>
        <v>0</v>
      </c>
    </row>
    <row r="75" spans="1:11" x14ac:dyDescent="0.25">
      <c r="A75" s="28"/>
      <c r="B75" s="22">
        <f>IFERROR(SUMIFS(Rodeo!$D:$D,Rodeo!$A:$A,$B$2,Rodeo!$B:$B,A75),"0")</f>
        <v>0</v>
      </c>
      <c r="C75" s="22">
        <f>IFERROR(SUMIFS(Rodeo!$D:$D,Rodeo!$A:$A,$C$2,Rodeo!$B:$B,A75),"0")</f>
        <v>0</v>
      </c>
      <c r="D75" s="22">
        <f>IFERROR(SUMIFS(Rodeo!$D:$D,Rodeo!$A:$A,$D$2,Rodeo!$B:$B,A75),"0")</f>
        <v>0</v>
      </c>
      <c r="E75" s="22">
        <f>IFERROR(SUMIFS(Rodeo!$D:$D,Rodeo!$A:$A,$E$2,Rodeo!$B:$B,A75),"0")</f>
        <v>0</v>
      </c>
      <c r="F75" s="22">
        <f>IFERROR(SUMIFS(Rodeo!$D:$D,Rodeo!$A:$A,$F$2,Rodeo!$B:$B,A75),"0")</f>
        <v>0</v>
      </c>
      <c r="G75" s="22">
        <f>IFERROR(SUMIFS(Rodeo!$D:$D,Rodeo!$A:$A,$G$2,Rodeo!$B:$B,A75),"0")</f>
        <v>0</v>
      </c>
      <c r="H75" s="22">
        <f>IFERROR(SUMIFS(Rodeo!$D:$D,Rodeo!$A:$A,$H$2,Rodeo!$B:$B,A75),"0")</f>
        <v>0</v>
      </c>
      <c r="I75" s="22">
        <f>IFERROR(SUMIFS(Rodeo!$D$2:$D$16228,Rodeo!$A$2:$A$16228,$I$2,Rodeo!$B$2:$B$16228,$A75),"0")</f>
        <v>0</v>
      </c>
      <c r="J75" s="22">
        <f>IFERROR(SUMIFS(Rodeo!$D:$D,Rodeo!$A:$A,$J$2,Rodeo!$B:$B,A75),"0")</f>
        <v>0</v>
      </c>
      <c r="K75" s="22">
        <f>IFERROR(SUMIFS(Rodeo!$D:$D,Rodeo!$A:$A,$K$2,Rodeo!$B:$B,A75),"0")</f>
        <v>0</v>
      </c>
    </row>
    <row r="76" spans="1:11" x14ac:dyDescent="0.25">
      <c r="A76" s="28"/>
      <c r="B76" s="22">
        <f>IFERROR(SUMIFS(Rodeo!$D:$D,Rodeo!$A:$A,$B$2,Rodeo!$B:$B,A76),"0")</f>
        <v>0</v>
      </c>
      <c r="C76" s="22">
        <f>IFERROR(SUMIFS(Rodeo!$D:$D,Rodeo!$A:$A,$C$2,Rodeo!$B:$B,A76),"0")</f>
        <v>0</v>
      </c>
      <c r="D76" s="22">
        <f>IFERROR(SUMIFS(Rodeo!$D:$D,Rodeo!$A:$A,$D$2,Rodeo!$B:$B,A76),"0")</f>
        <v>0</v>
      </c>
      <c r="E76" s="22">
        <f>IFERROR(SUMIFS(Rodeo!$D:$D,Rodeo!$A:$A,$E$2,Rodeo!$B:$B,A76),"0")</f>
        <v>0</v>
      </c>
      <c r="F76" s="22">
        <f>IFERROR(SUMIFS(Rodeo!$D:$D,Rodeo!$A:$A,$F$2,Rodeo!$B:$B,A76),"0")</f>
        <v>0</v>
      </c>
      <c r="G76" s="22">
        <f>IFERROR(SUMIFS(Rodeo!$D:$D,Rodeo!$A:$A,$G$2,Rodeo!$B:$B,A76),"0")</f>
        <v>0</v>
      </c>
      <c r="H76" s="22">
        <f>IFERROR(SUMIFS(Rodeo!$D:$D,Rodeo!$A:$A,$H$2,Rodeo!$B:$B,A76),"0")</f>
        <v>0</v>
      </c>
      <c r="I76" s="22">
        <f>IFERROR(SUMIFS(Rodeo!$D$2:$D$16228,Rodeo!$A$2:$A$16228,$I$2,Rodeo!$B$2:$B$16228,$A76),"0")</f>
        <v>0</v>
      </c>
      <c r="J76" s="22">
        <f>IFERROR(SUMIFS(Rodeo!$D:$D,Rodeo!$A:$A,$J$2,Rodeo!$B:$B,A76),"0")</f>
        <v>0</v>
      </c>
      <c r="K76" s="22">
        <f>IFERROR(SUMIFS(Rodeo!$D:$D,Rodeo!$A:$A,$K$2,Rodeo!$B:$B,A76),"0")</f>
        <v>0</v>
      </c>
    </row>
    <row r="77" spans="1:11" x14ac:dyDescent="0.25">
      <c r="A77" s="28"/>
      <c r="B77" s="22">
        <f>IFERROR(SUMIFS(Rodeo!$D:$D,Rodeo!$A:$A,$B$2,Rodeo!$B:$B,A77),"0")</f>
        <v>0</v>
      </c>
      <c r="C77" s="22">
        <f>IFERROR(SUMIFS(Rodeo!$D:$D,Rodeo!$A:$A,$C$2,Rodeo!$B:$B,A77),"0")</f>
        <v>0</v>
      </c>
      <c r="D77" s="22">
        <f>IFERROR(SUMIFS(Rodeo!$D:$D,Rodeo!$A:$A,$D$2,Rodeo!$B:$B,A77),"0")</f>
        <v>0</v>
      </c>
      <c r="E77" s="22">
        <f>IFERROR(SUMIFS(Rodeo!$D:$D,Rodeo!$A:$A,$E$2,Rodeo!$B:$B,A77),"0")</f>
        <v>0</v>
      </c>
      <c r="F77" s="22">
        <f>IFERROR(SUMIFS(Rodeo!$D:$D,Rodeo!$A:$A,$F$2,Rodeo!$B:$B,A77),"0")</f>
        <v>0</v>
      </c>
      <c r="G77" s="22">
        <f>IFERROR(SUMIFS(Rodeo!$D:$D,Rodeo!$A:$A,$G$2,Rodeo!$B:$B,A77),"0")</f>
        <v>0</v>
      </c>
      <c r="H77" s="22">
        <f>IFERROR(SUMIFS(Rodeo!$D:$D,Rodeo!$A:$A,$H$2,Rodeo!$B:$B,A77),"0")</f>
        <v>0</v>
      </c>
      <c r="I77" s="22">
        <f>IFERROR(SUMIFS(Rodeo!$D$2:$D$16228,Rodeo!$A$2:$A$16228,$I$2,Rodeo!$B$2:$B$16228,$A77),"0")</f>
        <v>0</v>
      </c>
      <c r="J77" s="22">
        <f>IFERROR(SUMIFS(Rodeo!$D:$D,Rodeo!$A:$A,$J$2,Rodeo!$B:$B,A77),"0")</f>
        <v>0</v>
      </c>
      <c r="K77" s="22">
        <f>IFERROR(SUMIFS(Rodeo!$D:$D,Rodeo!$A:$A,$K$2,Rodeo!$B:$B,A77),"0")</f>
        <v>0</v>
      </c>
    </row>
    <row r="78" spans="1:11" x14ac:dyDescent="0.25">
      <c r="A78" s="28"/>
      <c r="B78" s="22">
        <f>IFERROR(SUMIFS(Rodeo!$D:$D,Rodeo!$A:$A,$B$2,Rodeo!$B:$B,A78),"0")</f>
        <v>0</v>
      </c>
      <c r="C78" s="22">
        <f>IFERROR(SUMIFS(Rodeo!$D:$D,Rodeo!$A:$A,$C$2,Rodeo!$B:$B,A78),"0")</f>
        <v>0</v>
      </c>
      <c r="D78" s="22">
        <f>IFERROR(SUMIFS(Rodeo!$D:$D,Rodeo!$A:$A,$D$2,Rodeo!$B:$B,A78),"0")</f>
        <v>0</v>
      </c>
      <c r="E78" s="22">
        <f>IFERROR(SUMIFS(Rodeo!$D:$D,Rodeo!$A:$A,$E$2,Rodeo!$B:$B,A78),"0")</f>
        <v>0</v>
      </c>
      <c r="F78" s="22">
        <f>IFERROR(SUMIFS(Rodeo!$D:$D,Rodeo!$A:$A,$F$2,Rodeo!$B:$B,A78),"0")</f>
        <v>0</v>
      </c>
      <c r="G78" s="22">
        <f>IFERROR(SUMIFS(Rodeo!$D:$D,Rodeo!$A:$A,$G$2,Rodeo!$B:$B,A78),"0")</f>
        <v>0</v>
      </c>
      <c r="H78" s="22">
        <f>IFERROR(SUMIFS(Rodeo!$D:$D,Rodeo!$A:$A,$H$2,Rodeo!$B:$B,A78),"0")</f>
        <v>0</v>
      </c>
      <c r="I78" s="22">
        <f>IFERROR(SUMIFS(Rodeo!$D$2:$D$16228,Rodeo!$A$2:$A$16228,$I$2,Rodeo!$B$2:$B$16228,$A78),"0")</f>
        <v>0</v>
      </c>
      <c r="J78" s="22">
        <f>IFERROR(SUMIFS(Rodeo!$D:$D,Rodeo!$A:$A,$J$2,Rodeo!$B:$B,A78),"0")</f>
        <v>0</v>
      </c>
      <c r="K78" s="22">
        <f>IFERROR(SUMIFS(Rodeo!$D:$D,Rodeo!$A:$A,$K$2,Rodeo!$B:$B,A78),"0")</f>
        <v>0</v>
      </c>
    </row>
    <row r="79" spans="1:11" x14ac:dyDescent="0.25">
      <c r="A79" s="28"/>
      <c r="B79" s="22">
        <f>IFERROR(SUMIFS(Rodeo!$D:$D,Rodeo!$A:$A,$B$2,Rodeo!$B:$B,A79),"0")</f>
        <v>0</v>
      </c>
      <c r="C79" s="22">
        <f>IFERROR(SUMIFS(Rodeo!$D:$D,Rodeo!$A:$A,$C$2,Rodeo!$B:$B,A79),"0")</f>
        <v>0</v>
      </c>
      <c r="D79" s="22">
        <f>IFERROR(SUMIFS(Rodeo!$D:$D,Rodeo!$A:$A,$D$2,Rodeo!$B:$B,A79),"0")</f>
        <v>0</v>
      </c>
      <c r="E79" s="22">
        <f>IFERROR(SUMIFS(Rodeo!$D:$D,Rodeo!$A:$A,$E$2,Rodeo!$B:$B,A79),"0")</f>
        <v>0</v>
      </c>
      <c r="F79" s="22">
        <f>IFERROR(SUMIFS(Rodeo!$D:$D,Rodeo!$A:$A,$F$2,Rodeo!$B:$B,A79),"0")</f>
        <v>0</v>
      </c>
      <c r="G79" s="22">
        <f>IFERROR(SUMIFS(Rodeo!$D:$D,Rodeo!$A:$A,$G$2,Rodeo!$B:$B,A79),"0")</f>
        <v>0</v>
      </c>
      <c r="H79" s="22">
        <f>IFERROR(SUMIFS(Rodeo!$D:$D,Rodeo!$A:$A,$H$2,Rodeo!$B:$B,A79),"0")</f>
        <v>0</v>
      </c>
      <c r="I79" s="22">
        <f>IFERROR(SUMIFS(Rodeo!$D$2:$D$16228,Rodeo!$A$2:$A$16228,$I$2,Rodeo!$B$2:$B$16228,$A79),"0")</f>
        <v>0</v>
      </c>
      <c r="J79" s="22">
        <f>IFERROR(SUMIFS(Rodeo!$D:$D,Rodeo!$A:$A,$J$2,Rodeo!$B:$B,A79),"0")</f>
        <v>0</v>
      </c>
      <c r="K79" s="22">
        <f>IFERROR(SUMIFS(Rodeo!$D:$D,Rodeo!$A:$A,$K$2,Rodeo!$B:$B,A79),"0")</f>
        <v>0</v>
      </c>
    </row>
    <row r="80" spans="1:11" x14ac:dyDescent="0.25">
      <c r="A80" s="28"/>
      <c r="B80" s="22">
        <f>IFERROR(SUMIFS(Rodeo!$D:$D,Rodeo!$A:$A,$B$2,Rodeo!$B:$B,A80),"0")</f>
        <v>0</v>
      </c>
      <c r="C80" s="22">
        <f>IFERROR(SUMIFS(Rodeo!$D:$D,Rodeo!$A:$A,$C$2,Rodeo!$B:$B,A80),"0")</f>
        <v>0</v>
      </c>
      <c r="D80" s="22">
        <f>IFERROR(SUMIFS(Rodeo!$D:$D,Rodeo!$A:$A,$D$2,Rodeo!$B:$B,A80),"0")</f>
        <v>0</v>
      </c>
      <c r="E80" s="22">
        <f>IFERROR(SUMIFS(Rodeo!$D:$D,Rodeo!$A:$A,$E$2,Rodeo!$B:$B,A80),"0")</f>
        <v>0</v>
      </c>
      <c r="F80" s="22">
        <f>IFERROR(SUMIFS(Rodeo!$D:$D,Rodeo!$A:$A,$F$2,Rodeo!$B:$B,A80),"0")</f>
        <v>0</v>
      </c>
      <c r="G80" s="22">
        <f>IFERROR(SUMIFS(Rodeo!$D:$D,Rodeo!$A:$A,$G$2,Rodeo!$B:$B,A80),"0")</f>
        <v>0</v>
      </c>
      <c r="H80" s="22">
        <f>IFERROR(SUMIFS(Rodeo!$D:$D,Rodeo!$A:$A,$H$2,Rodeo!$B:$B,A80),"0")</f>
        <v>0</v>
      </c>
      <c r="I80" s="22">
        <f>IFERROR(SUMIFS(Rodeo!$D$2:$D$16228,Rodeo!$A$2:$A$16228,$I$2,Rodeo!$B$2:$B$16228,$A80),"0")</f>
        <v>0</v>
      </c>
      <c r="J80" s="22">
        <f>IFERROR(SUMIFS(Rodeo!$D:$D,Rodeo!$A:$A,$J$2,Rodeo!$B:$B,A80),"0")</f>
        <v>0</v>
      </c>
      <c r="K80" s="22">
        <f>IFERROR(SUMIFS(Rodeo!$D:$D,Rodeo!$A:$A,$K$2,Rodeo!$B:$B,A80),"0")</f>
        <v>0</v>
      </c>
    </row>
    <row r="81" spans="1:11" x14ac:dyDescent="0.25">
      <c r="A81" s="28"/>
      <c r="B81" s="22">
        <f>IFERROR(SUMIFS(Rodeo!$D:$D,Rodeo!$A:$A,$B$2,Rodeo!$B:$B,A81),"0")</f>
        <v>0</v>
      </c>
      <c r="C81" s="22">
        <f>IFERROR(SUMIFS(Rodeo!$D:$D,Rodeo!$A:$A,$C$2,Rodeo!$B:$B,A81),"0")</f>
        <v>0</v>
      </c>
      <c r="D81" s="22">
        <f>IFERROR(SUMIFS(Rodeo!$D:$D,Rodeo!$A:$A,$D$2,Rodeo!$B:$B,A81),"0")</f>
        <v>0</v>
      </c>
      <c r="E81" s="22">
        <f>IFERROR(SUMIFS(Rodeo!$D:$D,Rodeo!$A:$A,$E$2,Rodeo!$B:$B,A81),"0")</f>
        <v>0</v>
      </c>
      <c r="F81" s="22">
        <f>IFERROR(SUMIFS(Rodeo!$D:$D,Rodeo!$A:$A,$F$2,Rodeo!$B:$B,A81),"0")</f>
        <v>0</v>
      </c>
      <c r="G81" s="22">
        <f>IFERROR(SUMIFS(Rodeo!$D:$D,Rodeo!$A:$A,$G$2,Rodeo!$B:$B,A81),"0")</f>
        <v>0</v>
      </c>
      <c r="H81" s="22">
        <f>IFERROR(SUMIFS(Rodeo!$D:$D,Rodeo!$A:$A,$H$2,Rodeo!$B:$B,A81),"0")</f>
        <v>0</v>
      </c>
      <c r="I81" s="22">
        <f>IFERROR(SUMIFS(Rodeo!$D$2:$D$16228,Rodeo!$A$2:$A$16228,$I$2,Rodeo!$B$2:$B$16228,$A81),"0")</f>
        <v>0</v>
      </c>
      <c r="J81" s="22">
        <f>IFERROR(SUMIFS(Rodeo!$D:$D,Rodeo!$A:$A,$J$2,Rodeo!$B:$B,A81),"0")</f>
        <v>0</v>
      </c>
      <c r="K81" s="22">
        <f>IFERROR(SUMIFS(Rodeo!$D:$D,Rodeo!$A:$A,$K$2,Rodeo!$B:$B,A81),"0")</f>
        <v>0</v>
      </c>
    </row>
    <row r="82" spans="1:11" x14ac:dyDescent="0.25">
      <c r="A82" s="28"/>
      <c r="B82" s="22">
        <f>IFERROR(SUMIFS(Rodeo!$D:$D,Rodeo!$A:$A,$B$2,Rodeo!$B:$B,A82),"0")</f>
        <v>0</v>
      </c>
      <c r="C82" s="22">
        <f>IFERROR(SUMIFS(Rodeo!$D:$D,Rodeo!$A:$A,$C$2,Rodeo!$B:$B,A82),"0")</f>
        <v>0</v>
      </c>
      <c r="D82" s="22">
        <f>IFERROR(SUMIFS(Rodeo!$D:$D,Rodeo!$A:$A,$D$2,Rodeo!$B:$B,A82),"0")</f>
        <v>0</v>
      </c>
      <c r="E82" s="22">
        <f>IFERROR(SUMIFS(Rodeo!$D:$D,Rodeo!$A:$A,$E$2,Rodeo!$B:$B,A82),"0")</f>
        <v>0</v>
      </c>
      <c r="F82" s="22">
        <f>IFERROR(SUMIFS(Rodeo!$D:$D,Rodeo!$A:$A,$F$2,Rodeo!$B:$B,A82),"0")</f>
        <v>0</v>
      </c>
      <c r="G82" s="22">
        <f>IFERROR(SUMIFS(Rodeo!$D:$D,Rodeo!$A:$A,$G$2,Rodeo!$B:$B,A82),"0")</f>
        <v>0</v>
      </c>
      <c r="H82" s="22">
        <f>IFERROR(SUMIFS(Rodeo!$D:$D,Rodeo!$A:$A,$H$2,Rodeo!$B:$B,A82),"0")</f>
        <v>0</v>
      </c>
      <c r="I82" s="22">
        <f>IFERROR(SUMIFS(Rodeo!$D$2:$D$16228,Rodeo!$A$2:$A$16228,$I$2,Rodeo!$B$2:$B$16228,$A82),"0")</f>
        <v>0</v>
      </c>
      <c r="J82" s="22">
        <f>IFERROR(SUMIFS(Rodeo!$D:$D,Rodeo!$A:$A,$J$2,Rodeo!$B:$B,A82),"0")</f>
        <v>0</v>
      </c>
      <c r="K82" s="22">
        <f>IFERROR(SUMIFS(Rodeo!$D:$D,Rodeo!$A:$A,$K$2,Rodeo!$B:$B,A82),"0")</f>
        <v>0</v>
      </c>
    </row>
    <row r="83" spans="1:11" x14ac:dyDescent="0.25">
      <c r="A83" s="28"/>
      <c r="B83" s="22">
        <f>IFERROR(SUMIFS(Rodeo!$D:$D,Rodeo!$A:$A,$B$2,Rodeo!$B:$B,A83),"0")</f>
        <v>0</v>
      </c>
      <c r="C83" s="22">
        <f>IFERROR(SUMIFS(Rodeo!$D:$D,Rodeo!$A:$A,$C$2,Rodeo!$B:$B,A83),"0")</f>
        <v>0</v>
      </c>
      <c r="D83" s="22">
        <f>IFERROR(SUMIFS(Rodeo!$D:$D,Rodeo!$A:$A,$D$2,Rodeo!$B:$B,A83),"0")</f>
        <v>0</v>
      </c>
      <c r="E83" s="22">
        <f>IFERROR(SUMIFS(Rodeo!$D:$D,Rodeo!$A:$A,$E$2,Rodeo!$B:$B,A83),"0")</f>
        <v>0</v>
      </c>
      <c r="F83" s="22">
        <f>IFERROR(SUMIFS(Rodeo!$D:$D,Rodeo!$A:$A,$F$2,Rodeo!$B:$B,A83),"0")</f>
        <v>0</v>
      </c>
      <c r="G83" s="22">
        <f>IFERROR(SUMIFS(Rodeo!$D:$D,Rodeo!$A:$A,$G$2,Rodeo!$B:$B,A83),"0")</f>
        <v>0</v>
      </c>
      <c r="H83" s="22">
        <f>IFERROR(SUMIFS(Rodeo!$D:$D,Rodeo!$A:$A,$H$2,Rodeo!$B:$B,A83),"0")</f>
        <v>0</v>
      </c>
      <c r="I83" s="22">
        <f>IFERROR(SUMIFS(Rodeo!$D$2:$D$16228,Rodeo!$A$2:$A$16228,$I$2,Rodeo!$B$2:$B$16228,$A83),"0")</f>
        <v>0</v>
      </c>
      <c r="J83" s="22">
        <f>IFERROR(SUMIFS(Rodeo!$D:$D,Rodeo!$A:$A,$J$2,Rodeo!$B:$B,A83),"0")</f>
        <v>0</v>
      </c>
      <c r="K83" s="22">
        <f>IFERROR(SUMIFS(Rodeo!$D:$D,Rodeo!$A:$A,$K$2,Rodeo!$B:$B,A83),"0")</f>
        <v>0</v>
      </c>
    </row>
    <row r="84" spans="1:11" x14ac:dyDescent="0.25">
      <c r="A84" s="28"/>
      <c r="B84" s="22">
        <f>IFERROR(SUMIFS(Rodeo!$D:$D,Rodeo!$A:$A,$B$2,Rodeo!$B:$B,A84),"0")</f>
        <v>0</v>
      </c>
      <c r="C84" s="22">
        <f>IFERROR(SUMIFS(Rodeo!$D:$D,Rodeo!$A:$A,$C$2,Rodeo!$B:$B,A84),"0")</f>
        <v>0</v>
      </c>
      <c r="D84" s="22">
        <f>IFERROR(SUMIFS(Rodeo!$D:$D,Rodeo!$A:$A,$D$2,Rodeo!$B:$B,A84),"0")</f>
        <v>0</v>
      </c>
      <c r="E84" s="22">
        <f>IFERROR(SUMIFS(Rodeo!$D:$D,Rodeo!$A:$A,$E$2,Rodeo!$B:$B,A84),"0")</f>
        <v>0</v>
      </c>
      <c r="F84" s="22">
        <f>IFERROR(SUMIFS(Rodeo!$D:$D,Rodeo!$A:$A,$F$2,Rodeo!$B:$B,A84),"0")</f>
        <v>0</v>
      </c>
      <c r="G84" s="22">
        <f>IFERROR(SUMIFS(Rodeo!$D:$D,Rodeo!$A:$A,$G$2,Rodeo!$B:$B,A84),"0")</f>
        <v>0</v>
      </c>
      <c r="H84" s="22">
        <f>IFERROR(SUMIFS(Rodeo!$D:$D,Rodeo!$A:$A,$H$2,Rodeo!$B:$B,A84),"0")</f>
        <v>0</v>
      </c>
      <c r="I84" s="22">
        <f>IFERROR(SUMIFS(Rodeo!$D$2:$D$16228,Rodeo!$A$2:$A$16228,$I$2,Rodeo!$B$2:$B$16228,$A84),"0")</f>
        <v>0</v>
      </c>
      <c r="J84" s="22">
        <f>IFERROR(SUMIFS(Rodeo!$D:$D,Rodeo!$A:$A,$J$2,Rodeo!$B:$B,A84),"0")</f>
        <v>0</v>
      </c>
      <c r="K84" s="22">
        <f>IFERROR(SUMIFS(Rodeo!$D:$D,Rodeo!$A:$A,$K$2,Rodeo!$B:$B,A84),"0")</f>
        <v>0</v>
      </c>
    </row>
    <row r="85" spans="1:11" x14ac:dyDescent="0.25">
      <c r="A85" s="28"/>
      <c r="B85" s="22">
        <f>IFERROR(SUMIFS(Rodeo!$D:$D,Rodeo!$A:$A,$B$2,Rodeo!$B:$B,A85),"0")</f>
        <v>0</v>
      </c>
      <c r="C85" s="22">
        <f>IFERROR(SUMIFS(Rodeo!$D:$D,Rodeo!$A:$A,$C$2,Rodeo!$B:$B,A85),"0")</f>
        <v>0</v>
      </c>
      <c r="D85" s="22">
        <f>IFERROR(SUMIFS(Rodeo!$D:$D,Rodeo!$A:$A,$D$2,Rodeo!$B:$B,A85),"0")</f>
        <v>0</v>
      </c>
      <c r="E85" s="22">
        <f>IFERROR(SUMIFS(Rodeo!$D:$D,Rodeo!$A:$A,$E$2,Rodeo!$B:$B,A85),"0")</f>
        <v>0</v>
      </c>
      <c r="F85" s="22">
        <f>IFERROR(SUMIFS(Rodeo!$D:$D,Rodeo!$A:$A,$F$2,Rodeo!$B:$B,A85),"0")</f>
        <v>0</v>
      </c>
      <c r="G85" s="22">
        <f>IFERROR(SUMIFS(Rodeo!$D:$D,Rodeo!$A:$A,$G$2,Rodeo!$B:$B,A85),"0")</f>
        <v>0</v>
      </c>
      <c r="H85" s="22">
        <f>IFERROR(SUMIFS(Rodeo!$D:$D,Rodeo!$A:$A,$H$2,Rodeo!$B:$B,A85),"0")</f>
        <v>0</v>
      </c>
      <c r="I85" s="22">
        <f>IFERROR(SUMIFS(Rodeo!$D$2:$D$16228,Rodeo!$A$2:$A$16228,$I$2,Rodeo!$B$2:$B$16228,$A85),"0")</f>
        <v>0</v>
      </c>
      <c r="J85" s="22">
        <f>IFERROR(SUMIFS(Rodeo!$D:$D,Rodeo!$A:$A,$J$2,Rodeo!$B:$B,A85),"0")</f>
        <v>0</v>
      </c>
      <c r="K85" s="22">
        <f>IFERROR(SUMIFS(Rodeo!$D:$D,Rodeo!$A:$A,$K$2,Rodeo!$B:$B,A85),"0")</f>
        <v>0</v>
      </c>
    </row>
    <row r="86" spans="1:11" x14ac:dyDescent="0.25">
      <c r="A86" s="28"/>
      <c r="B86" s="22">
        <f>IFERROR(SUMIFS(Rodeo!$D:$D,Rodeo!$A:$A,$B$2,Rodeo!$B:$B,A86),"0")</f>
        <v>0</v>
      </c>
      <c r="C86" s="22">
        <f>IFERROR(SUMIFS(Rodeo!$D:$D,Rodeo!$A:$A,$C$2,Rodeo!$B:$B,A86),"0")</f>
        <v>0</v>
      </c>
      <c r="D86" s="22">
        <f>IFERROR(SUMIFS(Rodeo!$D:$D,Rodeo!$A:$A,$D$2,Rodeo!$B:$B,A86),"0")</f>
        <v>0</v>
      </c>
      <c r="E86" s="22">
        <f>IFERROR(SUMIFS(Rodeo!$D:$D,Rodeo!$A:$A,$E$2,Rodeo!$B:$B,A86),"0")</f>
        <v>0</v>
      </c>
      <c r="F86" s="22">
        <f>IFERROR(SUMIFS(Rodeo!$D:$D,Rodeo!$A:$A,$F$2,Rodeo!$B:$B,A86),"0")</f>
        <v>0</v>
      </c>
      <c r="G86" s="22">
        <f>IFERROR(SUMIFS(Rodeo!$D:$D,Rodeo!$A:$A,$G$2,Rodeo!$B:$B,A86),"0")</f>
        <v>0</v>
      </c>
      <c r="H86" s="22">
        <f>IFERROR(SUMIFS(Rodeo!$D:$D,Rodeo!$A:$A,$H$2,Rodeo!$B:$B,A86),"0")</f>
        <v>0</v>
      </c>
      <c r="I86" s="22">
        <f>IFERROR(SUMIFS(Rodeo!$D$2:$D$16228,Rodeo!$A$2:$A$16228,$I$2,Rodeo!$B$2:$B$16228,$A86),"0")</f>
        <v>0</v>
      </c>
      <c r="J86" s="22">
        <f>IFERROR(SUMIFS(Rodeo!$D:$D,Rodeo!$A:$A,$J$2,Rodeo!$B:$B,A86),"0")</f>
        <v>0</v>
      </c>
      <c r="K86" s="22">
        <f>IFERROR(SUMIFS(Rodeo!$D:$D,Rodeo!$A:$A,$K$2,Rodeo!$B:$B,A86),"0")</f>
        <v>0</v>
      </c>
    </row>
    <row r="87" spans="1:11" x14ac:dyDescent="0.25">
      <c r="A87" s="28"/>
      <c r="B87" s="22">
        <f>IFERROR(SUMIFS(Rodeo!$D:$D,Rodeo!$A:$A,$B$2,Rodeo!$B:$B,A87),"0")</f>
        <v>0</v>
      </c>
      <c r="C87" s="22">
        <f>IFERROR(SUMIFS(Rodeo!$D:$D,Rodeo!$A:$A,$C$2,Rodeo!$B:$B,A87),"0")</f>
        <v>0</v>
      </c>
      <c r="D87" s="22">
        <f>IFERROR(SUMIFS(Rodeo!$D:$D,Rodeo!$A:$A,$D$2,Rodeo!$B:$B,A87),"0")</f>
        <v>0</v>
      </c>
      <c r="E87" s="22">
        <f>IFERROR(SUMIFS(Rodeo!$D:$D,Rodeo!$A:$A,$E$2,Rodeo!$B:$B,A87),"0")</f>
        <v>0</v>
      </c>
      <c r="F87" s="22">
        <f>IFERROR(SUMIFS(Rodeo!$D:$D,Rodeo!$A:$A,$F$2,Rodeo!$B:$B,A87),"0")</f>
        <v>0</v>
      </c>
      <c r="G87" s="22">
        <f>IFERROR(SUMIFS(Rodeo!$D:$D,Rodeo!$A:$A,$G$2,Rodeo!$B:$B,A87),"0")</f>
        <v>0</v>
      </c>
      <c r="H87" s="22">
        <f>IFERROR(SUMIFS(Rodeo!$D:$D,Rodeo!$A:$A,$H$2,Rodeo!$B:$B,A87),"0")</f>
        <v>0</v>
      </c>
      <c r="I87" s="22">
        <f>IFERROR(SUMIFS(Rodeo!$D$2:$D$16228,Rodeo!$A$2:$A$16228,$I$2,Rodeo!$B$2:$B$16228,$A87),"0")</f>
        <v>0</v>
      </c>
      <c r="J87" s="22">
        <f>IFERROR(SUMIFS(Rodeo!$D:$D,Rodeo!$A:$A,$J$2,Rodeo!$B:$B,A87),"0")</f>
        <v>0</v>
      </c>
      <c r="K87" s="22">
        <f>IFERROR(SUMIFS(Rodeo!$D:$D,Rodeo!$A:$A,$K$2,Rodeo!$B:$B,A87),"0")</f>
        <v>0</v>
      </c>
    </row>
    <row r="88" spans="1:11" x14ac:dyDescent="0.25">
      <c r="A88" s="28"/>
      <c r="B88" s="22">
        <f>IFERROR(SUMIFS(Rodeo!$D:$D,Rodeo!$A:$A,$B$2,Rodeo!$B:$B,A88),"0")</f>
        <v>0</v>
      </c>
      <c r="C88" s="22">
        <f>IFERROR(SUMIFS(Rodeo!$D:$D,Rodeo!$A:$A,$C$2,Rodeo!$B:$B,A88),"0")</f>
        <v>0</v>
      </c>
      <c r="D88" s="22">
        <f>IFERROR(SUMIFS(Rodeo!$D:$D,Rodeo!$A:$A,$D$2,Rodeo!$B:$B,A88),"0")</f>
        <v>0</v>
      </c>
      <c r="E88" s="22">
        <f>IFERROR(SUMIFS(Rodeo!$D:$D,Rodeo!$A:$A,$E$2,Rodeo!$B:$B,A88),"0")</f>
        <v>0</v>
      </c>
      <c r="F88" s="22">
        <f>IFERROR(SUMIFS(Rodeo!$D:$D,Rodeo!$A:$A,$F$2,Rodeo!$B:$B,A88),"0")</f>
        <v>0</v>
      </c>
      <c r="G88" s="22">
        <f>IFERROR(SUMIFS(Rodeo!$D:$D,Rodeo!$A:$A,$G$2,Rodeo!$B:$B,A88),"0")</f>
        <v>0</v>
      </c>
      <c r="H88" s="22">
        <f>IFERROR(SUMIFS(Rodeo!$D:$D,Rodeo!$A:$A,$H$2,Rodeo!$B:$B,A88),"0")</f>
        <v>0</v>
      </c>
      <c r="I88" s="22">
        <f>IFERROR(SUMIFS(Rodeo!$D$2:$D$16228,Rodeo!$A$2:$A$16228,$I$2,Rodeo!$B$2:$B$16228,$A88),"0")</f>
        <v>0</v>
      </c>
      <c r="J88" s="22">
        <f>IFERROR(SUMIFS(Rodeo!$D:$D,Rodeo!$A:$A,$J$2,Rodeo!$B:$B,A88),"0")</f>
        <v>0</v>
      </c>
      <c r="K88" s="22">
        <f>IFERROR(SUMIFS(Rodeo!$D:$D,Rodeo!$A:$A,$K$2,Rodeo!$B:$B,A88),"0")</f>
        <v>0</v>
      </c>
    </row>
    <row r="89" spans="1:11" x14ac:dyDescent="0.25">
      <c r="A89" s="28"/>
      <c r="B89" s="22">
        <f>IFERROR(SUMIFS(Rodeo!$D:$D,Rodeo!$A:$A,$B$2,Rodeo!$B:$B,A89),"0")</f>
        <v>0</v>
      </c>
      <c r="C89" s="22">
        <f>IFERROR(SUMIFS(Rodeo!$D:$D,Rodeo!$A:$A,$C$2,Rodeo!$B:$B,A89),"0")</f>
        <v>0</v>
      </c>
      <c r="D89" s="22">
        <f>IFERROR(SUMIFS(Rodeo!$D:$D,Rodeo!$A:$A,$D$2,Rodeo!$B:$B,A89),"0")</f>
        <v>0</v>
      </c>
      <c r="E89" s="22">
        <f>IFERROR(SUMIFS(Rodeo!$D:$D,Rodeo!$A:$A,$E$2,Rodeo!$B:$B,A89),"0")</f>
        <v>0</v>
      </c>
      <c r="F89" s="22">
        <f>IFERROR(SUMIFS(Rodeo!$D:$D,Rodeo!$A:$A,$F$2,Rodeo!$B:$B,A89),"0")</f>
        <v>0</v>
      </c>
      <c r="G89" s="22">
        <f>IFERROR(SUMIFS(Rodeo!$D:$D,Rodeo!$A:$A,$G$2,Rodeo!$B:$B,A89),"0")</f>
        <v>0</v>
      </c>
      <c r="H89" s="22">
        <f>IFERROR(SUMIFS(Rodeo!$D:$D,Rodeo!$A:$A,$H$2,Rodeo!$B:$B,A89),"0")</f>
        <v>0</v>
      </c>
      <c r="I89" s="22">
        <f>IFERROR(SUMIFS(Rodeo!$D$2:$D$16228,Rodeo!$A$2:$A$16228,$I$2,Rodeo!$B$2:$B$16228,$A89),"0")</f>
        <v>0</v>
      </c>
      <c r="J89" s="22">
        <f>IFERROR(SUMIFS(Rodeo!$D:$D,Rodeo!$A:$A,$J$2,Rodeo!$B:$B,A89),"0")</f>
        <v>0</v>
      </c>
      <c r="K89" s="22">
        <f>IFERROR(SUMIFS(Rodeo!$D:$D,Rodeo!$A:$A,$K$2,Rodeo!$B:$B,A89),"0")</f>
        <v>0</v>
      </c>
    </row>
    <row r="90" spans="1:11" ht="15.75" thickBot="1" x14ac:dyDescent="0.3">
      <c r="A90" s="28"/>
      <c r="B90" s="30">
        <f>IFERROR(SUMIFS(Rodeo!$D:$D,Rodeo!$A:$A,$B$2,Rodeo!$B:$B,A90),"0")</f>
        <v>0</v>
      </c>
      <c r="C90" s="30">
        <f>IFERROR(SUMIFS(Rodeo!$D:$D,Rodeo!$A:$A,$C$2,Rodeo!$B:$B,A90),"0")</f>
        <v>0</v>
      </c>
      <c r="D90" s="30">
        <f>IFERROR(SUMIFS(Rodeo!$D:$D,Rodeo!$A:$A,$D$2,Rodeo!$B:$B,A90),"0")</f>
        <v>0</v>
      </c>
      <c r="E90" s="30">
        <f>IFERROR(SUMIFS(Rodeo!$D:$D,Rodeo!$A:$A,$E$2,Rodeo!$B:$B,A90),"0")</f>
        <v>0</v>
      </c>
      <c r="F90" s="30">
        <f>IFERROR(SUMIFS(Rodeo!$D:$D,Rodeo!$A:$A,$F$2,Rodeo!$B:$B,A90),"0")</f>
        <v>0</v>
      </c>
      <c r="G90" s="30">
        <f>IFERROR(SUMIFS(Rodeo!$D:$D,Rodeo!$A:$A,$G$2,Rodeo!$B:$B,A90),"0")</f>
        <v>0</v>
      </c>
      <c r="H90" s="30">
        <f>IFERROR(SUMIFS(Rodeo!$D:$D,Rodeo!$A:$A,$H$2,Rodeo!$B:$B,A90),"0")</f>
        <v>0</v>
      </c>
      <c r="I90" s="30">
        <f>IFERROR(SUMIFS(Rodeo!$D$2:$D$16228,Rodeo!$A$2:$A$16228,$I$2,Rodeo!$B$2:$B$16228,$A90),"0")</f>
        <v>0</v>
      </c>
      <c r="J90" s="30">
        <f>IFERROR(SUMIFS(Rodeo!$D:$D,Rodeo!$A:$A,$J$2,Rodeo!$B:$B,A90),"0")</f>
        <v>0</v>
      </c>
      <c r="K90" s="30">
        <f>IFERROR(SUMIFS(Rodeo!$D:$D,Rodeo!$A:$A,$K$2,Rodeo!$B:$B,A90),"0")</f>
        <v>0</v>
      </c>
    </row>
    <row r="91" spans="1:11" x14ac:dyDescent="0.25">
      <c r="A91" s="28"/>
    </row>
    <row r="92" spans="1:11" x14ac:dyDescent="0.25">
      <c r="A92" s="28"/>
    </row>
  </sheetData>
  <mergeCells count="2">
    <mergeCell ref="A26:A27"/>
    <mergeCell ref="A39:A40"/>
  </mergeCells>
  <pageMargins left="0.7" right="0.7" top="0.75" bottom="0.75" header="0.3" footer="0.3"/>
  <pageSetup orientation="portrait" r:id="rId1"/>
  <ignoredErrors>
    <ignoredError sqref="C20 I40" formula="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4614E-4D2D-4157-AC76-CE8C04D0743F}">
  <sheetPr codeName="Sheet31"/>
  <dimension ref="A1:Y16"/>
  <sheetViews>
    <sheetView showGridLines="0" tabSelected="1" zoomScaleNormal="82" workbookViewId="0">
      <selection activeCell="C3" sqref="C3:G3"/>
    </sheetView>
  </sheetViews>
  <sheetFormatPr defaultColWidth="0" defaultRowHeight="15" zeroHeight="1" x14ac:dyDescent="0.25"/>
  <cols>
    <col min="1" max="1" width="2.140625" style="90" customWidth="1"/>
    <col min="2" max="2" width="18.85546875" style="90" customWidth="1"/>
    <col min="3" max="3" width="2.28515625" style="90" customWidth="1"/>
    <col min="4" max="4" width="8.42578125" style="90" customWidth="1"/>
    <col min="5" max="5" width="8.28515625" style="90" bestFit="1" customWidth="1"/>
    <col min="6" max="6" width="6.28515625" style="90" bestFit="1" customWidth="1"/>
    <col min="7" max="7" width="7.5703125" style="90" customWidth="1"/>
    <col min="8" max="10" width="6.140625" style="90" bestFit="1" customWidth="1"/>
    <col min="11" max="11" width="7.28515625" style="90" customWidth="1"/>
    <col min="12" max="12" width="11.85546875" style="90" bestFit="1" customWidth="1"/>
    <col min="13" max="13" width="13.140625" style="90" bestFit="1" customWidth="1"/>
    <col min="14" max="14" width="12" style="90" customWidth="1"/>
    <col min="15" max="15" width="11.85546875" style="90" bestFit="1" customWidth="1"/>
    <col min="16" max="16" width="11.85546875" style="90" customWidth="1"/>
    <col min="17" max="17" width="8.42578125" style="90" customWidth="1"/>
    <col min="18" max="18" width="8.85546875" style="164" bestFit="1" customWidth="1"/>
    <col min="19" max="19" width="8.5703125" style="90" bestFit="1" customWidth="1"/>
    <col min="20" max="20" width="9.42578125" style="90" bestFit="1" customWidth="1"/>
    <col min="21" max="25" width="0" style="90" hidden="1" customWidth="1"/>
    <col min="26" max="16384" width="9.140625" style="90" hidden="1"/>
  </cols>
  <sheetData>
    <row r="1" spans="1:20" s="67" customFormat="1" ht="4.5" customHeight="1" thickBot="1" x14ac:dyDescent="0.3">
      <c r="R1" s="67" t="s">
        <v>299</v>
      </c>
    </row>
    <row r="2" spans="1:20" s="67" customFormat="1" ht="19.5" customHeight="1" thickBot="1" x14ac:dyDescent="0.3">
      <c r="B2" s="68" t="s">
        <v>45</v>
      </c>
      <c r="C2" s="205"/>
      <c r="D2" s="206"/>
      <c r="E2" s="206"/>
      <c r="F2" s="207"/>
      <c r="G2" s="169"/>
      <c r="H2" s="202" t="s">
        <v>9</v>
      </c>
      <c r="I2" s="203"/>
      <c r="J2" s="203"/>
      <c r="K2" s="204"/>
      <c r="L2" s="196" t="str">
        <f>"WIP - "&amp;TEXT(Background!D24,"0,0")&amp;"k PBL - "&amp;TEXT(SUM(Background!C3:C4)/Background!C12,"0.0%")&amp;" Multis"</f>
        <v>WIP - 57k PBL - 64.8% Multis</v>
      </c>
      <c r="M2" s="197"/>
      <c r="N2" s="197"/>
      <c r="O2" s="197"/>
      <c r="P2" s="197"/>
      <c r="Q2" s="219" t="s">
        <v>100</v>
      </c>
      <c r="R2" s="227" t="s">
        <v>299</v>
      </c>
      <c r="S2" s="228"/>
      <c r="T2" s="229"/>
    </row>
    <row r="3" spans="1:20" s="67" customFormat="1" ht="25.5" customHeight="1" thickBot="1" x14ac:dyDescent="0.3">
      <c r="B3" s="69">
        <v>45870.955104166664</v>
      </c>
      <c r="C3" s="211" t="str">
        <f>"Pick Capacity: " &amp; TEXT(SUM(User!F:F),"#,##0")</f>
        <v>Pick Capacity: 25,626</v>
      </c>
      <c r="D3" s="212"/>
      <c r="E3" s="212"/>
      <c r="F3" s="212"/>
      <c r="G3" s="213"/>
      <c r="H3" s="70" t="s">
        <v>96</v>
      </c>
      <c r="I3" s="71" t="s">
        <v>97</v>
      </c>
      <c r="J3" s="72" t="s">
        <v>98</v>
      </c>
      <c r="K3" s="73" t="s">
        <v>99</v>
      </c>
      <c r="L3" s="74" t="s">
        <v>3</v>
      </c>
      <c r="M3" s="75" t="s">
        <v>21</v>
      </c>
      <c r="N3" s="76" t="s">
        <v>47</v>
      </c>
      <c r="O3" s="77" t="s">
        <v>18</v>
      </c>
      <c r="P3" s="78" t="s">
        <v>298</v>
      </c>
      <c r="Q3" s="220"/>
      <c r="R3" s="221" t="s">
        <v>301</v>
      </c>
      <c r="S3" s="222"/>
      <c r="T3" s="185">
        <f>IFERROR(S5/T4,"-")</f>
        <v>124.9</v>
      </c>
    </row>
    <row r="4" spans="1:20" s="67" customFormat="1" ht="27" thickBot="1" x14ac:dyDescent="0.45">
      <c r="B4" s="79"/>
      <c r="C4" s="208" t="str">
        <f>"Pick HC - " &amp; SUM(AF!A2:C5) &amp; " Counters"</f>
        <v>Pick HC - 10 Counters</v>
      </c>
      <c r="D4" s="209"/>
      <c r="E4" s="210"/>
      <c r="F4" s="191">
        <f>SUM(AF!G2:H5)</f>
        <v>48</v>
      </c>
      <c r="G4" s="134" t="s">
        <v>43</v>
      </c>
      <c r="H4" s="91">
        <f>Background!G12+Background!G27+Background!G40</f>
        <v>2454</v>
      </c>
      <c r="I4" s="92">
        <f>Background!I12+Background!I27+Background!I40</f>
        <v>4204</v>
      </c>
      <c r="J4" s="93">
        <f>Background!J12+Background!J27+Background!J40</f>
        <v>509</v>
      </c>
      <c r="K4" s="94">
        <f>Background!K12+Background!K27+Background!K40</f>
        <v>13509</v>
      </c>
      <c r="L4" s="95" t="s">
        <v>37</v>
      </c>
      <c r="M4" s="96">
        <f>SUM(M5:M7)</f>
        <v>20676</v>
      </c>
      <c r="N4" s="97" t="s">
        <v>37</v>
      </c>
      <c r="O4" s="98" t="s">
        <v>37</v>
      </c>
      <c r="P4" s="99" t="s">
        <v>37</v>
      </c>
      <c r="Q4" s="97" t="s">
        <v>37</v>
      </c>
      <c r="R4" s="223" t="s">
        <v>302</v>
      </c>
      <c r="S4" s="224"/>
      <c r="T4" s="168">
        <v>290</v>
      </c>
    </row>
    <row r="5" spans="1:20" s="67" customFormat="1" ht="24.6" customHeight="1" thickBot="1" x14ac:dyDescent="0.45">
      <c r="B5" s="80"/>
      <c r="C5" s="208" t="s">
        <v>267</v>
      </c>
      <c r="D5" s="209"/>
      <c r="E5" s="210"/>
      <c r="F5" s="191" t="str">
        <f>IFERROR(TEXT((SUM(User!F:F)/F4),0),"-")</f>
        <v>534</v>
      </c>
      <c r="G5" s="135" t="s">
        <v>48</v>
      </c>
      <c r="H5" s="100">
        <f>Background!G12</f>
        <v>2021</v>
      </c>
      <c r="I5" s="101">
        <f>Background!I12</f>
        <v>2948</v>
      </c>
      <c r="J5" s="100">
        <f>Background!J12</f>
        <v>365</v>
      </c>
      <c r="K5" s="102">
        <f>Background!K12</f>
        <v>7403</v>
      </c>
      <c r="L5" s="103">
        <f>SUM(L8:L15)</f>
        <v>11098</v>
      </c>
      <c r="M5" s="104">
        <f>IFERROR(SUM(M8:M15),"Broken...")</f>
        <v>12737</v>
      </c>
      <c r="N5" s="105">
        <f>SUM(N8:N15)</f>
        <v>14376</v>
      </c>
      <c r="O5" s="106">
        <f>IFERROR(SUM(O8:O15),"-")</f>
        <v>0</v>
      </c>
      <c r="P5" s="107" t="str">
        <f>IFERROR(IF(M5&gt;N5,((M5/N5)-1),IF(M5&lt;L5,(1-(L5/M5)),"In buffer")),"-")</f>
        <v>In buffer</v>
      </c>
      <c r="Q5" s="108">
        <f>IFERROR((Background!C12-Background!D12)/SUM(F8*G8,F9*G9,F10*G10,F11*G11,F12*G12,F13*G13,F14*G14,F15*G15),"-")</f>
        <v>2.5193239937736269</v>
      </c>
      <c r="R5" s="170" t="s">
        <v>304</v>
      </c>
      <c r="S5" s="225">
        <v>36221</v>
      </c>
      <c r="T5" s="226"/>
    </row>
    <row r="6" spans="1:20" s="67" customFormat="1" ht="24" customHeight="1" thickBot="1" x14ac:dyDescent="0.45">
      <c r="B6" s="81"/>
      <c r="C6" s="214" t="str">
        <f>"Trans UPH: " &amp; TEXT(SUMIF(User!A:A,"*PPTrans*",User!F:F),"#,##0")</f>
        <v>Trans UPH: 8,094</v>
      </c>
      <c r="D6" s="215"/>
      <c r="E6" s="215"/>
      <c r="F6" s="216"/>
      <c r="G6" s="136" t="s">
        <v>303</v>
      </c>
      <c r="H6" s="109">
        <f>Background!G40</f>
        <v>423</v>
      </c>
      <c r="I6" s="110">
        <f>Background!I40</f>
        <v>1237</v>
      </c>
      <c r="J6" s="109">
        <f>Background!J40</f>
        <v>144</v>
      </c>
      <c r="K6" s="111">
        <f>Background!K40</f>
        <v>3557</v>
      </c>
      <c r="L6" s="112">
        <v>1000</v>
      </c>
      <c r="M6" s="113">
        <f>Background!H40</f>
        <v>5361</v>
      </c>
      <c r="N6" s="114">
        <v>10000</v>
      </c>
      <c r="O6" s="115">
        <f>IFERROR((M6-AVERAGE(L6,N6)),"")</f>
        <v>-139</v>
      </c>
      <c r="P6" s="116" t="str">
        <f>IFERROR(IF(M6&gt;N6,((M6/N6)-1),IF(M6&lt;L6,(1-(L6/M6)),"In buffer")),"")</f>
        <v>In buffer</v>
      </c>
      <c r="Q6" s="117">
        <f>Background!C40</f>
        <v>31153</v>
      </c>
      <c r="R6" s="172" t="s">
        <v>305</v>
      </c>
      <c r="S6" s="187" t="s">
        <v>306</v>
      </c>
      <c r="T6" s="188"/>
    </row>
    <row r="7" spans="1:20" s="67" customFormat="1" ht="20.25" customHeight="1" thickBot="1" x14ac:dyDescent="0.35">
      <c r="B7" s="82"/>
      <c r="C7" s="173"/>
      <c r="D7" s="175" t="s">
        <v>307</v>
      </c>
      <c r="E7" s="190" t="s">
        <v>308</v>
      </c>
      <c r="F7" s="189" t="s">
        <v>22</v>
      </c>
      <c r="G7" s="162" t="s">
        <v>46</v>
      </c>
      <c r="H7" s="152">
        <f>Background!G27</f>
        <v>10</v>
      </c>
      <c r="I7" s="153">
        <f>Background!I27</f>
        <v>19</v>
      </c>
      <c r="J7" s="152">
        <f>Background!J27</f>
        <v>0</v>
      </c>
      <c r="K7" s="154">
        <f>Background!K27</f>
        <v>2549</v>
      </c>
      <c r="L7" s="155">
        <v>1000</v>
      </c>
      <c r="M7" s="156">
        <f>Background!H27</f>
        <v>2578</v>
      </c>
      <c r="N7" s="157">
        <v>10000</v>
      </c>
      <c r="O7" s="163" t="s">
        <v>297</v>
      </c>
      <c r="P7" s="158"/>
      <c r="Q7" s="118">
        <f>Background!C27</f>
        <v>8866</v>
      </c>
      <c r="R7" s="217" t="s">
        <v>300</v>
      </c>
      <c r="S7" s="217"/>
      <c r="T7" s="218"/>
    </row>
    <row r="8" spans="1:20" s="67" customFormat="1" ht="18.75" x14ac:dyDescent="0.3">
      <c r="B8" s="83" t="s">
        <v>8</v>
      </c>
      <c r="C8" s="139" t="str">
        <f>LEFT(VLOOKUP(B8,User!$A$2:$G$158,5,TRUE),1)</f>
        <v>A</v>
      </c>
      <c r="D8" s="176">
        <f>VLOOKUP(B8,User!A1:G154,3)</f>
        <v>6778</v>
      </c>
      <c r="E8" s="177">
        <f>VLOOKUP(B8,User!A1:G154,6)</f>
        <v>7122</v>
      </c>
      <c r="F8" s="159">
        <v>7</v>
      </c>
      <c r="G8" s="144">
        <v>1000</v>
      </c>
      <c r="H8" s="145">
        <f>IFERROR(Background!G3/Background!H3,"-")</f>
        <v>0.26175548589341691</v>
      </c>
      <c r="I8" s="146">
        <f>IFERROR(Background!I3/Background!H3,"-")</f>
        <v>0.55956112852664575</v>
      </c>
      <c r="J8" s="145">
        <f>IFERROR(Background!J3/Background!H3,"-")</f>
        <v>4.8066875653082548E-2</v>
      </c>
      <c r="K8" s="147">
        <f>IFERROR(Background!K3/Background!H3,"-")</f>
        <v>0.13061650992685475</v>
      </c>
      <c r="L8" s="122">
        <f>F8*Parameters!I4</f>
        <v>2002</v>
      </c>
      <c r="M8" s="123">
        <f>Background!H3</f>
        <v>1914</v>
      </c>
      <c r="N8" s="122">
        <f>F8*Parameters!J4</f>
        <v>2681</v>
      </c>
      <c r="O8" s="122">
        <f>IFERROR((M8-AVERAGE(L8,N8)),"")</f>
        <v>-427.5</v>
      </c>
      <c r="P8" s="148">
        <f>IFERROR(IF(M8&gt;N8,((M8/N8)-1),IF(M8&lt;L8,((M8/L8)-1),"In buffer")),"-")</f>
        <v>-4.3956043956043911E-2</v>
      </c>
      <c r="Q8" s="125">
        <f>IFERROR((Background!C3-Background!D3)/(F8*G8),"-")</f>
        <v>2.5127142857142859</v>
      </c>
      <c r="R8" s="165" t="s">
        <v>331</v>
      </c>
      <c r="S8" s="165" t="s">
        <v>112</v>
      </c>
      <c r="T8" s="183">
        <v>0</v>
      </c>
    </row>
    <row r="9" spans="1:20" s="67" customFormat="1" ht="19.5" thickBot="1" x14ac:dyDescent="0.35">
      <c r="B9" s="83" t="s">
        <v>19</v>
      </c>
      <c r="C9" s="140" t="str">
        <f>LEFT(VLOOKUP(B9,User!$A$2:$G$158,5,TRUE),1)</f>
        <v>A</v>
      </c>
      <c r="D9" s="178">
        <f>VLOOKUP(B9,User!A2:G155,3)</f>
        <v>5730</v>
      </c>
      <c r="E9" s="179">
        <f>VLOOKUP(B9,User!A2:G155,6)</f>
        <v>4458</v>
      </c>
      <c r="F9" s="160">
        <v>7</v>
      </c>
      <c r="G9" s="89">
        <v>1000</v>
      </c>
      <c r="H9" s="129">
        <f>IFERROR(Background!G4/Background!H4,"-")</f>
        <v>0.11533665835411472</v>
      </c>
      <c r="I9" s="149">
        <f>IFERROR(Background!I4/Background!H4,"-")</f>
        <v>0.21134663341645885</v>
      </c>
      <c r="J9" s="129">
        <f>IFERROR(Background!J4/Background!H4,"-")</f>
        <v>5.1745635910224436E-2</v>
      </c>
      <c r="K9" s="130">
        <f>IFERROR(Background!K4/Background!H4,"-")</f>
        <v>0.62157107231920194</v>
      </c>
      <c r="L9" s="131">
        <f>F9*Parameters!I5</f>
        <v>2884</v>
      </c>
      <c r="M9" s="132">
        <f>Background!H4</f>
        <v>3208</v>
      </c>
      <c r="N9" s="126">
        <f>F9*Parameters!J5</f>
        <v>3731</v>
      </c>
      <c r="O9" s="131">
        <f t="shared" ref="O9:O14" si="0">IFERROR((M9-AVERAGE(L9,N9)),"")</f>
        <v>-99.5</v>
      </c>
      <c r="P9" s="150" t="str">
        <f t="shared" ref="P9:P14" si="1">IFERROR(IF(M9&gt;N9,((M9/N9)-1),IF(M9&lt;L9,((M9/L9)-1),"In buffer")),"-")</f>
        <v>In buffer</v>
      </c>
      <c r="Q9" s="137">
        <f>IFERROR((Background!C4-Background!D4)/(F9*G9),"-")</f>
        <v>2.3394285714285714</v>
      </c>
      <c r="R9" s="165" t="s">
        <v>634</v>
      </c>
      <c r="S9" s="165" t="s">
        <v>106</v>
      </c>
      <c r="T9" s="183">
        <v>7296</v>
      </c>
    </row>
    <row r="10" spans="1:20" s="67" customFormat="1" ht="18.75" x14ac:dyDescent="0.3">
      <c r="B10" s="142" t="s">
        <v>2</v>
      </c>
      <c r="C10" s="139" t="str">
        <f>LEFT(VLOOKUP(B10,User!$A$2:$G$158,5,TRUE),1)</f>
        <v>A</v>
      </c>
      <c r="D10" s="176">
        <f>VLOOKUP(B10,User!A3:G156,3)</f>
        <v>1652</v>
      </c>
      <c r="E10" s="177">
        <f>VLOOKUP(B10,User!A3:G156,6)</f>
        <v>1878</v>
      </c>
      <c r="F10" s="143">
        <v>33</v>
      </c>
      <c r="G10" s="144">
        <v>70</v>
      </c>
      <c r="H10" s="145">
        <f>IFERROR(Background!G5/Background!H5,"-")</f>
        <v>7.501720578114246E-2</v>
      </c>
      <c r="I10" s="146">
        <f>IFERROR(Background!I5/Background!H5,"-")</f>
        <v>0.16035788024776323</v>
      </c>
      <c r="J10" s="145">
        <f>IFERROR(Background!J5/Background!H5,"-")</f>
        <v>2.6841018582243633E-2</v>
      </c>
      <c r="K10" s="147">
        <f>IFERROR(Background!K5/Background!H5,"-")</f>
        <v>0.7377838953888507</v>
      </c>
      <c r="L10" s="122">
        <f>F10*Parameters!I6</f>
        <v>1221</v>
      </c>
      <c r="M10" s="123">
        <f>Background!H5</f>
        <v>1453</v>
      </c>
      <c r="N10" s="122">
        <f>F10*Parameters!J6</f>
        <v>1584</v>
      </c>
      <c r="O10" s="122">
        <f t="shared" si="0"/>
        <v>50.5</v>
      </c>
      <c r="P10" s="148" t="str">
        <f t="shared" si="1"/>
        <v>In buffer</v>
      </c>
      <c r="Q10" s="125">
        <f>IFERROR((Background!C5-Background!D5)/(F10*G10),"-")</f>
        <v>3.1367965367965369</v>
      </c>
      <c r="R10" s="165" t="s">
        <v>337</v>
      </c>
      <c r="S10" s="165" t="s">
        <v>106</v>
      </c>
      <c r="T10" s="183">
        <v>798</v>
      </c>
    </row>
    <row r="11" spans="1:20" s="67" customFormat="1" ht="19.5" thickBot="1" x14ac:dyDescent="0.35">
      <c r="B11" s="87" t="s">
        <v>1</v>
      </c>
      <c r="C11" s="138" t="str">
        <f>LEFT(VLOOKUP(B11,User!$A$2:$G$158,5,TRUE),1)</f>
        <v>A</v>
      </c>
      <c r="D11" s="178">
        <f>VLOOKUP(B11,User!A4:G157,3)</f>
        <v>1829</v>
      </c>
      <c r="E11" s="179">
        <f>VLOOKUP(B11,User!A4:G157,6)</f>
        <v>1230</v>
      </c>
      <c r="F11" s="88">
        <v>8</v>
      </c>
      <c r="G11" s="89">
        <v>180</v>
      </c>
      <c r="H11" s="129">
        <f>IFERROR(Background!G6/Background!H6,"-")</f>
        <v>0.11147011308562198</v>
      </c>
      <c r="I11" s="149">
        <f>IFERROR(Background!I6/Background!H6,"-")</f>
        <v>0.25848142164781907</v>
      </c>
      <c r="J11" s="129">
        <f>IFERROR(Background!J6/Background!H6,"-")</f>
        <v>2.2617124394184167E-2</v>
      </c>
      <c r="K11" s="130">
        <f>IFERROR(Background!K6/Background!H6,"-")</f>
        <v>0.60743134087237483</v>
      </c>
      <c r="L11" s="126">
        <f>F11*Parameters!I7</f>
        <v>640</v>
      </c>
      <c r="M11" s="132">
        <f>Background!H6</f>
        <v>619</v>
      </c>
      <c r="N11" s="126">
        <f>F11*Parameters!J7</f>
        <v>840</v>
      </c>
      <c r="O11" s="131">
        <f t="shared" si="0"/>
        <v>-121</v>
      </c>
      <c r="P11" s="150">
        <f t="shared" si="1"/>
        <v>-3.2812500000000022E-2</v>
      </c>
      <c r="Q11" s="137">
        <f>IFERROR((Background!C6-Background!D6)/(F11*G11),"-")</f>
        <v>2.2111111111111112</v>
      </c>
      <c r="R11" s="165" t="s">
        <v>603</v>
      </c>
      <c r="S11" s="165" t="s">
        <v>112</v>
      </c>
      <c r="T11" s="183">
        <v>0</v>
      </c>
    </row>
    <row r="12" spans="1:20" s="67" customFormat="1" ht="18.75" x14ac:dyDescent="0.3">
      <c r="B12" s="83" t="s">
        <v>0</v>
      </c>
      <c r="C12" s="141" t="str">
        <f>LEFT(VLOOKUP(B12,User!$A$2:$G$158,5,TRUE),1)</f>
        <v>A</v>
      </c>
      <c r="D12" s="176">
        <f>VLOOKUP(B12,User!A5:G158,3)</f>
        <v>4082</v>
      </c>
      <c r="E12" s="177">
        <f>VLOOKUP(B12,User!A5:G158,6)</f>
        <v>1110</v>
      </c>
      <c r="F12" s="85">
        <v>4</v>
      </c>
      <c r="G12" s="84">
        <v>480</v>
      </c>
      <c r="H12" s="119">
        <f>IFERROR(Background!G7/Background!H7,"-")</f>
        <v>0.26207839562443025</v>
      </c>
      <c r="I12" s="120">
        <f>IFERROR(Background!I7/Background!H7,"-")</f>
        <v>9.1157702825888781E-2</v>
      </c>
      <c r="J12" s="119">
        <f>IFERROR(Background!J7/Background!H7,"-")</f>
        <v>1.276207839562443E-2</v>
      </c>
      <c r="K12" s="121">
        <f>IFERROR(Background!K7/Background!H7,"-")</f>
        <v>0.63400182315405651</v>
      </c>
      <c r="L12" s="122">
        <f>F12*Parameters!I8</f>
        <v>2024</v>
      </c>
      <c r="M12" s="127">
        <f>Background!H7</f>
        <v>2194</v>
      </c>
      <c r="N12" s="122">
        <f>F12*Parameters!J8</f>
        <v>2632</v>
      </c>
      <c r="O12" s="126">
        <f t="shared" si="0"/>
        <v>-134</v>
      </c>
      <c r="P12" s="128" t="str">
        <f t="shared" si="1"/>
        <v>In buffer</v>
      </c>
      <c r="Q12" s="125">
        <f>IFERROR((Background!C7-Background!D7)/(F12*G12),"-")</f>
        <v>3.0979166666666669</v>
      </c>
      <c r="R12" s="165" t="s">
        <v>604</v>
      </c>
      <c r="S12" s="165" t="s">
        <v>112</v>
      </c>
      <c r="T12" s="183">
        <v>0</v>
      </c>
    </row>
    <row r="13" spans="1:20" s="67" customFormat="1" ht="18" customHeight="1" thickBot="1" x14ac:dyDescent="0.35">
      <c r="B13" s="83" t="s">
        <v>20</v>
      </c>
      <c r="C13" s="140" t="str">
        <f>LEFT(VLOOKUP(B13,User!$A$2:$G$158,5,TRUE),1)</f>
        <v>A</v>
      </c>
      <c r="D13" s="178">
        <f>VLOOKUP(B13,User!A6:G159,3)</f>
        <v>479</v>
      </c>
      <c r="E13" s="179">
        <f>VLOOKUP(B13,User!A6:G159,6)</f>
        <v>486</v>
      </c>
      <c r="F13" s="85">
        <v>3</v>
      </c>
      <c r="G13" s="84">
        <v>480</v>
      </c>
      <c r="H13" s="119">
        <f>IFERROR(Background!G8/Background!H8,"-")</f>
        <v>0.13700918964076858</v>
      </c>
      <c r="I13" s="120">
        <f>IFERROR(Background!I8/Background!H8,"-")</f>
        <v>0.16624895572263992</v>
      </c>
      <c r="J13" s="119">
        <f>IFERROR(Background!J8/Background!H8,"-")</f>
        <v>4.5948203842940682E-3</v>
      </c>
      <c r="K13" s="121">
        <f>IFERROR(Background!K8/Background!H8,"-")</f>
        <v>0.6921470342522974</v>
      </c>
      <c r="L13" s="126">
        <f>F13*Parameters!I9</f>
        <v>1362</v>
      </c>
      <c r="M13" s="127">
        <f>Background!H8</f>
        <v>2394</v>
      </c>
      <c r="N13" s="126">
        <f>F13*Parameters!J9</f>
        <v>1773</v>
      </c>
      <c r="O13" s="126">
        <f t="shared" si="0"/>
        <v>826.5</v>
      </c>
      <c r="P13" s="128">
        <f t="shared" si="1"/>
        <v>0.35025380710659904</v>
      </c>
      <c r="Q13" s="137">
        <f>IFERROR((Background!C8-Background!D8)/(F13*G13),"-")</f>
        <v>1.8701388888888888</v>
      </c>
      <c r="R13" s="171" t="s">
        <v>338</v>
      </c>
      <c r="S13" s="171" t="s">
        <v>112</v>
      </c>
      <c r="T13" s="184">
        <v>0</v>
      </c>
    </row>
    <row r="14" spans="1:20" s="67" customFormat="1" ht="17.100000000000001" customHeight="1" x14ac:dyDescent="0.3">
      <c r="A14" s="86" t="s">
        <v>49</v>
      </c>
      <c r="B14" s="161" t="s">
        <v>57</v>
      </c>
      <c r="C14" s="139" t="str">
        <f>LEFT(VLOOKUP(B14,User!$A$2:$G$158,5,TRUE),1)</f>
        <v>A</v>
      </c>
      <c r="D14" s="176">
        <f>VLOOKUP(B14,User!A7:G160,3)</f>
        <v>1715</v>
      </c>
      <c r="E14" s="177">
        <f>VLOOKUP(B14,User!A7:G160,6)</f>
        <v>1242</v>
      </c>
      <c r="F14" s="151">
        <v>5</v>
      </c>
      <c r="G14" s="144">
        <v>275</v>
      </c>
      <c r="H14" s="145">
        <f>IFERROR(Background!G9/Background!H9,"-")</f>
        <v>7.2251308900523559E-2</v>
      </c>
      <c r="I14" s="146">
        <f>IFERROR(Background!I9/Background!H9,"-")</f>
        <v>0.21780104712041884</v>
      </c>
      <c r="J14" s="145">
        <f>IFERROR(Background!J9/Background!H9,"-")</f>
        <v>1.5706806282722512E-2</v>
      </c>
      <c r="K14" s="147">
        <f>IFERROR(Background!K9/Background!H9,"-")</f>
        <v>0.69424083769633504</v>
      </c>
      <c r="L14" s="122">
        <f>F14*Parameters!I10</f>
        <v>965</v>
      </c>
      <c r="M14" s="123">
        <f>Background!H9</f>
        <v>955</v>
      </c>
      <c r="N14" s="122">
        <f>F14*Parameters!J10</f>
        <v>1135</v>
      </c>
      <c r="O14" s="122">
        <f t="shared" si="0"/>
        <v>-95</v>
      </c>
      <c r="P14" s="124">
        <f t="shared" si="1"/>
        <v>-1.0362694300518172E-2</v>
      </c>
      <c r="Q14" s="125">
        <f>IFERROR((Background!C9-Background!D9)/(F14*G14),"-")</f>
        <v>2.6261818181818182</v>
      </c>
      <c r="R14" s="171"/>
      <c r="S14" s="171"/>
      <c r="T14" s="184"/>
    </row>
    <row r="15" spans="1:20" s="67" customFormat="1" ht="0.95" customHeight="1" thickBot="1" x14ac:dyDescent="0.35">
      <c r="A15" s="86" t="s">
        <v>38</v>
      </c>
      <c r="B15" s="87" t="s">
        <v>38</v>
      </c>
      <c r="C15" s="138" t="str">
        <f>LEFT(VLOOKUP(B15,User!$A$2:$G$158,5,TRUE),1)</f>
        <v>P</v>
      </c>
      <c r="D15" s="180"/>
      <c r="E15" s="179"/>
      <c r="F15" s="88"/>
      <c r="G15" s="89">
        <v>20</v>
      </c>
      <c r="H15" s="129" t="str">
        <f>IFERROR(Background!G10/Background!H10,"-")</f>
        <v>-</v>
      </c>
      <c r="I15" s="149" t="str">
        <f>IFERROR(Background!I10/Background!H10,"-")</f>
        <v>-</v>
      </c>
      <c r="J15" s="129" t="str">
        <f>IFERROR(Background!J10/Background!H10,"-")</f>
        <v>-</v>
      </c>
      <c r="K15" s="130" t="str">
        <f>IFERROR(Background!K10/Background!H10,"-")</f>
        <v>-</v>
      </c>
      <c r="L15" s="131">
        <f t="shared" ref="L15" si="2">F15*D15</f>
        <v>0</v>
      </c>
      <c r="M15" s="132">
        <f>Background!H10</f>
        <v>0</v>
      </c>
      <c r="N15" s="131">
        <f t="shared" ref="N15" si="3">F15*E15</f>
        <v>0</v>
      </c>
      <c r="O15" s="131">
        <f t="shared" ref="O15" si="4">IFERROR((M15-AVERAGE(L15,N15)),"")</f>
        <v>0</v>
      </c>
      <c r="P15" s="133" t="str">
        <f t="shared" ref="P15" si="5">IFERROR(IF(M15&gt;N15,((M15/N15)-1),IF(M15&lt;L15,((M15/L15)-1),"In buffer")),"-")</f>
        <v>In buffer</v>
      </c>
      <c r="Q15" s="167" t="str">
        <f>IFERROR((Background!C10-Background!D10)/(F15*G15),"-")</f>
        <v>-</v>
      </c>
      <c r="R15" s="171"/>
      <c r="S15" s="171"/>
      <c r="T15" s="184"/>
    </row>
    <row r="16" spans="1:20" s="67" customFormat="1" ht="18.75" customHeight="1" thickBot="1" x14ac:dyDescent="0.35">
      <c r="C16" s="174" t="s">
        <v>32</v>
      </c>
      <c r="D16" s="181">
        <f>IFERROR(SUM(D8:D15),"-")</f>
        <v>22265</v>
      </c>
      <c r="E16" s="182">
        <f>IFERROR(SUM(E8:E15),"-")</f>
        <v>17526</v>
      </c>
      <c r="F16" s="198" t="str">
        <f>"Scanned: " &amp; TEXT(Background!E12,"0,0")</f>
        <v>Scanned: 1,204</v>
      </c>
      <c r="G16" s="199"/>
      <c r="H16" s="199"/>
      <c r="I16" s="200"/>
      <c r="J16" s="196" t="str">
        <f>"AFE1: " &amp; TEXT(Background!E3,"0,0")</f>
        <v>AFE1: 653</v>
      </c>
      <c r="K16" s="197"/>
      <c r="L16" s="201"/>
      <c r="M16" s="196" t="str">
        <f>"AFE2: " &amp; TEXT(Background!E4,"0,0")</f>
        <v>AFE2: 316</v>
      </c>
      <c r="N16" s="197"/>
      <c r="O16" s="196" t="str">
        <f>"Mix: " &amp; TEXT(Background!E5,"0,0")</f>
        <v>Mix: 216</v>
      </c>
      <c r="P16" s="197"/>
      <c r="Q16" s="166"/>
      <c r="R16" s="171"/>
      <c r="S16" s="171"/>
      <c r="T16" s="184"/>
    </row>
  </sheetData>
  <sheetProtection formatRows="0" insertRows="0" deleteRows="0"/>
  <mergeCells count="17">
    <mergeCell ref="R7:T7"/>
    <mergeCell ref="Q2:Q3"/>
    <mergeCell ref="R3:S3"/>
    <mergeCell ref="R4:S4"/>
    <mergeCell ref="S5:T5"/>
    <mergeCell ref="R2:T2"/>
    <mergeCell ref="O16:P16"/>
    <mergeCell ref="F16:I16"/>
    <mergeCell ref="J16:L16"/>
    <mergeCell ref="M16:N16"/>
    <mergeCell ref="H2:K2"/>
    <mergeCell ref="L2:P2"/>
    <mergeCell ref="C2:F2"/>
    <mergeCell ref="C4:E4"/>
    <mergeCell ref="C3:G3"/>
    <mergeCell ref="C6:F6"/>
    <mergeCell ref="C5:E5"/>
  </mergeCells>
  <conditionalFormatting sqref="M5">
    <cfRule type="cellIs" dxfId="68" priority="77" operator="lessThan">
      <formula>$L$5</formula>
    </cfRule>
    <cfRule type="cellIs" dxfId="67" priority="86" operator="greaterThan">
      <formula>$N$5</formula>
    </cfRule>
    <cfRule type="cellIs" dxfId="66" priority="87" operator="between">
      <formula>$L$5</formula>
      <formula>" 21,161 $Z$14"</formula>
    </cfRule>
  </conditionalFormatting>
  <conditionalFormatting sqref="P5:P6">
    <cfRule type="cellIs" dxfId="65" priority="78" operator="equal">
      <formula>"In buffer"</formula>
    </cfRule>
    <cfRule type="cellIs" dxfId="64" priority="79" operator="greaterThan">
      <formula>0.05</formula>
    </cfRule>
    <cfRule type="cellIs" dxfId="63" priority="82" operator="between">
      <formula>-0.05</formula>
      <formula>0.05</formula>
    </cfRule>
    <cfRule type="cellIs" dxfId="62" priority="83" operator="lessThan">
      <formula>-0.05</formula>
    </cfRule>
  </conditionalFormatting>
  <conditionalFormatting sqref="M6">
    <cfRule type="cellIs" dxfId="61" priority="63" operator="greaterThan">
      <formula>$N$6</formula>
    </cfRule>
  </conditionalFormatting>
  <conditionalFormatting sqref="M7">
    <cfRule type="cellIs" dxfId="60" priority="59" operator="greaterThan">
      <formula>9999</formula>
    </cfRule>
  </conditionalFormatting>
  <conditionalFormatting sqref="Q5">
    <cfRule type="cellIs" dxfId="59" priority="60" operator="greaterThan">
      <formula>2</formula>
    </cfRule>
    <cfRule type="cellIs" dxfId="58" priority="61" operator="between">
      <formula>1.5</formula>
      <formula>2</formula>
    </cfRule>
    <cfRule type="cellIs" dxfId="57" priority="62" operator="lessThan">
      <formula>1.5</formula>
    </cfRule>
  </conditionalFormatting>
  <conditionalFormatting sqref="K8:K9">
    <cfRule type="cellIs" dxfId="56" priority="51" operator="greaterThan">
      <formula>0.549</formula>
    </cfRule>
    <cfRule type="cellIs" dxfId="55" priority="52" operator="between">
      <formula>0.3</formula>
      <formula>0.55</formula>
    </cfRule>
    <cfRule type="cellIs" dxfId="54" priority="55" operator="lessThan">
      <formula>0.3</formula>
    </cfRule>
  </conditionalFormatting>
  <conditionalFormatting sqref="K12:K13">
    <cfRule type="cellIs" dxfId="53" priority="42" operator="greaterThan">
      <formula>0.6</formula>
    </cfRule>
    <cfRule type="cellIs" dxfId="52" priority="43" operator="between">
      <formula>0.4</formula>
      <formula>0.6</formula>
    </cfRule>
    <cfRule type="cellIs" dxfId="51" priority="54" operator="lessThan">
      <formula>0.4</formula>
    </cfRule>
  </conditionalFormatting>
  <conditionalFormatting sqref="K11">
    <cfRule type="cellIs" dxfId="50" priority="44" operator="greaterThan">
      <formula>0.4</formula>
    </cfRule>
    <cfRule type="cellIs" dxfId="49" priority="45" operator="between">
      <formula>0.3</formula>
      <formula>0.4</formula>
    </cfRule>
    <cfRule type="cellIs" dxfId="48" priority="53" operator="lessThan">
      <formula>0.3</formula>
    </cfRule>
  </conditionalFormatting>
  <conditionalFormatting sqref="K10">
    <cfRule type="cellIs" dxfId="47" priority="46" operator="greaterThan">
      <formula>0.4</formula>
    </cfRule>
    <cfRule type="cellIs" dxfId="46" priority="47" operator="between">
      <formula>0</formula>
      <formula>0.299</formula>
    </cfRule>
    <cfRule type="cellIs" dxfId="45" priority="48" operator="between">
      <formula>0.3</formula>
      <formula>0.4</formula>
    </cfRule>
  </conditionalFormatting>
  <conditionalFormatting sqref="J8:J9">
    <cfRule type="cellIs" dxfId="44" priority="49" operator="greaterThan">
      <formula>0.149</formula>
    </cfRule>
    <cfRule type="cellIs" dxfId="43" priority="50" operator="between">
      <formula>0.099</formula>
      <formula>0.15</formula>
    </cfRule>
  </conditionalFormatting>
  <conditionalFormatting sqref="J10:J14">
    <cfRule type="cellIs" dxfId="42" priority="36" operator="greaterThan">
      <formula>0.049</formula>
    </cfRule>
  </conditionalFormatting>
  <conditionalFormatting sqref="J15">
    <cfRule type="cellIs" dxfId="41" priority="35" operator="greaterThan">
      <formula>0.1</formula>
    </cfRule>
  </conditionalFormatting>
  <conditionalFormatting sqref="B8:B15 C8:C15">
    <cfRule type="containsText" dxfId="40" priority="33" operator="containsText" text="Paused">
      <formula>NOT(ISERROR(SEARCH("Paused",B8)))</formula>
    </cfRule>
  </conditionalFormatting>
  <conditionalFormatting sqref="C8:E15">
    <cfRule type="containsText" dxfId="39" priority="32" operator="containsText" text="Active">
      <formula>NOT(ISERROR(SEARCH("Active",C8)))</formula>
    </cfRule>
  </conditionalFormatting>
  <conditionalFormatting sqref="C8:E15">
    <cfRule type="containsText" dxfId="38" priority="28" operator="containsText" text="Flow Paused">
      <formula>NOT(ISERROR(SEARCH("Flow Paused",C8)))</formula>
    </cfRule>
  </conditionalFormatting>
  <conditionalFormatting sqref="C8:E15">
    <cfRule type="containsText" dxfId="37" priority="27" operator="containsText" text="Paused">
      <formula>NOT(ISERROR(SEARCH("Paused",C8)))</formula>
    </cfRule>
  </conditionalFormatting>
  <conditionalFormatting sqref="C8:E15">
    <cfRule type="cellIs" dxfId="36" priority="25" operator="equal">
      <formula>"Flow Paused"</formula>
    </cfRule>
  </conditionalFormatting>
  <conditionalFormatting sqref="C8:E15">
    <cfRule type="cellIs" dxfId="35" priority="18" operator="equal">
      <formula>"F"</formula>
    </cfRule>
    <cfRule type="cellIs" dxfId="34" priority="19" operator="equal">
      <formula>"P"</formula>
    </cfRule>
    <cfRule type="cellIs" dxfId="33" priority="20" operator="equal">
      <formula>"A"</formula>
    </cfRule>
  </conditionalFormatting>
  <conditionalFormatting sqref="S8:S16">
    <cfRule type="cellIs" dxfId="32" priority="15" operator="equal">
      <formula>"Flow"</formula>
    </cfRule>
    <cfRule type="cellIs" dxfId="31" priority="16" operator="equal">
      <formula>"Paused"</formula>
    </cfRule>
    <cfRule type="cellIs" dxfId="30" priority="17" operator="equal">
      <formula>"Active"</formula>
    </cfRule>
  </conditionalFormatting>
  <conditionalFormatting sqref="F4">
    <cfRule type="cellIs" dxfId="29" priority="11" operator="lessThan">
      <formula>$T$3</formula>
    </cfRule>
    <cfRule type="cellIs" dxfId="28" priority="12" operator="greaterThan">
      <formula>$T$3</formula>
    </cfRule>
  </conditionalFormatting>
  <conditionalFormatting sqref="Q8:Q15">
    <cfRule type="cellIs" dxfId="27" priority="71" operator="greaterThan">
      <formula>2</formula>
    </cfRule>
    <cfRule type="cellIs" dxfId="26" priority="72" operator="between">
      <formula>1.5</formula>
      <formula>2</formula>
    </cfRule>
    <cfRule type="cellIs" dxfId="25" priority="73" operator="lessThan">
      <formula>1.5</formula>
    </cfRule>
  </conditionalFormatting>
  <conditionalFormatting sqref="F5">
    <cfRule type="cellIs" dxfId="24" priority="90" operator="greaterThan">
      <formula>$T$4</formula>
    </cfRule>
    <cfRule type="cellIs" dxfId="23" priority="91" operator="lessThan">
      <formula>$T$4</formula>
    </cfRule>
    <cfRule type="cellIs" dxfId="22" priority="92" operator="greaterThan">
      <formula>$T$4</formula>
    </cfRule>
  </conditionalFormatting>
  <conditionalFormatting sqref="R10:T16">
    <cfRule type="containsBlanks" dxfId="21" priority="7">
      <formula>LEN(TRIM(R10))=0</formula>
    </cfRule>
  </conditionalFormatting>
  <conditionalFormatting sqref="R8:T9">
    <cfRule type="containsBlanks" dxfId="20" priority="6">
      <formula>LEN(TRIM(R8))=0</formula>
    </cfRule>
  </conditionalFormatting>
  <conditionalFormatting sqref="K14:K15">
    <cfRule type="cellIs" dxfId="19" priority="4" operator="between">
      <formula>0.4</formula>
      <formula>0.6</formula>
    </cfRule>
    <cfRule type="cellIs" dxfId="18" priority="5" operator="lessThan">
      <formula>0.4</formula>
    </cfRule>
    <cfRule type="cellIs" dxfId="17" priority="34" operator="greaterThan">
      <formula>0.6</formula>
    </cfRule>
  </conditionalFormatting>
  <conditionalFormatting sqref="P8:P15">
    <cfRule type="cellIs" dxfId="16" priority="80" operator="equal">
      <formula>"In buffer"</formula>
    </cfRule>
    <cfRule type="cellIs" dxfId="15" priority="81" operator="lessThan">
      <formula>-0.05</formula>
    </cfRule>
    <cfRule type="cellIs" dxfId="14" priority="84" operator="between">
      <formula>-0.03</formula>
      <formula>0.03</formula>
    </cfRule>
    <cfRule type="cellIs" dxfId="13" priority="85" operator="greaterThan">
      <formula>0.05</formula>
    </cfRule>
  </conditionalFormatting>
  <conditionalFormatting sqref="K8:K15">
    <cfRule type="cellIs" dxfId="12" priority="3" operator="greaterThan">
      <formula>0.8</formula>
    </cfRule>
  </conditionalFormatting>
  <conditionalFormatting sqref="K8:K14">
    <cfRule type="cellIs" dxfId="11" priority="1" operator="greaterThan">
      <formula>0.8</formula>
    </cfRule>
  </conditionalFormatting>
  <dataValidations disablePrompts="1" count="1">
    <dataValidation type="list" allowBlank="1" showInputMessage="1" showErrorMessage="1" sqref="B15" xr:uid="{8F195435-5D39-4E05-8D22-07909C055BB0}">
      <formula1>$A$14:$A$15</formula1>
    </dataValidation>
  </dataValidations>
  <hyperlinks>
    <hyperlink ref="C16" r:id="rId1" xr:uid="{A775BEA2-7B85-4895-9567-867D6AEDB9E2}"/>
  </hyperlinks>
  <pageMargins left="0.7" right="0.7" top="0.75" bottom="0.75" header="0.3" footer="0.3"/>
  <pageSetup orientation="portrait" r:id="rId2"/>
  <ignoredErrors>
    <ignoredError sqref="M5" formula="1"/>
    <ignoredError sqref="T3 D16:E16 C6 C3:C4"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80898" r:id="rId5" name="Button 2">
              <controlPr defaultSize="0" print="0" autoFill="0" autoPict="0" macro="[0]!_xludf.Run">
                <anchor moveWithCells="1" sizeWithCells="1">
                  <from>
                    <xdr:col>1</xdr:col>
                    <xdr:colOff>28575</xdr:colOff>
                    <xdr:row>3</xdr:row>
                    <xdr:rowOff>28575</xdr:rowOff>
                  </from>
                  <to>
                    <xdr:col>1</xdr:col>
                    <xdr:colOff>647700</xdr:colOff>
                    <xdr:row>4</xdr:row>
                    <xdr:rowOff>295275</xdr:rowOff>
                  </to>
                </anchor>
              </controlPr>
            </control>
          </mc:Choice>
        </mc:AlternateContent>
        <mc:AlternateContent xmlns:mc="http://schemas.openxmlformats.org/markup-compatibility/2006">
          <mc:Choice Requires="x14">
            <control shapeId="80900" r:id="rId6" name="Button 4">
              <controlPr defaultSize="0" print="0" autoFill="0" autoPict="0" macro="[0]!AutoRun">
                <anchor moveWithCells="1" sizeWithCells="1">
                  <from>
                    <xdr:col>1</xdr:col>
                    <xdr:colOff>28575</xdr:colOff>
                    <xdr:row>5</xdr:row>
                    <xdr:rowOff>0</xdr:rowOff>
                  </from>
                  <to>
                    <xdr:col>1</xdr:col>
                    <xdr:colOff>647700</xdr:colOff>
                    <xdr:row>6</xdr:row>
                    <xdr:rowOff>314325</xdr:rowOff>
                  </to>
                </anchor>
              </controlPr>
            </control>
          </mc:Choice>
        </mc:AlternateContent>
        <mc:AlternateContent xmlns:mc="http://schemas.openxmlformats.org/markup-compatibility/2006">
          <mc:Choice Requires="x14">
            <control shapeId="80901" r:id="rId7" name="Button 5">
              <controlPr defaultSize="0" print="0" autoFill="0" autoPict="0" macro="[0]!SetStopMacro">
                <anchor moveWithCells="1" sizeWithCells="1">
                  <from>
                    <xdr:col>1</xdr:col>
                    <xdr:colOff>647700</xdr:colOff>
                    <xdr:row>5</xdr:row>
                    <xdr:rowOff>0</xdr:rowOff>
                  </from>
                  <to>
                    <xdr:col>1</xdr:col>
                    <xdr:colOff>1247775</xdr:colOff>
                    <xdr:row>6</xdr:row>
                    <xdr:rowOff>314325</xdr:rowOff>
                  </to>
                </anchor>
              </controlPr>
            </control>
          </mc:Choice>
        </mc:AlternateContent>
        <mc:AlternateContent xmlns:mc="http://schemas.openxmlformats.org/markup-compatibility/2006">
          <mc:Choice Requires="x14">
            <control shapeId="80902" r:id="rId8" name="Button 6">
              <controlPr defaultSize="0" print="0" autoFill="0" autoPict="0" macro="[0]!AutoFlowTest">
                <anchor moveWithCells="1" sizeWithCells="1">
                  <from>
                    <xdr:col>1</xdr:col>
                    <xdr:colOff>647700</xdr:colOff>
                    <xdr:row>3</xdr:row>
                    <xdr:rowOff>28575</xdr:rowOff>
                  </from>
                  <to>
                    <xdr:col>1</xdr:col>
                    <xdr:colOff>1247775</xdr:colOff>
                    <xdr:row>4</xdr:row>
                    <xdr:rowOff>295275</xdr:rowOff>
                  </to>
                </anchor>
              </controlPr>
            </control>
          </mc:Choice>
        </mc:AlternateContent>
        <mc:AlternateContent xmlns:mc="http://schemas.openxmlformats.org/markup-compatibility/2006">
          <mc:Choice Requires="x14">
            <control shapeId="80903" r:id="rId9" name="Button 7">
              <controlPr defaultSize="0" print="0" autoFill="0" autoPict="0" macro="[0]!ClearPlan">
                <anchor moveWithCells="1" sizeWithCells="1">
                  <from>
                    <xdr:col>1</xdr:col>
                    <xdr:colOff>781050</xdr:colOff>
                    <xdr:row>15</xdr:row>
                    <xdr:rowOff>19050</xdr:rowOff>
                  </from>
                  <to>
                    <xdr:col>2</xdr:col>
                    <xdr:colOff>123825</xdr:colOff>
                    <xdr:row>16</xdr:row>
                    <xdr:rowOff>0</xdr:rowOff>
                  </to>
                </anchor>
              </controlPr>
            </control>
          </mc:Choice>
        </mc:AlternateContent>
        <mc:AlternateContent xmlns:mc="http://schemas.openxmlformats.org/markup-compatibility/2006">
          <mc:Choice Requires="x14">
            <control shapeId="80907" r:id="rId10" name="Button 11">
              <controlPr defaultSize="0" print="0" autoFill="0" autoPict="0" macro="[0]!RunAll">
                <anchor moveWithCells="1" sizeWithCells="1">
                  <from>
                    <xdr:col>1</xdr:col>
                    <xdr:colOff>19050</xdr:colOff>
                    <xdr:row>15</xdr:row>
                    <xdr:rowOff>19050</xdr:rowOff>
                  </from>
                  <to>
                    <xdr:col>1</xdr:col>
                    <xdr:colOff>742950</xdr:colOff>
                    <xdr:row>16</xdr:row>
                    <xdr:rowOff>0</xdr:rowOff>
                  </to>
                </anchor>
              </controlPr>
            </control>
          </mc:Choice>
        </mc:AlternateContent>
        <mc:AlternateContent xmlns:mc="http://schemas.openxmlformats.org/markup-compatibility/2006">
          <mc:Choice Requires="x14">
            <control shapeId="80911" r:id="rId11" name="Button 15">
              <controlPr defaultSize="0" print="0" autoFill="0" autoPict="0" macro="[0]!MAIN_DATA_PULL">
                <anchor moveWithCells="1" sizeWithCells="1">
                  <from>
                    <xdr:col>2</xdr:col>
                    <xdr:colOff>19050</xdr:colOff>
                    <xdr:row>1</xdr:row>
                    <xdr:rowOff>9525</xdr:rowOff>
                  </from>
                  <to>
                    <xdr:col>6</xdr:col>
                    <xdr:colOff>476250</xdr:colOff>
                    <xdr:row>1</xdr:row>
                    <xdr:rowOff>228600</xdr:rowOff>
                  </to>
                </anchor>
              </controlPr>
            </control>
          </mc:Choice>
        </mc:AlternateContent>
        <mc:AlternateContent xmlns:mc="http://schemas.openxmlformats.org/markup-compatibility/2006">
          <mc:Choice Requires="x14">
            <control shapeId="80914" r:id="rId12" name="Button 18">
              <controlPr defaultSize="0" print="0" autoFill="0" autoPict="0" macro="[0]!SwitchB14Content">
                <anchor moveWithCells="1" sizeWithCells="1">
                  <from>
                    <xdr:col>1</xdr:col>
                    <xdr:colOff>9525</xdr:colOff>
                    <xdr:row>13</xdr:row>
                    <xdr:rowOff>0</xdr:rowOff>
                  </from>
                  <to>
                    <xdr:col>1</xdr:col>
                    <xdr:colOff>752475</xdr:colOff>
                    <xdr:row>15</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7" id="{16093228-8D10-41D8-BC56-D1343A5F2E65}">
            <xm:f>Background!$H$33&gt;1000</xm:f>
            <x14:dxf>
              <font>
                <color rgb="FF9C0006"/>
              </font>
              <fill>
                <patternFill>
                  <bgColor rgb="FFFFC7CE"/>
                </patternFill>
              </fill>
            </x14:dxf>
          </x14:cfRule>
          <x14:cfRule type="expression" priority="58" id="{69B36914-4045-4770-9954-DB710F2B2C3E}">
            <xm:f>Background!$H$30&gt;1000</xm:f>
            <x14:dxf>
              <font>
                <color rgb="FF9C0006"/>
              </font>
              <fill>
                <patternFill>
                  <bgColor rgb="FFFFC7CE"/>
                </patternFill>
              </fill>
            </x14:dxf>
          </x14:cfRule>
          <xm:sqref>M7</xm:sqref>
        </x14:conditionalFormatting>
        <x14:conditionalFormatting xmlns:xm="http://schemas.microsoft.com/office/excel/2006/main">
          <x14:cfRule type="expression" priority="41" id="{A830D002-A9A4-4D1E-9FCC-20E100F172E7}">
            <xm:f>Background!$E$5&gt;1000</xm:f>
            <x14:dxf>
              <font>
                <color rgb="FF9C0006"/>
              </font>
              <fill>
                <patternFill>
                  <bgColor rgb="FFFFC7CE"/>
                </patternFill>
              </fill>
            </x14:dxf>
          </x14:cfRule>
          <xm:sqref>O16</xm:sqref>
        </x14:conditionalFormatting>
        <x14:conditionalFormatting xmlns:xm="http://schemas.microsoft.com/office/excel/2006/main">
          <x14:cfRule type="expression" priority="40" id="{A279E09E-E185-424D-B335-CE2FC94C9A47}">
            <xm:f>Background!$E$5&gt;1000</xm:f>
            <x14:dxf>
              <font>
                <color rgb="FF9C0006"/>
              </font>
              <fill>
                <patternFill>
                  <bgColor rgb="FFFFC7CE"/>
                </patternFill>
              </fill>
            </x14:dxf>
          </x14:cfRule>
          <xm:sqref>C16:E16</xm:sqref>
        </x14:conditionalFormatting>
        <x14:conditionalFormatting xmlns:xm="http://schemas.microsoft.com/office/excel/2006/main">
          <x14:cfRule type="expression" priority="39" id="{E24A757A-57C7-437E-9739-A8DC6AC89499}">
            <xm:f>Background!$E$3&gt;1500</xm:f>
            <x14:dxf>
              <font>
                <color rgb="FF9C0006"/>
              </font>
              <fill>
                <patternFill>
                  <bgColor rgb="FFFFC7CE"/>
                </patternFill>
              </fill>
            </x14:dxf>
          </x14:cfRule>
          <xm:sqref>J16:L16</xm:sqref>
        </x14:conditionalFormatting>
        <x14:conditionalFormatting xmlns:xm="http://schemas.microsoft.com/office/excel/2006/main">
          <x14:cfRule type="expression" priority="38" id="{CD31C09C-8CE4-46A3-AF3A-A2D88E658B87}">
            <xm:f>Background!$E$4&gt;1000</xm:f>
            <x14:dxf>
              <font>
                <color rgb="FF9C0006"/>
              </font>
              <fill>
                <patternFill>
                  <bgColor rgb="FFFFC7CE"/>
                </patternFill>
              </fill>
            </x14:dxf>
          </x14:cfRule>
          <xm:sqref>M16:N16</xm:sqref>
        </x14:conditionalFormatting>
        <x14:conditionalFormatting xmlns:xm="http://schemas.microsoft.com/office/excel/2006/main">
          <x14:cfRule type="expression" priority="37" id="{4B15BC88-B248-4E7C-9B93-96E9E0FC7A24}">
            <xm:f>Background!$E$12&gt;5000</xm:f>
            <x14:dxf>
              <font>
                <color rgb="FF9C0006"/>
              </font>
              <fill>
                <patternFill>
                  <bgColor rgb="FFFFC7CE"/>
                </patternFill>
              </fill>
            </x14:dxf>
          </x14:cfRule>
          <xm:sqref>F16:I16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2C0B-8AF1-4CED-8024-F21F8B310A22}">
  <sheetPr codeName="Sheet10"/>
  <dimension ref="A1:G50"/>
  <sheetViews>
    <sheetView workbookViewId="0">
      <selection activeCell="H1" sqref="H1"/>
    </sheetView>
  </sheetViews>
  <sheetFormatPr defaultRowHeight="15" customHeight="1" x14ac:dyDescent="0.25"/>
  <cols>
    <col min="2" max="2" width="2.7109375" customWidth="1"/>
    <col min="3" max="3" width="2.140625" customWidth="1"/>
  </cols>
  <sheetData>
    <row r="1" spans="1:7" ht="15" customHeight="1" x14ac:dyDescent="0.25">
      <c r="A1" t="s">
        <v>623</v>
      </c>
      <c r="B1" t="s">
        <v>624</v>
      </c>
      <c r="C1" t="s">
        <v>625</v>
      </c>
      <c r="D1" t="s">
        <v>626</v>
      </c>
      <c r="G1" t="s">
        <v>633</v>
      </c>
    </row>
    <row r="2" spans="1:7" ht="0.2" customHeight="1" x14ac:dyDescent="0.25">
      <c r="A2" s="230" t="s">
        <v>607</v>
      </c>
      <c r="B2">
        <v>5</v>
      </c>
    </row>
    <row r="3" spans="1:7" ht="15" customHeight="1" x14ac:dyDescent="0.25">
      <c r="A3" s="230"/>
      <c r="B3">
        <v>6</v>
      </c>
      <c r="D3">
        <v>170</v>
      </c>
      <c r="G3">
        <v>168</v>
      </c>
    </row>
    <row r="4" spans="1:7" ht="0.2" customHeight="1" x14ac:dyDescent="0.25">
      <c r="A4" s="230"/>
      <c r="B4">
        <v>7</v>
      </c>
    </row>
    <row r="5" spans="1:7" ht="15" customHeight="1" x14ac:dyDescent="0.25">
      <c r="A5" s="230"/>
      <c r="B5">
        <v>8</v>
      </c>
      <c r="D5">
        <v>162</v>
      </c>
      <c r="G5">
        <v>153</v>
      </c>
    </row>
    <row r="6" spans="1:7" ht="0.2" customHeight="1" x14ac:dyDescent="0.25">
      <c r="A6" s="230"/>
      <c r="B6">
        <v>9</v>
      </c>
    </row>
    <row r="7" spans="1:7" ht="15" customHeight="1" x14ac:dyDescent="0.25">
      <c r="A7" s="230"/>
      <c r="B7">
        <v>10</v>
      </c>
      <c r="D7">
        <v>184</v>
      </c>
      <c r="G7">
        <v>173</v>
      </c>
    </row>
    <row r="8" spans="1:7" ht="0.2" customHeight="1" x14ac:dyDescent="0.25">
      <c r="A8" s="230"/>
      <c r="B8">
        <v>11</v>
      </c>
    </row>
    <row r="9" spans="1:7" ht="15" customHeight="1" x14ac:dyDescent="0.25">
      <c r="A9" s="230"/>
      <c r="B9">
        <v>12</v>
      </c>
      <c r="D9">
        <v>182</v>
      </c>
      <c r="G9">
        <v>180</v>
      </c>
    </row>
    <row r="10" spans="1:7" ht="0.2" customHeight="1" x14ac:dyDescent="0.25">
      <c r="A10" s="230"/>
      <c r="B10">
        <v>13</v>
      </c>
    </row>
    <row r="11" spans="1:7" ht="15" customHeight="1" x14ac:dyDescent="0.25">
      <c r="A11" s="230"/>
      <c r="B11">
        <v>14</v>
      </c>
      <c r="D11">
        <v>186</v>
      </c>
      <c r="G11">
        <v>194</v>
      </c>
    </row>
    <row r="12" spans="1:7" ht="0.2" customHeight="1" x14ac:dyDescent="0.25">
      <c r="A12" s="230"/>
      <c r="B12">
        <v>15</v>
      </c>
    </row>
    <row r="13" spans="1:7" ht="15" customHeight="1" x14ac:dyDescent="0.25">
      <c r="A13" s="230"/>
      <c r="B13">
        <v>16</v>
      </c>
      <c r="D13">
        <v>134</v>
      </c>
      <c r="G13">
        <v>102</v>
      </c>
    </row>
    <row r="14" spans="1:7" ht="0.2" customHeight="1" x14ac:dyDescent="0.25">
      <c r="A14" s="230"/>
      <c r="B14">
        <v>17</v>
      </c>
    </row>
    <row r="15" spans="1:7" ht="15" customHeight="1" x14ac:dyDescent="0.25">
      <c r="A15" s="230"/>
      <c r="B15">
        <v>18</v>
      </c>
      <c r="D15">
        <v>203</v>
      </c>
      <c r="G15">
        <v>145</v>
      </c>
    </row>
    <row r="16" spans="1:7" ht="0.2" customHeight="1" x14ac:dyDescent="0.25">
      <c r="A16" s="230"/>
      <c r="B16">
        <v>19</v>
      </c>
    </row>
    <row r="17" spans="1:7" ht="0.2" customHeight="1" x14ac:dyDescent="0.25">
      <c r="A17" s="230"/>
      <c r="B17">
        <v>20</v>
      </c>
    </row>
    <row r="18" spans="1:7" ht="0.2" customHeight="1" x14ac:dyDescent="0.25">
      <c r="A18" s="230"/>
      <c r="B18">
        <v>21</v>
      </c>
    </row>
    <row r="19" spans="1:7" ht="0.2" customHeight="1" x14ac:dyDescent="0.25">
      <c r="A19" s="230"/>
      <c r="B19">
        <v>22</v>
      </c>
    </row>
    <row r="20" spans="1:7" ht="0.2" customHeight="1" x14ac:dyDescent="0.25">
      <c r="A20" s="230"/>
      <c r="B20">
        <v>23</v>
      </c>
    </row>
    <row r="21" spans="1:7" ht="0.2" customHeight="1" x14ac:dyDescent="0.25">
      <c r="A21" s="230"/>
      <c r="B21">
        <v>24</v>
      </c>
    </row>
    <row r="22" spans="1:7" s="193" customFormat="1" ht="3.75" customHeight="1" x14ac:dyDescent="0.25">
      <c r="A22" s="192"/>
    </row>
    <row r="23" spans="1:7" ht="0.2" customHeight="1" x14ac:dyDescent="0.25">
      <c r="A23" s="230" t="s">
        <v>608</v>
      </c>
      <c r="B23">
        <v>52</v>
      </c>
    </row>
    <row r="24" spans="1:7" ht="0.2" customHeight="1" x14ac:dyDescent="0.25">
      <c r="A24" s="230"/>
      <c r="B24">
        <v>53</v>
      </c>
    </row>
    <row r="25" spans="1:7" ht="0.2" customHeight="1" x14ac:dyDescent="0.25">
      <c r="A25" s="230"/>
      <c r="B25">
        <v>54</v>
      </c>
    </row>
    <row r="26" spans="1:7" ht="0.2" customHeight="1" x14ac:dyDescent="0.25">
      <c r="A26" s="230"/>
      <c r="B26">
        <v>55</v>
      </c>
    </row>
    <row r="27" spans="1:7" ht="0.2" customHeight="1" x14ac:dyDescent="0.25">
      <c r="A27" s="230"/>
      <c r="B27">
        <v>56</v>
      </c>
    </row>
    <row r="28" spans="1:7" ht="0.2" customHeight="1" x14ac:dyDescent="0.25">
      <c r="A28" s="230"/>
      <c r="B28">
        <v>57</v>
      </c>
    </row>
    <row r="29" spans="1:7" ht="0.2" customHeight="1" x14ac:dyDescent="0.25">
      <c r="A29" s="230"/>
      <c r="B29">
        <v>58</v>
      </c>
    </row>
    <row r="30" spans="1:7" ht="15" customHeight="1" x14ac:dyDescent="0.25">
      <c r="A30" s="230"/>
      <c r="B30">
        <v>59</v>
      </c>
      <c r="D30">
        <v>90</v>
      </c>
      <c r="G30">
        <v>90</v>
      </c>
    </row>
    <row r="31" spans="1:7" ht="15" customHeight="1" x14ac:dyDescent="0.25">
      <c r="A31" s="230"/>
      <c r="B31">
        <v>60</v>
      </c>
      <c r="D31">
        <v>88</v>
      </c>
      <c r="G31">
        <v>88</v>
      </c>
    </row>
    <row r="32" spans="1:7" ht="15" customHeight="1" x14ac:dyDescent="0.25">
      <c r="A32" s="230"/>
      <c r="B32">
        <v>61</v>
      </c>
      <c r="D32">
        <v>85</v>
      </c>
      <c r="G32">
        <v>89</v>
      </c>
    </row>
    <row r="33" spans="1:7" ht="15" customHeight="1" x14ac:dyDescent="0.25">
      <c r="A33" s="230"/>
      <c r="B33">
        <v>62</v>
      </c>
      <c r="D33">
        <v>67</v>
      </c>
      <c r="G33">
        <v>69</v>
      </c>
    </row>
    <row r="34" spans="1:7" ht="15" customHeight="1" x14ac:dyDescent="0.25">
      <c r="A34" s="230"/>
      <c r="B34">
        <v>63</v>
      </c>
      <c r="D34">
        <v>96</v>
      </c>
      <c r="G34">
        <v>105</v>
      </c>
    </row>
    <row r="35" spans="1:7" ht="15" customHeight="1" x14ac:dyDescent="0.25">
      <c r="A35" s="230"/>
      <c r="B35">
        <v>64</v>
      </c>
      <c r="D35">
        <v>70</v>
      </c>
      <c r="G35">
        <v>66</v>
      </c>
    </row>
    <row r="36" spans="1:7" ht="15" customHeight="1" x14ac:dyDescent="0.25">
      <c r="A36" s="230"/>
      <c r="B36">
        <v>65</v>
      </c>
      <c r="D36">
        <v>93</v>
      </c>
      <c r="G36">
        <v>107</v>
      </c>
    </row>
    <row r="37" spans="1:7" ht="15" customHeight="1" x14ac:dyDescent="0.25">
      <c r="A37" s="230"/>
      <c r="B37">
        <v>66</v>
      </c>
      <c r="D37">
        <v>56</v>
      </c>
      <c r="G37">
        <v>56</v>
      </c>
    </row>
    <row r="38" spans="1:7" ht="15" customHeight="1" x14ac:dyDescent="0.25">
      <c r="A38" s="230"/>
      <c r="B38">
        <v>67</v>
      </c>
      <c r="D38">
        <v>61</v>
      </c>
      <c r="G38">
        <v>57</v>
      </c>
    </row>
    <row r="39" spans="1:7" ht="15" customHeight="1" x14ac:dyDescent="0.25">
      <c r="A39" s="230"/>
      <c r="B39">
        <v>68</v>
      </c>
      <c r="D39">
        <v>101</v>
      </c>
      <c r="G39">
        <v>93</v>
      </c>
    </row>
    <row r="40" spans="1:7" ht="15" customHeight="1" x14ac:dyDescent="0.25">
      <c r="A40" s="230"/>
      <c r="B40">
        <v>69</v>
      </c>
      <c r="D40">
        <v>94</v>
      </c>
      <c r="G40">
        <v>92</v>
      </c>
    </row>
    <row r="41" spans="1:7" ht="15" customHeight="1" x14ac:dyDescent="0.25">
      <c r="A41" s="230"/>
      <c r="B41">
        <v>70</v>
      </c>
      <c r="D41">
        <v>88</v>
      </c>
      <c r="G41">
        <v>86</v>
      </c>
    </row>
    <row r="42" spans="1:7" ht="15" customHeight="1" x14ac:dyDescent="0.25">
      <c r="A42" s="230"/>
      <c r="B42">
        <v>71</v>
      </c>
      <c r="D42">
        <v>57</v>
      </c>
      <c r="G42">
        <v>35</v>
      </c>
    </row>
    <row r="43" spans="1:7" ht="15" customHeight="1" x14ac:dyDescent="0.25">
      <c r="A43" s="230"/>
      <c r="B43">
        <v>72</v>
      </c>
      <c r="D43">
        <v>80</v>
      </c>
      <c r="G43">
        <v>65</v>
      </c>
    </row>
    <row r="44" spans="1:7" ht="0.2" customHeight="1" x14ac:dyDescent="0.25"/>
    <row r="45" spans="1:7" ht="0.2" customHeight="1" x14ac:dyDescent="0.25"/>
    <row r="46" spans="1:7" ht="0.2" customHeight="1" x14ac:dyDescent="0.25"/>
    <row r="47" spans="1:7" ht="0.2" customHeight="1" x14ac:dyDescent="0.25"/>
    <row r="48" spans="1:7" ht="0.2" customHeight="1" x14ac:dyDescent="0.25"/>
    <row r="49" ht="0.2" customHeight="1" x14ac:dyDescent="0.25"/>
    <row r="50" ht="0.2" customHeight="1" x14ac:dyDescent="0.25"/>
  </sheetData>
  <mergeCells count="2">
    <mergeCell ref="A2:A21"/>
    <mergeCell ref="A23:A4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73BCA-756C-464C-86A0-1B6DC2CE7ADD}">
  <sheetPr codeName="Sheet3"/>
  <dimension ref="A1:E149"/>
  <sheetViews>
    <sheetView workbookViewId="0"/>
  </sheetViews>
  <sheetFormatPr defaultRowHeight="15" x14ac:dyDescent="0.25"/>
  <cols>
    <col min="1" max="1" width="13.85546875" bestFit="1" customWidth="1"/>
    <col min="2" max="2" width="7.7109375" bestFit="1" customWidth="1"/>
    <col min="3" max="3" width="16.42578125" bestFit="1" customWidth="1"/>
    <col min="4" max="4" width="11" bestFit="1" customWidth="1"/>
    <col min="5" max="5" width="5" bestFit="1" customWidth="1"/>
  </cols>
  <sheetData>
    <row r="1" spans="1:5" x14ac:dyDescent="0.25">
      <c r="A1" t="s">
        <v>342</v>
      </c>
      <c r="B1" t="s">
        <v>404</v>
      </c>
      <c r="C1" t="s">
        <v>405</v>
      </c>
      <c r="D1" t="s">
        <v>406</v>
      </c>
      <c r="E1" t="s">
        <v>46</v>
      </c>
    </row>
    <row r="2" spans="1:5" x14ac:dyDescent="0.25">
      <c r="A2" s="1">
        <v>45870.955324074072</v>
      </c>
      <c r="B2" t="s">
        <v>407</v>
      </c>
      <c r="C2" t="s">
        <v>505</v>
      </c>
      <c r="D2" t="s">
        <v>448</v>
      </c>
      <c r="E2">
        <v>34</v>
      </c>
    </row>
    <row r="3" spans="1:5" x14ac:dyDescent="0.25">
      <c r="A3" s="1">
        <v>45870.955324074072</v>
      </c>
      <c r="B3" t="s">
        <v>407</v>
      </c>
      <c r="C3" t="s">
        <v>469</v>
      </c>
      <c r="D3" t="s">
        <v>470</v>
      </c>
      <c r="E3">
        <v>28</v>
      </c>
    </row>
    <row r="4" spans="1:5" x14ac:dyDescent="0.25">
      <c r="A4" s="1">
        <v>45870.955324074072</v>
      </c>
      <c r="B4" t="s">
        <v>407</v>
      </c>
      <c r="C4" t="s">
        <v>457</v>
      </c>
      <c r="D4" t="s">
        <v>458</v>
      </c>
      <c r="E4">
        <v>47</v>
      </c>
    </row>
    <row r="5" spans="1:5" x14ac:dyDescent="0.25">
      <c r="A5" s="1">
        <v>45870.955324074072</v>
      </c>
      <c r="B5" t="s">
        <v>407</v>
      </c>
      <c r="C5" t="s">
        <v>425</v>
      </c>
      <c r="D5" t="s">
        <v>446</v>
      </c>
      <c r="E5">
        <v>43</v>
      </c>
    </row>
    <row r="6" spans="1:5" x14ac:dyDescent="0.25">
      <c r="A6" s="1">
        <v>45870.955324074072</v>
      </c>
      <c r="B6" t="s">
        <v>407</v>
      </c>
      <c r="C6" t="s">
        <v>493</v>
      </c>
      <c r="D6" t="s">
        <v>497</v>
      </c>
      <c r="E6">
        <v>22</v>
      </c>
    </row>
    <row r="7" spans="1:5" x14ac:dyDescent="0.25">
      <c r="A7" s="1">
        <v>45870.955324074072</v>
      </c>
      <c r="B7" t="s">
        <v>407</v>
      </c>
      <c r="C7" t="s">
        <v>520</v>
      </c>
      <c r="D7" t="s">
        <v>436</v>
      </c>
      <c r="E7">
        <v>46</v>
      </c>
    </row>
    <row r="8" spans="1:5" x14ac:dyDescent="0.25">
      <c r="A8" s="1">
        <v>45870.955324074072</v>
      </c>
      <c r="B8" t="s">
        <v>407</v>
      </c>
      <c r="C8" t="s">
        <v>620</v>
      </c>
      <c r="D8" t="s">
        <v>465</v>
      </c>
      <c r="E8">
        <v>23</v>
      </c>
    </row>
    <row r="9" spans="1:5" x14ac:dyDescent="0.25">
      <c r="A9" s="1">
        <v>45870.955324074072</v>
      </c>
      <c r="B9" t="s">
        <v>407</v>
      </c>
      <c r="C9" t="s">
        <v>410</v>
      </c>
      <c r="D9" t="s">
        <v>548</v>
      </c>
      <c r="E9">
        <v>58</v>
      </c>
    </row>
    <row r="10" spans="1:5" x14ac:dyDescent="0.25">
      <c r="A10" s="1">
        <v>45870.955324074072</v>
      </c>
      <c r="B10" t="s">
        <v>407</v>
      </c>
      <c r="C10" t="s">
        <v>459</v>
      </c>
      <c r="D10" t="s">
        <v>549</v>
      </c>
      <c r="E10">
        <v>25</v>
      </c>
    </row>
    <row r="11" spans="1:5" x14ac:dyDescent="0.25">
      <c r="A11" s="1">
        <v>45870.955324074072</v>
      </c>
      <c r="B11" t="s">
        <v>407</v>
      </c>
      <c r="C11" t="s">
        <v>522</v>
      </c>
      <c r="D11" t="s">
        <v>567</v>
      </c>
      <c r="E11">
        <v>25</v>
      </c>
    </row>
    <row r="12" spans="1:5" x14ac:dyDescent="0.25">
      <c r="A12" s="1">
        <v>45870.955324074072</v>
      </c>
      <c r="B12" t="s">
        <v>407</v>
      </c>
      <c r="C12" t="s">
        <v>503</v>
      </c>
      <c r="D12" t="s">
        <v>504</v>
      </c>
      <c r="E12">
        <v>28</v>
      </c>
    </row>
    <row r="13" spans="1:5" x14ac:dyDescent="0.25">
      <c r="A13" s="1">
        <v>45870.955324074072</v>
      </c>
      <c r="B13" t="s">
        <v>407</v>
      </c>
      <c r="C13" t="s">
        <v>481</v>
      </c>
      <c r="D13" t="s">
        <v>546</v>
      </c>
      <c r="E13">
        <v>29</v>
      </c>
    </row>
    <row r="14" spans="1:5" x14ac:dyDescent="0.25">
      <c r="A14" s="1">
        <v>45870.955324074072</v>
      </c>
      <c r="B14" t="s">
        <v>407</v>
      </c>
      <c r="C14" t="s">
        <v>484</v>
      </c>
      <c r="D14" t="s">
        <v>454</v>
      </c>
      <c r="E14">
        <v>41</v>
      </c>
    </row>
    <row r="15" spans="1:5" x14ac:dyDescent="0.25">
      <c r="A15" s="1">
        <v>45870.955324074072</v>
      </c>
      <c r="B15" t="s">
        <v>407</v>
      </c>
      <c r="C15" t="s">
        <v>439</v>
      </c>
      <c r="D15" t="s">
        <v>419</v>
      </c>
      <c r="E15">
        <v>26</v>
      </c>
    </row>
    <row r="16" spans="1:5" x14ac:dyDescent="0.25">
      <c r="A16" s="1">
        <v>45870.955324074072</v>
      </c>
      <c r="B16" t="s">
        <v>407</v>
      </c>
      <c r="C16" t="s">
        <v>509</v>
      </c>
      <c r="D16" t="s">
        <v>540</v>
      </c>
      <c r="E16">
        <v>25</v>
      </c>
    </row>
    <row r="17" spans="1:5" x14ac:dyDescent="0.25">
      <c r="A17" s="1">
        <v>45870.955324074072</v>
      </c>
      <c r="B17" t="s">
        <v>407</v>
      </c>
      <c r="C17" t="s">
        <v>516</v>
      </c>
      <c r="D17" t="s">
        <v>479</v>
      </c>
      <c r="E17">
        <v>33</v>
      </c>
    </row>
    <row r="18" spans="1:5" x14ac:dyDescent="0.25">
      <c r="A18" s="1">
        <v>45870.955324074072</v>
      </c>
      <c r="B18" t="s">
        <v>407</v>
      </c>
      <c r="C18" t="s">
        <v>615</v>
      </c>
      <c r="D18" t="s">
        <v>619</v>
      </c>
      <c r="E18">
        <v>32</v>
      </c>
    </row>
    <row r="19" spans="1:5" x14ac:dyDescent="0.25">
      <c r="A19" s="1">
        <v>45870.955324074072</v>
      </c>
      <c r="B19" t="s">
        <v>407</v>
      </c>
      <c r="C19" t="s">
        <v>435</v>
      </c>
      <c r="D19" t="s">
        <v>599</v>
      </c>
      <c r="E19">
        <v>28</v>
      </c>
    </row>
    <row r="20" spans="1:5" x14ac:dyDescent="0.25">
      <c r="A20" s="1">
        <v>45870.955324074072</v>
      </c>
      <c r="B20" t="s">
        <v>407</v>
      </c>
      <c r="C20" t="s">
        <v>635</v>
      </c>
      <c r="D20" t="s">
        <v>432</v>
      </c>
      <c r="E20">
        <v>25</v>
      </c>
    </row>
    <row r="21" spans="1:5" x14ac:dyDescent="0.25">
      <c r="A21" s="1">
        <v>45870.955324074072</v>
      </c>
      <c r="B21" t="s">
        <v>407</v>
      </c>
      <c r="C21" t="s">
        <v>511</v>
      </c>
      <c r="D21" t="s">
        <v>610</v>
      </c>
      <c r="E21">
        <v>32</v>
      </c>
    </row>
    <row r="22" spans="1:5" x14ac:dyDescent="0.25">
      <c r="A22" s="1">
        <v>45870.955324074072</v>
      </c>
      <c r="B22" t="s">
        <v>407</v>
      </c>
      <c r="C22" t="s">
        <v>453</v>
      </c>
      <c r="D22" t="s">
        <v>545</v>
      </c>
      <c r="E22">
        <v>41</v>
      </c>
    </row>
    <row r="23" spans="1:5" x14ac:dyDescent="0.25">
      <c r="A23" s="1">
        <v>45870.955324074072</v>
      </c>
      <c r="B23" t="s">
        <v>407</v>
      </c>
      <c r="C23" t="s">
        <v>487</v>
      </c>
      <c r="D23" t="s">
        <v>500</v>
      </c>
      <c r="E23">
        <v>31</v>
      </c>
    </row>
    <row r="24" spans="1:5" x14ac:dyDescent="0.25">
      <c r="A24" s="1">
        <v>45870.955324074072</v>
      </c>
      <c r="B24" t="s">
        <v>407</v>
      </c>
      <c r="C24" t="s">
        <v>613</v>
      </c>
      <c r="D24" t="s">
        <v>544</v>
      </c>
      <c r="E24">
        <v>37</v>
      </c>
    </row>
    <row r="25" spans="1:5" x14ac:dyDescent="0.25">
      <c r="A25" s="1">
        <v>45870.955324074072</v>
      </c>
      <c r="B25" t="s">
        <v>407</v>
      </c>
      <c r="C25" t="s">
        <v>455</v>
      </c>
      <c r="D25" t="s">
        <v>417</v>
      </c>
      <c r="E25">
        <v>37</v>
      </c>
    </row>
    <row r="26" spans="1:5" x14ac:dyDescent="0.25">
      <c r="A26" s="1">
        <v>45870.955324074072</v>
      </c>
      <c r="B26" t="s">
        <v>407</v>
      </c>
      <c r="C26" t="s">
        <v>408</v>
      </c>
      <c r="D26" t="s">
        <v>592</v>
      </c>
      <c r="E26">
        <v>57</v>
      </c>
    </row>
    <row r="27" spans="1:5" x14ac:dyDescent="0.25">
      <c r="A27" s="1">
        <v>45870.955324074072</v>
      </c>
      <c r="B27" t="s">
        <v>407</v>
      </c>
      <c r="C27" t="s">
        <v>665</v>
      </c>
      <c r="D27" t="s">
        <v>468</v>
      </c>
      <c r="E27">
        <v>43</v>
      </c>
    </row>
    <row r="28" spans="1:5" x14ac:dyDescent="0.25">
      <c r="A28" s="1">
        <v>45870.955324074072</v>
      </c>
      <c r="B28" t="s">
        <v>407</v>
      </c>
      <c r="C28" t="s">
        <v>412</v>
      </c>
      <c r="D28" t="s">
        <v>502</v>
      </c>
      <c r="E28">
        <v>38</v>
      </c>
    </row>
    <row r="29" spans="1:5" x14ac:dyDescent="0.25">
      <c r="A29" s="1">
        <v>45870.955324074072</v>
      </c>
      <c r="B29" t="s">
        <v>407</v>
      </c>
      <c r="C29" t="s">
        <v>480</v>
      </c>
      <c r="D29" t="s">
        <v>621</v>
      </c>
      <c r="E29">
        <v>25</v>
      </c>
    </row>
    <row r="30" spans="1:5" x14ac:dyDescent="0.25">
      <c r="A30" s="1">
        <v>45870.955324074072</v>
      </c>
      <c r="B30" t="s">
        <v>407</v>
      </c>
      <c r="C30" t="s">
        <v>496</v>
      </c>
      <c r="D30" t="s">
        <v>539</v>
      </c>
      <c r="E30">
        <v>30</v>
      </c>
    </row>
    <row r="31" spans="1:5" x14ac:dyDescent="0.25">
      <c r="A31" s="1">
        <v>45870.955324074072</v>
      </c>
      <c r="B31" t="s">
        <v>407</v>
      </c>
      <c r="C31" t="s">
        <v>529</v>
      </c>
      <c r="D31" t="s">
        <v>440</v>
      </c>
      <c r="E31">
        <v>28</v>
      </c>
    </row>
    <row r="32" spans="1:5" x14ac:dyDescent="0.25">
      <c r="A32" s="1">
        <v>45870.955324074072</v>
      </c>
      <c r="B32" t="s">
        <v>407</v>
      </c>
      <c r="C32" t="s">
        <v>420</v>
      </c>
      <c r="D32" t="s">
        <v>594</v>
      </c>
      <c r="E32">
        <v>28</v>
      </c>
    </row>
    <row r="33" spans="1:5" x14ac:dyDescent="0.25">
      <c r="A33" s="1">
        <v>45870.955324074072</v>
      </c>
      <c r="B33" t="s">
        <v>407</v>
      </c>
      <c r="C33" t="s">
        <v>451</v>
      </c>
      <c r="D33" t="s">
        <v>411</v>
      </c>
      <c r="E33">
        <v>27</v>
      </c>
    </row>
    <row r="34" spans="1:5" x14ac:dyDescent="0.25">
      <c r="A34" s="1">
        <v>45870.955324074072</v>
      </c>
      <c r="B34" t="s">
        <v>407</v>
      </c>
      <c r="C34" t="s">
        <v>482</v>
      </c>
      <c r="D34" t="s">
        <v>443</v>
      </c>
      <c r="E34">
        <v>25</v>
      </c>
    </row>
    <row r="35" spans="1:5" x14ac:dyDescent="0.25">
      <c r="A35" s="1">
        <v>45870.955324074072</v>
      </c>
      <c r="B35" t="s">
        <v>407</v>
      </c>
      <c r="C35" t="s">
        <v>473</v>
      </c>
      <c r="D35" t="s">
        <v>598</v>
      </c>
      <c r="E35">
        <v>20</v>
      </c>
    </row>
    <row r="36" spans="1:5" x14ac:dyDescent="0.25">
      <c r="A36" s="1">
        <v>45870.955324074072</v>
      </c>
      <c r="B36" t="s">
        <v>407</v>
      </c>
      <c r="C36" t="s">
        <v>494</v>
      </c>
      <c r="D36" t="s">
        <v>495</v>
      </c>
      <c r="E36">
        <v>25</v>
      </c>
    </row>
    <row r="37" spans="1:5" x14ac:dyDescent="0.25">
      <c r="A37" s="1">
        <v>45870.955324074072</v>
      </c>
      <c r="B37" t="s">
        <v>407</v>
      </c>
      <c r="C37" t="s">
        <v>534</v>
      </c>
      <c r="D37" t="s">
        <v>627</v>
      </c>
      <c r="E37">
        <v>41</v>
      </c>
    </row>
    <row r="38" spans="1:5" x14ac:dyDescent="0.25">
      <c r="A38" s="1">
        <v>45870.955324074072</v>
      </c>
      <c r="B38" t="s">
        <v>407</v>
      </c>
      <c r="C38" t="s">
        <v>628</v>
      </c>
      <c r="D38" t="s">
        <v>474</v>
      </c>
      <c r="E38">
        <v>36</v>
      </c>
    </row>
    <row r="39" spans="1:5" x14ac:dyDescent="0.25">
      <c r="A39" s="1">
        <v>45870.955324074072</v>
      </c>
      <c r="B39" t="s">
        <v>407</v>
      </c>
      <c r="C39" t="s">
        <v>489</v>
      </c>
      <c r="D39" t="s">
        <v>617</v>
      </c>
      <c r="E39">
        <v>18</v>
      </c>
    </row>
    <row r="40" spans="1:5" x14ac:dyDescent="0.25">
      <c r="A40" s="1">
        <v>45870.955324074072</v>
      </c>
      <c r="B40" t="s">
        <v>407</v>
      </c>
      <c r="C40" t="s">
        <v>461</v>
      </c>
      <c r="D40" t="s">
        <v>421</v>
      </c>
      <c r="E40">
        <v>22</v>
      </c>
    </row>
    <row r="41" spans="1:5" x14ac:dyDescent="0.25">
      <c r="A41" s="1">
        <v>45870.955324074072</v>
      </c>
      <c r="B41" t="s">
        <v>407</v>
      </c>
      <c r="C41" t="s">
        <v>478</v>
      </c>
      <c r="D41" t="s">
        <v>570</v>
      </c>
      <c r="E41">
        <v>36</v>
      </c>
    </row>
    <row r="42" spans="1:5" x14ac:dyDescent="0.25">
      <c r="A42" s="1">
        <v>45870.955324074072</v>
      </c>
      <c r="B42" t="s">
        <v>407</v>
      </c>
      <c r="C42" t="s">
        <v>532</v>
      </c>
      <c r="D42" t="s">
        <v>629</v>
      </c>
      <c r="E42">
        <v>40</v>
      </c>
    </row>
    <row r="43" spans="1:5" x14ac:dyDescent="0.25">
      <c r="A43" s="1">
        <v>45870.955324074072</v>
      </c>
      <c r="B43" t="s">
        <v>407</v>
      </c>
      <c r="C43" t="s">
        <v>431</v>
      </c>
      <c r="D43" t="s">
        <v>517</v>
      </c>
      <c r="E43">
        <v>41</v>
      </c>
    </row>
    <row r="44" spans="1:5" x14ac:dyDescent="0.25">
      <c r="A44" s="1">
        <v>45870.955324074072</v>
      </c>
      <c r="B44" t="s">
        <v>407</v>
      </c>
      <c r="C44" t="s">
        <v>466</v>
      </c>
      <c r="D44" t="s">
        <v>531</v>
      </c>
      <c r="E44">
        <v>52</v>
      </c>
    </row>
    <row r="45" spans="1:5" x14ac:dyDescent="0.25">
      <c r="A45" s="1">
        <v>45870.955324074072</v>
      </c>
      <c r="B45" t="s">
        <v>407</v>
      </c>
      <c r="C45" t="s">
        <v>427</v>
      </c>
      <c r="D45" t="s">
        <v>523</v>
      </c>
      <c r="E45">
        <v>36</v>
      </c>
    </row>
    <row r="46" spans="1:5" x14ac:dyDescent="0.25">
      <c r="A46" s="1">
        <v>45870.955324074072</v>
      </c>
      <c r="B46" t="s">
        <v>407</v>
      </c>
      <c r="C46" t="s">
        <v>464</v>
      </c>
      <c r="D46" t="s">
        <v>426</v>
      </c>
      <c r="E46">
        <v>46</v>
      </c>
    </row>
    <row r="47" spans="1:5" x14ac:dyDescent="0.25">
      <c r="A47" s="1">
        <v>45870.955324074072</v>
      </c>
      <c r="B47" t="s">
        <v>407</v>
      </c>
      <c r="C47" t="s">
        <v>438</v>
      </c>
      <c r="D47" t="s">
        <v>409</v>
      </c>
      <c r="E47">
        <v>39</v>
      </c>
    </row>
    <row r="48" spans="1:5" x14ac:dyDescent="0.25">
      <c r="A48" s="1">
        <v>45870.955324074072</v>
      </c>
      <c r="B48" t="s">
        <v>407</v>
      </c>
      <c r="C48" t="s">
        <v>447</v>
      </c>
      <c r="D48" t="s">
        <v>630</v>
      </c>
      <c r="E48">
        <v>30</v>
      </c>
    </row>
    <row r="49" spans="1:5" x14ac:dyDescent="0.25">
      <c r="A49" s="1">
        <v>45870.955324074072</v>
      </c>
      <c r="B49" t="s">
        <v>407</v>
      </c>
      <c r="C49" t="s">
        <v>449</v>
      </c>
      <c r="D49" t="s">
        <v>563</v>
      </c>
      <c r="E49">
        <v>36</v>
      </c>
    </row>
    <row r="50" spans="1:5" x14ac:dyDescent="0.25">
      <c r="A50" s="1">
        <v>45870.955324074072</v>
      </c>
      <c r="B50" t="s">
        <v>407</v>
      </c>
      <c r="C50" t="s">
        <v>636</v>
      </c>
      <c r="D50" t="s">
        <v>450</v>
      </c>
      <c r="E50">
        <v>28</v>
      </c>
    </row>
    <row r="51" spans="1:5" x14ac:dyDescent="0.25">
      <c r="A51" s="1">
        <v>45870.955324074072</v>
      </c>
      <c r="B51" t="s">
        <v>407</v>
      </c>
      <c r="C51" t="s">
        <v>530</v>
      </c>
      <c r="D51" t="s">
        <v>442</v>
      </c>
      <c r="E51">
        <v>27</v>
      </c>
    </row>
    <row r="52" spans="1:5" x14ac:dyDescent="0.25">
      <c r="A52" s="1">
        <v>45870.955324074072</v>
      </c>
      <c r="B52" t="s">
        <v>407</v>
      </c>
      <c r="C52" t="s">
        <v>471</v>
      </c>
      <c r="D52" t="s">
        <v>618</v>
      </c>
      <c r="E52">
        <v>15</v>
      </c>
    </row>
    <row r="53" spans="1:5" x14ac:dyDescent="0.25">
      <c r="A53" s="1">
        <v>45870.955324074072</v>
      </c>
      <c r="B53" t="s">
        <v>407</v>
      </c>
      <c r="C53" t="s">
        <v>437</v>
      </c>
      <c r="D53" t="s">
        <v>525</v>
      </c>
      <c r="E53">
        <v>31</v>
      </c>
    </row>
    <row r="54" spans="1:5" x14ac:dyDescent="0.25">
      <c r="A54" s="1">
        <v>45870.955324074072</v>
      </c>
      <c r="B54" t="s">
        <v>407</v>
      </c>
      <c r="C54" t="s">
        <v>462</v>
      </c>
      <c r="D54" t="s">
        <v>463</v>
      </c>
      <c r="E54">
        <v>35</v>
      </c>
    </row>
    <row r="55" spans="1:5" x14ac:dyDescent="0.25">
      <c r="A55" s="1">
        <v>45870.955324074072</v>
      </c>
      <c r="B55" t="s">
        <v>407</v>
      </c>
      <c r="C55" t="s">
        <v>507</v>
      </c>
      <c r="D55" t="s">
        <v>488</v>
      </c>
      <c r="E55">
        <v>35</v>
      </c>
    </row>
    <row r="56" spans="1:5" x14ac:dyDescent="0.25">
      <c r="A56" s="1">
        <v>45870.955324074072</v>
      </c>
      <c r="B56" t="s">
        <v>407</v>
      </c>
      <c r="C56" t="s">
        <v>414</v>
      </c>
      <c r="D56" t="s">
        <v>543</v>
      </c>
      <c r="E56">
        <v>38</v>
      </c>
    </row>
    <row r="57" spans="1:5" x14ac:dyDescent="0.25">
      <c r="A57" s="1">
        <v>45870.955324074072</v>
      </c>
      <c r="B57" t="s">
        <v>407</v>
      </c>
      <c r="C57" t="s">
        <v>429</v>
      </c>
      <c r="D57" t="s">
        <v>430</v>
      </c>
      <c r="E57">
        <v>33</v>
      </c>
    </row>
    <row r="58" spans="1:5" x14ac:dyDescent="0.25">
      <c r="A58" s="1">
        <v>45870.955324074072</v>
      </c>
      <c r="B58" t="s">
        <v>407</v>
      </c>
      <c r="C58" t="s">
        <v>501</v>
      </c>
      <c r="D58" t="s">
        <v>542</v>
      </c>
      <c r="E58">
        <v>27</v>
      </c>
    </row>
    <row r="59" spans="1:5" x14ac:dyDescent="0.25">
      <c r="A59" s="1">
        <v>45870.955324074072</v>
      </c>
      <c r="B59" t="s">
        <v>407</v>
      </c>
      <c r="C59" t="s">
        <v>536</v>
      </c>
      <c r="D59" t="s">
        <v>565</v>
      </c>
      <c r="E59">
        <v>30</v>
      </c>
    </row>
    <row r="60" spans="1:5" x14ac:dyDescent="0.25">
      <c r="A60" s="1">
        <v>45870.955324074072</v>
      </c>
      <c r="B60" t="s">
        <v>407</v>
      </c>
      <c r="C60" t="s">
        <v>441</v>
      </c>
      <c r="D60" t="s">
        <v>506</v>
      </c>
      <c r="E60">
        <v>39</v>
      </c>
    </row>
    <row r="61" spans="1:5" x14ac:dyDescent="0.25">
      <c r="A61" s="1">
        <v>45870.955324074072</v>
      </c>
      <c r="B61" t="s">
        <v>407</v>
      </c>
      <c r="C61" t="s">
        <v>416</v>
      </c>
      <c r="D61" t="s">
        <v>515</v>
      </c>
      <c r="E61">
        <v>22</v>
      </c>
    </row>
    <row r="62" spans="1:5" x14ac:dyDescent="0.25">
      <c r="A62" s="1">
        <v>45870.955324074072</v>
      </c>
      <c r="B62" t="s">
        <v>407</v>
      </c>
      <c r="C62" t="s">
        <v>526</v>
      </c>
      <c r="D62" t="s">
        <v>483</v>
      </c>
      <c r="E62">
        <v>20</v>
      </c>
    </row>
    <row r="63" spans="1:5" x14ac:dyDescent="0.25">
      <c r="A63" s="1">
        <v>45870.955324074072</v>
      </c>
      <c r="B63" t="s">
        <v>407</v>
      </c>
      <c r="C63" t="s">
        <v>513</v>
      </c>
      <c r="D63" t="s">
        <v>445</v>
      </c>
      <c r="E63">
        <v>25</v>
      </c>
    </row>
    <row r="64" spans="1:5" x14ac:dyDescent="0.25">
      <c r="A64" s="1">
        <v>45870.955324074072</v>
      </c>
      <c r="B64" t="s">
        <v>407</v>
      </c>
      <c r="C64" t="s">
        <v>475</v>
      </c>
      <c r="D64" t="s">
        <v>415</v>
      </c>
      <c r="E64">
        <v>21</v>
      </c>
    </row>
    <row r="65" spans="1:5" x14ac:dyDescent="0.25">
      <c r="A65" s="1">
        <v>45870.955324074072</v>
      </c>
      <c r="B65" t="s">
        <v>407</v>
      </c>
      <c r="C65" t="s">
        <v>614</v>
      </c>
      <c r="D65" t="s">
        <v>492</v>
      </c>
      <c r="E65">
        <v>24</v>
      </c>
    </row>
    <row r="66" spans="1:5" x14ac:dyDescent="0.25">
      <c r="A66" s="1">
        <v>45870.955324074072</v>
      </c>
      <c r="B66" t="s">
        <v>407</v>
      </c>
      <c r="C66" t="s">
        <v>491</v>
      </c>
      <c r="D66" t="s">
        <v>622</v>
      </c>
      <c r="E66">
        <v>50</v>
      </c>
    </row>
    <row r="67" spans="1:5" x14ac:dyDescent="0.25">
      <c r="A67" s="1">
        <v>45870.955324074072</v>
      </c>
      <c r="B67" t="s">
        <v>407</v>
      </c>
      <c r="C67" t="s">
        <v>423</v>
      </c>
      <c r="D67" t="s">
        <v>452</v>
      </c>
      <c r="E67">
        <v>21</v>
      </c>
    </row>
    <row r="68" spans="1:5" x14ac:dyDescent="0.25">
      <c r="A68" s="1">
        <v>45870.955324074072</v>
      </c>
      <c r="B68" t="s">
        <v>407</v>
      </c>
      <c r="C68" t="s">
        <v>444</v>
      </c>
      <c r="D68" t="s">
        <v>512</v>
      </c>
      <c r="E68">
        <v>11</v>
      </c>
    </row>
    <row r="69" spans="1:5" x14ac:dyDescent="0.25">
      <c r="A69" s="1">
        <v>45870.955324074072</v>
      </c>
      <c r="B69" t="s">
        <v>407</v>
      </c>
      <c r="C69" t="s">
        <v>521</v>
      </c>
      <c r="D69" t="s">
        <v>514</v>
      </c>
      <c r="E69">
        <v>25</v>
      </c>
    </row>
    <row r="70" spans="1:5" x14ac:dyDescent="0.25">
      <c r="A70" s="1">
        <v>45870.955324074072</v>
      </c>
      <c r="B70" t="s">
        <v>407</v>
      </c>
      <c r="C70" t="s">
        <v>486</v>
      </c>
      <c r="D70" t="s">
        <v>550</v>
      </c>
      <c r="E70">
        <v>39</v>
      </c>
    </row>
    <row r="71" spans="1:5" x14ac:dyDescent="0.25">
      <c r="A71" s="1">
        <v>45870.955324074072</v>
      </c>
      <c r="B71" t="s">
        <v>407</v>
      </c>
      <c r="C71" t="s">
        <v>518</v>
      </c>
      <c r="D71" t="s">
        <v>519</v>
      </c>
      <c r="E71">
        <v>23</v>
      </c>
    </row>
    <row r="72" spans="1:5" x14ac:dyDescent="0.25">
      <c r="A72" s="1">
        <v>45870.955324074072</v>
      </c>
      <c r="B72" t="s">
        <v>407</v>
      </c>
      <c r="C72" t="s">
        <v>418</v>
      </c>
      <c r="D72" t="s">
        <v>589</v>
      </c>
      <c r="E72">
        <v>30</v>
      </c>
    </row>
    <row r="73" spans="1:5" x14ac:dyDescent="0.25">
      <c r="A73" s="1">
        <v>45870.955324074072</v>
      </c>
      <c r="B73" t="s">
        <v>407</v>
      </c>
      <c r="C73" t="s">
        <v>499</v>
      </c>
      <c r="D73" t="s">
        <v>456</v>
      </c>
      <c r="E73">
        <v>29</v>
      </c>
    </row>
    <row r="74" spans="1:5" x14ac:dyDescent="0.25">
      <c r="A74" s="1">
        <v>45870.955324074072</v>
      </c>
      <c r="B74" t="s">
        <v>407</v>
      </c>
      <c r="C74" t="s">
        <v>433</v>
      </c>
      <c r="D74" t="s">
        <v>498</v>
      </c>
      <c r="E74">
        <v>25</v>
      </c>
    </row>
    <row r="75" spans="1:5" x14ac:dyDescent="0.25">
      <c r="A75" s="1">
        <v>45870.955324074072</v>
      </c>
      <c r="B75" t="s">
        <v>407</v>
      </c>
      <c r="C75" t="s">
        <v>490</v>
      </c>
      <c r="D75" t="s">
        <v>467</v>
      </c>
      <c r="E75">
        <v>26</v>
      </c>
    </row>
    <row r="76" spans="1:5" x14ac:dyDescent="0.25">
      <c r="A76" s="1">
        <v>45870.955324074072</v>
      </c>
      <c r="B76" t="s">
        <v>407</v>
      </c>
      <c r="C76" t="s">
        <v>524</v>
      </c>
      <c r="D76" t="s">
        <v>434</v>
      </c>
      <c r="E76">
        <v>14</v>
      </c>
    </row>
    <row r="77" spans="1:5" x14ac:dyDescent="0.25">
      <c r="A77" s="1">
        <v>45870.955324074072</v>
      </c>
      <c r="B77" t="s">
        <v>537</v>
      </c>
      <c r="C77">
        <v>59</v>
      </c>
      <c r="D77" t="s">
        <v>424</v>
      </c>
      <c r="E77">
        <v>90</v>
      </c>
    </row>
    <row r="78" spans="1:5" x14ac:dyDescent="0.25">
      <c r="A78" s="1">
        <v>45870.955324074072</v>
      </c>
      <c r="B78" t="s">
        <v>537</v>
      </c>
      <c r="C78">
        <v>60</v>
      </c>
      <c r="D78" t="s">
        <v>595</v>
      </c>
      <c r="E78">
        <v>88</v>
      </c>
    </row>
    <row r="79" spans="1:5" x14ac:dyDescent="0.25">
      <c r="A79" s="1">
        <v>45870.955324074072</v>
      </c>
      <c r="B79" t="s">
        <v>537</v>
      </c>
      <c r="C79">
        <v>61</v>
      </c>
      <c r="D79" t="s">
        <v>460</v>
      </c>
      <c r="E79">
        <v>89</v>
      </c>
    </row>
    <row r="80" spans="1:5" x14ac:dyDescent="0.25">
      <c r="A80" s="1">
        <v>45870.955324074072</v>
      </c>
      <c r="B80" t="s">
        <v>537</v>
      </c>
      <c r="C80">
        <v>62</v>
      </c>
      <c r="D80" t="s">
        <v>597</v>
      </c>
      <c r="E80">
        <v>69</v>
      </c>
    </row>
    <row r="81" spans="1:5" x14ac:dyDescent="0.25">
      <c r="A81" s="1">
        <v>45870.955324074072</v>
      </c>
      <c r="B81" t="s">
        <v>537</v>
      </c>
      <c r="C81">
        <v>63</v>
      </c>
      <c r="D81" t="s">
        <v>422</v>
      </c>
      <c r="E81">
        <v>105</v>
      </c>
    </row>
    <row r="82" spans="1:5" x14ac:dyDescent="0.25">
      <c r="A82" s="1">
        <v>45870.955324074072</v>
      </c>
      <c r="B82" t="s">
        <v>537</v>
      </c>
      <c r="C82">
        <v>64</v>
      </c>
      <c r="D82" t="s">
        <v>611</v>
      </c>
      <c r="E82">
        <v>66</v>
      </c>
    </row>
    <row r="83" spans="1:5" x14ac:dyDescent="0.25">
      <c r="A83" s="1">
        <v>45870.955324074072</v>
      </c>
      <c r="B83" t="s">
        <v>537</v>
      </c>
      <c r="C83">
        <v>65</v>
      </c>
      <c r="D83" t="s">
        <v>510</v>
      </c>
      <c r="E83">
        <v>107</v>
      </c>
    </row>
    <row r="84" spans="1:5" x14ac:dyDescent="0.25">
      <c r="A84" s="1">
        <v>45870.955324074072</v>
      </c>
      <c r="B84" t="s">
        <v>537</v>
      </c>
      <c r="C84">
        <v>66</v>
      </c>
      <c r="D84" t="s">
        <v>631</v>
      </c>
      <c r="E84">
        <v>56</v>
      </c>
    </row>
    <row r="85" spans="1:5" x14ac:dyDescent="0.25">
      <c r="A85" s="1">
        <v>45870.955324074072</v>
      </c>
      <c r="B85" t="s">
        <v>537</v>
      </c>
      <c r="C85">
        <v>67</v>
      </c>
      <c r="D85" t="s">
        <v>596</v>
      </c>
      <c r="E85">
        <v>57</v>
      </c>
    </row>
    <row r="86" spans="1:5" x14ac:dyDescent="0.25">
      <c r="A86" s="1">
        <v>45870.955324074072</v>
      </c>
      <c r="B86" t="s">
        <v>537</v>
      </c>
      <c r="C86">
        <v>68</v>
      </c>
      <c r="D86" t="s">
        <v>528</v>
      </c>
      <c r="E86">
        <v>93</v>
      </c>
    </row>
    <row r="87" spans="1:5" x14ac:dyDescent="0.25">
      <c r="A87" s="1">
        <v>45870.955324074072</v>
      </c>
      <c r="B87" t="s">
        <v>537</v>
      </c>
      <c r="C87">
        <v>69</v>
      </c>
      <c r="D87" t="s">
        <v>593</v>
      </c>
      <c r="E87">
        <v>92</v>
      </c>
    </row>
    <row r="88" spans="1:5" x14ac:dyDescent="0.25">
      <c r="A88" s="1">
        <v>45870.955324074072</v>
      </c>
      <c r="B88" t="s">
        <v>537</v>
      </c>
      <c r="C88">
        <v>70</v>
      </c>
      <c r="D88" t="s">
        <v>547</v>
      </c>
      <c r="E88">
        <v>86</v>
      </c>
    </row>
    <row r="89" spans="1:5" x14ac:dyDescent="0.25">
      <c r="A89" s="1">
        <v>45870.955324074072</v>
      </c>
      <c r="B89" t="s">
        <v>537</v>
      </c>
      <c r="C89">
        <v>71</v>
      </c>
      <c r="D89" t="s">
        <v>535</v>
      </c>
      <c r="E89">
        <v>10</v>
      </c>
    </row>
    <row r="90" spans="1:5" x14ac:dyDescent="0.25">
      <c r="A90" s="1">
        <v>45870.955324074072</v>
      </c>
      <c r="B90" t="s">
        <v>537</v>
      </c>
      <c r="C90">
        <v>71</v>
      </c>
      <c r="D90" t="s">
        <v>452</v>
      </c>
      <c r="E90">
        <v>35</v>
      </c>
    </row>
    <row r="91" spans="1:5" x14ac:dyDescent="0.25">
      <c r="A91" s="1">
        <v>45870.955324074072</v>
      </c>
      <c r="B91" t="s">
        <v>537</v>
      </c>
      <c r="C91">
        <v>72</v>
      </c>
      <c r="D91" t="s">
        <v>591</v>
      </c>
      <c r="E91">
        <v>65</v>
      </c>
    </row>
    <row r="92" spans="1:5" x14ac:dyDescent="0.25">
      <c r="A92" s="1">
        <v>45870.955324074072</v>
      </c>
      <c r="B92" t="s">
        <v>537</v>
      </c>
      <c r="C92" t="s">
        <v>562</v>
      </c>
      <c r="D92" t="s">
        <v>527</v>
      </c>
      <c r="E92">
        <v>71</v>
      </c>
    </row>
    <row r="93" spans="1:5" x14ac:dyDescent="0.25">
      <c r="A93" s="1">
        <v>45870.955324074072</v>
      </c>
      <c r="B93" t="s">
        <v>537</v>
      </c>
      <c r="C93" t="s">
        <v>569</v>
      </c>
      <c r="D93" t="s">
        <v>587</v>
      </c>
      <c r="E93">
        <v>68</v>
      </c>
    </row>
    <row r="94" spans="1:5" x14ac:dyDescent="0.25">
      <c r="A94" s="1">
        <v>45870.955324074072</v>
      </c>
      <c r="B94" t="s">
        <v>537</v>
      </c>
      <c r="C94" t="s">
        <v>551</v>
      </c>
      <c r="D94" t="s">
        <v>508</v>
      </c>
      <c r="E94">
        <v>17</v>
      </c>
    </row>
    <row r="95" spans="1:5" x14ac:dyDescent="0.25">
      <c r="A95" s="1">
        <v>45870.955324074072</v>
      </c>
      <c r="B95" t="s">
        <v>537</v>
      </c>
      <c r="C95" t="s">
        <v>551</v>
      </c>
      <c r="D95" t="s">
        <v>428</v>
      </c>
      <c r="E95">
        <v>11</v>
      </c>
    </row>
    <row r="96" spans="1:5" x14ac:dyDescent="0.25">
      <c r="A96" s="1">
        <v>45870.955324074072</v>
      </c>
      <c r="B96" t="s">
        <v>537</v>
      </c>
      <c r="C96" t="s">
        <v>556</v>
      </c>
      <c r="D96" t="s">
        <v>588</v>
      </c>
      <c r="E96">
        <v>74</v>
      </c>
    </row>
    <row r="97" spans="1:5" x14ac:dyDescent="0.25">
      <c r="A97" s="1">
        <v>45870.955324074072</v>
      </c>
      <c r="B97" t="s">
        <v>537</v>
      </c>
      <c r="C97" t="s">
        <v>584</v>
      </c>
      <c r="D97" t="s">
        <v>555</v>
      </c>
      <c r="E97">
        <v>38</v>
      </c>
    </row>
    <row r="98" spans="1:5" x14ac:dyDescent="0.25">
      <c r="A98" s="1">
        <v>45870.955324074072</v>
      </c>
      <c r="B98" t="s">
        <v>537</v>
      </c>
      <c r="C98" t="s">
        <v>571</v>
      </c>
      <c r="D98" t="s">
        <v>574</v>
      </c>
      <c r="E98">
        <v>64</v>
      </c>
    </row>
    <row r="99" spans="1:5" x14ac:dyDescent="0.25">
      <c r="A99" s="1">
        <v>45870.955324074072</v>
      </c>
      <c r="B99" t="s">
        <v>537</v>
      </c>
      <c r="C99" t="s">
        <v>558</v>
      </c>
      <c r="D99" t="s">
        <v>632</v>
      </c>
      <c r="E99">
        <v>66</v>
      </c>
    </row>
    <row r="100" spans="1:5" x14ac:dyDescent="0.25">
      <c r="A100" s="1">
        <v>45870.955324074072</v>
      </c>
      <c r="B100" t="s">
        <v>537</v>
      </c>
      <c r="C100" t="s">
        <v>554</v>
      </c>
      <c r="D100" t="s">
        <v>612</v>
      </c>
      <c r="E100">
        <v>86</v>
      </c>
    </row>
    <row r="101" spans="1:5" x14ac:dyDescent="0.25">
      <c r="A101" s="1">
        <v>45870.955324074072</v>
      </c>
      <c r="B101" t="s">
        <v>537</v>
      </c>
      <c r="C101" t="s">
        <v>573</v>
      </c>
      <c r="D101" t="s">
        <v>616</v>
      </c>
      <c r="E101">
        <v>81</v>
      </c>
    </row>
    <row r="102" spans="1:5" x14ac:dyDescent="0.25">
      <c r="A102" s="1">
        <v>45870.955324074072</v>
      </c>
      <c r="B102" t="s">
        <v>537</v>
      </c>
      <c r="C102" t="s">
        <v>564</v>
      </c>
      <c r="D102" t="s">
        <v>533</v>
      </c>
      <c r="E102">
        <v>82</v>
      </c>
    </row>
    <row r="103" spans="1:5" x14ac:dyDescent="0.25">
      <c r="A103" s="1">
        <v>45870.955324074072</v>
      </c>
      <c r="B103" t="s">
        <v>537</v>
      </c>
      <c r="C103" t="s">
        <v>582</v>
      </c>
      <c r="D103" t="s">
        <v>508</v>
      </c>
      <c r="E103">
        <v>75</v>
      </c>
    </row>
    <row r="104" spans="1:5" x14ac:dyDescent="0.25">
      <c r="A104" s="1">
        <v>45870.955324074072</v>
      </c>
      <c r="B104" t="s">
        <v>537</v>
      </c>
      <c r="C104" t="s">
        <v>566</v>
      </c>
      <c r="D104" t="s">
        <v>552</v>
      </c>
      <c r="E104">
        <v>77</v>
      </c>
    </row>
    <row r="105" spans="1:5" x14ac:dyDescent="0.25">
      <c r="A105" s="1">
        <v>45870.955324074072</v>
      </c>
      <c r="B105" t="s">
        <v>537</v>
      </c>
      <c r="C105" t="s">
        <v>575</v>
      </c>
      <c r="D105" t="s">
        <v>590</v>
      </c>
      <c r="E105">
        <v>43</v>
      </c>
    </row>
    <row r="106" spans="1:5" x14ac:dyDescent="0.25">
      <c r="A106" s="1">
        <v>45870.955324074072</v>
      </c>
      <c r="B106" t="s">
        <v>537</v>
      </c>
      <c r="C106" t="s">
        <v>579</v>
      </c>
      <c r="D106" t="s">
        <v>616</v>
      </c>
      <c r="E106">
        <v>13</v>
      </c>
    </row>
    <row r="107" spans="1:5" x14ac:dyDescent="0.25">
      <c r="A107" s="1">
        <v>45870.955324074072</v>
      </c>
      <c r="B107" t="s">
        <v>537</v>
      </c>
      <c r="C107" t="s">
        <v>579</v>
      </c>
      <c r="D107" t="s">
        <v>587</v>
      </c>
      <c r="E107">
        <v>11</v>
      </c>
    </row>
    <row r="108" spans="1:5" x14ac:dyDescent="0.25">
      <c r="A108" s="1">
        <v>45870.955324074072</v>
      </c>
      <c r="B108" t="s">
        <v>537</v>
      </c>
      <c r="C108" t="s">
        <v>560</v>
      </c>
      <c r="D108" t="s">
        <v>472</v>
      </c>
      <c r="E108">
        <v>52</v>
      </c>
    </row>
    <row r="109" spans="1:5" x14ac:dyDescent="0.25">
      <c r="A109" s="1">
        <v>45870.955324074072</v>
      </c>
      <c r="B109" t="s">
        <v>537</v>
      </c>
      <c r="C109" t="s">
        <v>568</v>
      </c>
      <c r="D109" t="s">
        <v>428</v>
      </c>
      <c r="E109">
        <v>65</v>
      </c>
    </row>
    <row r="110" spans="1:5" x14ac:dyDescent="0.25">
      <c r="A110" s="1">
        <v>45870.955324074072</v>
      </c>
      <c r="B110" t="s">
        <v>537</v>
      </c>
      <c r="C110" t="s">
        <v>585</v>
      </c>
      <c r="D110" t="s">
        <v>533</v>
      </c>
      <c r="E110">
        <v>13</v>
      </c>
    </row>
    <row r="111" spans="1:5" x14ac:dyDescent="0.25">
      <c r="A111" s="1">
        <v>45870.955324074072</v>
      </c>
      <c r="B111" t="s">
        <v>537</v>
      </c>
      <c r="C111" t="s">
        <v>585</v>
      </c>
      <c r="D111" t="s">
        <v>527</v>
      </c>
      <c r="E111">
        <v>14</v>
      </c>
    </row>
    <row r="112" spans="1:5" x14ac:dyDescent="0.25">
      <c r="A112" s="1">
        <v>45870.955324074072</v>
      </c>
      <c r="B112" t="s">
        <v>537</v>
      </c>
      <c r="C112" t="s">
        <v>577</v>
      </c>
      <c r="D112" t="s">
        <v>472</v>
      </c>
      <c r="E112">
        <v>5</v>
      </c>
    </row>
    <row r="113" spans="1:5" x14ac:dyDescent="0.25">
      <c r="A113" s="1">
        <v>45870.955324074072</v>
      </c>
      <c r="B113" t="s">
        <v>537</v>
      </c>
      <c r="C113" t="s">
        <v>577</v>
      </c>
      <c r="D113" t="s">
        <v>574</v>
      </c>
      <c r="E113">
        <v>24</v>
      </c>
    </row>
    <row r="114" spans="1:5" x14ac:dyDescent="0.25">
      <c r="A114" s="1">
        <v>45870.955324074072</v>
      </c>
      <c r="B114" t="s">
        <v>537</v>
      </c>
      <c r="C114" t="s">
        <v>578</v>
      </c>
      <c r="D114" t="s">
        <v>612</v>
      </c>
      <c r="E114">
        <v>21</v>
      </c>
    </row>
    <row r="115" spans="1:5" x14ac:dyDescent="0.25">
      <c r="A115" s="1">
        <v>45870.955324074072</v>
      </c>
      <c r="B115" t="s">
        <v>537</v>
      </c>
      <c r="C115" t="s">
        <v>578</v>
      </c>
      <c r="D115" t="s">
        <v>552</v>
      </c>
      <c r="E115">
        <v>10</v>
      </c>
    </row>
    <row r="116" spans="1:5" x14ac:dyDescent="0.25">
      <c r="A116" s="1">
        <v>45870.955324074072</v>
      </c>
      <c r="B116" t="s">
        <v>537</v>
      </c>
      <c r="C116" t="s">
        <v>580</v>
      </c>
      <c r="D116" t="s">
        <v>555</v>
      </c>
      <c r="E116">
        <v>10</v>
      </c>
    </row>
    <row r="117" spans="1:5" x14ac:dyDescent="0.25">
      <c r="A117" s="1">
        <v>45870.955324074072</v>
      </c>
      <c r="B117" t="s">
        <v>537</v>
      </c>
      <c r="C117" t="s">
        <v>580</v>
      </c>
      <c r="D117" t="s">
        <v>590</v>
      </c>
      <c r="E117">
        <v>11</v>
      </c>
    </row>
    <row r="118" spans="1:5" x14ac:dyDescent="0.25">
      <c r="A118" s="1">
        <v>45870.955324074072</v>
      </c>
      <c r="B118" t="s">
        <v>537</v>
      </c>
      <c r="C118" t="s">
        <v>583</v>
      </c>
      <c r="D118" t="s">
        <v>588</v>
      </c>
      <c r="E118">
        <v>7</v>
      </c>
    </row>
    <row r="119" spans="1:5" x14ac:dyDescent="0.25">
      <c r="A119" s="1">
        <v>45870.955324074072</v>
      </c>
      <c r="B119" t="s">
        <v>537</v>
      </c>
      <c r="C119" t="s">
        <v>583</v>
      </c>
      <c r="D119" t="s">
        <v>632</v>
      </c>
      <c r="E119">
        <v>6</v>
      </c>
    </row>
    <row r="120" spans="1:5" x14ac:dyDescent="0.25">
      <c r="A120" s="1">
        <v>45870.955324074072</v>
      </c>
      <c r="B120" t="s">
        <v>586</v>
      </c>
      <c r="C120">
        <v>10</v>
      </c>
      <c r="D120" t="s">
        <v>553</v>
      </c>
      <c r="E120">
        <v>184</v>
      </c>
    </row>
    <row r="121" spans="1:5" x14ac:dyDescent="0.25">
      <c r="A121" s="1">
        <v>45870.955324074072</v>
      </c>
      <c r="B121" t="s">
        <v>586</v>
      </c>
      <c r="C121">
        <v>12</v>
      </c>
      <c r="D121" t="s">
        <v>581</v>
      </c>
      <c r="E121">
        <v>182</v>
      </c>
    </row>
    <row r="122" spans="1:5" x14ac:dyDescent="0.25">
      <c r="A122" s="1">
        <v>45870.955324074072</v>
      </c>
      <c r="B122" t="s">
        <v>586</v>
      </c>
      <c r="C122">
        <v>14</v>
      </c>
      <c r="D122" t="s">
        <v>557</v>
      </c>
      <c r="E122">
        <v>186</v>
      </c>
    </row>
    <row r="123" spans="1:5" x14ac:dyDescent="0.25">
      <c r="A123" s="1">
        <v>45870.955324074072</v>
      </c>
      <c r="B123" t="s">
        <v>586</v>
      </c>
      <c r="C123">
        <v>16</v>
      </c>
      <c r="D123" t="s">
        <v>576</v>
      </c>
      <c r="E123">
        <v>134</v>
      </c>
    </row>
    <row r="124" spans="1:5" x14ac:dyDescent="0.25">
      <c r="A124" s="1">
        <v>45870.955324074072</v>
      </c>
      <c r="B124" t="s">
        <v>586</v>
      </c>
      <c r="C124">
        <v>18</v>
      </c>
      <c r="D124" t="s">
        <v>572</v>
      </c>
      <c r="E124">
        <v>203</v>
      </c>
    </row>
    <row r="125" spans="1:5" x14ac:dyDescent="0.25">
      <c r="A125" s="1">
        <v>45870.955324074072</v>
      </c>
      <c r="B125" t="s">
        <v>586</v>
      </c>
      <c r="C125">
        <v>59</v>
      </c>
      <c r="D125" t="s">
        <v>476</v>
      </c>
      <c r="E125">
        <v>90</v>
      </c>
    </row>
    <row r="126" spans="1:5" x14ac:dyDescent="0.25">
      <c r="A126" s="1">
        <v>45870.955324074072</v>
      </c>
      <c r="B126" t="s">
        <v>586</v>
      </c>
      <c r="C126">
        <v>60</v>
      </c>
      <c r="D126" t="s">
        <v>476</v>
      </c>
      <c r="E126">
        <v>88</v>
      </c>
    </row>
    <row r="127" spans="1:5" x14ac:dyDescent="0.25">
      <c r="A127" s="1">
        <v>45870.955324074072</v>
      </c>
      <c r="B127" t="s">
        <v>586</v>
      </c>
      <c r="C127">
        <v>61</v>
      </c>
      <c r="D127" t="s">
        <v>413</v>
      </c>
      <c r="E127">
        <v>85</v>
      </c>
    </row>
    <row r="128" spans="1:5" x14ac:dyDescent="0.25">
      <c r="A128" s="1">
        <v>45870.955324074072</v>
      </c>
      <c r="B128" t="s">
        <v>586</v>
      </c>
      <c r="C128">
        <v>62</v>
      </c>
      <c r="D128" t="s">
        <v>413</v>
      </c>
      <c r="E128">
        <v>67</v>
      </c>
    </row>
    <row r="129" spans="1:5" x14ac:dyDescent="0.25">
      <c r="A129" s="1">
        <v>45870.955324074072</v>
      </c>
      <c r="B129" t="s">
        <v>586</v>
      </c>
      <c r="C129">
        <v>63</v>
      </c>
      <c r="D129" t="s">
        <v>485</v>
      </c>
      <c r="E129">
        <v>96</v>
      </c>
    </row>
    <row r="130" spans="1:5" x14ac:dyDescent="0.25">
      <c r="A130" s="1">
        <v>45870.955324074072</v>
      </c>
      <c r="B130" t="s">
        <v>586</v>
      </c>
      <c r="C130">
        <v>64</v>
      </c>
      <c r="D130" t="s">
        <v>485</v>
      </c>
      <c r="E130">
        <v>70</v>
      </c>
    </row>
    <row r="131" spans="1:5" x14ac:dyDescent="0.25">
      <c r="A131" s="1">
        <v>45870.955324074072</v>
      </c>
      <c r="B131" t="s">
        <v>586</v>
      </c>
      <c r="C131">
        <v>65</v>
      </c>
      <c r="D131" t="s">
        <v>609</v>
      </c>
      <c r="E131">
        <v>93</v>
      </c>
    </row>
    <row r="132" spans="1:5" x14ac:dyDescent="0.25">
      <c r="A132" s="1">
        <v>45870.955324074072</v>
      </c>
      <c r="B132" t="s">
        <v>586</v>
      </c>
      <c r="C132">
        <v>66</v>
      </c>
      <c r="D132" t="s">
        <v>609</v>
      </c>
      <c r="E132">
        <v>56</v>
      </c>
    </row>
    <row r="133" spans="1:5" x14ac:dyDescent="0.25">
      <c r="A133" s="1">
        <v>45870.955324074072</v>
      </c>
      <c r="B133" t="s">
        <v>586</v>
      </c>
      <c r="C133">
        <v>67</v>
      </c>
      <c r="D133" t="s">
        <v>538</v>
      </c>
      <c r="E133">
        <v>61</v>
      </c>
    </row>
    <row r="134" spans="1:5" x14ac:dyDescent="0.25">
      <c r="A134" s="1">
        <v>45870.955324074072</v>
      </c>
      <c r="B134" t="s">
        <v>586</v>
      </c>
      <c r="C134">
        <v>68</v>
      </c>
      <c r="D134" t="s">
        <v>538</v>
      </c>
      <c r="E134">
        <v>101</v>
      </c>
    </row>
    <row r="135" spans="1:5" x14ac:dyDescent="0.25">
      <c r="A135" s="1">
        <v>45870.955324074072</v>
      </c>
      <c r="B135" t="s">
        <v>586</v>
      </c>
      <c r="C135">
        <v>69</v>
      </c>
      <c r="D135" t="s">
        <v>477</v>
      </c>
      <c r="E135">
        <v>94</v>
      </c>
    </row>
    <row r="136" spans="1:5" x14ac:dyDescent="0.25">
      <c r="A136" s="1">
        <v>45870.955324074072</v>
      </c>
      <c r="B136" t="s">
        <v>586</v>
      </c>
      <c r="C136">
        <v>70</v>
      </c>
      <c r="D136" t="s">
        <v>477</v>
      </c>
      <c r="E136">
        <v>88</v>
      </c>
    </row>
    <row r="137" spans="1:5" x14ac:dyDescent="0.25">
      <c r="A137" s="1">
        <v>45870.955324074072</v>
      </c>
      <c r="B137" t="s">
        <v>586</v>
      </c>
      <c r="C137">
        <v>71</v>
      </c>
      <c r="D137" t="s">
        <v>541</v>
      </c>
      <c r="E137">
        <v>57</v>
      </c>
    </row>
    <row r="138" spans="1:5" x14ac:dyDescent="0.25">
      <c r="A138" s="1">
        <v>45870.955324074072</v>
      </c>
      <c r="B138" t="s">
        <v>586</v>
      </c>
      <c r="C138">
        <v>72</v>
      </c>
      <c r="D138" t="s">
        <v>541</v>
      </c>
      <c r="E138">
        <v>80</v>
      </c>
    </row>
    <row r="139" spans="1:5" x14ac:dyDescent="0.25">
      <c r="A139" s="1">
        <v>45870.955324074072</v>
      </c>
      <c r="B139" t="s">
        <v>586</v>
      </c>
      <c r="C139">
        <v>8</v>
      </c>
      <c r="D139" t="s">
        <v>561</v>
      </c>
      <c r="E139">
        <v>162</v>
      </c>
    </row>
    <row r="140" spans="1:5" x14ac:dyDescent="0.25">
      <c r="A140" s="1">
        <v>45870.955324074072</v>
      </c>
      <c r="B140" t="s">
        <v>586</v>
      </c>
      <c r="C140">
        <v>6</v>
      </c>
      <c r="D140" t="s">
        <v>559</v>
      </c>
      <c r="E140">
        <v>170</v>
      </c>
    </row>
    <row r="141" spans="1:5" x14ac:dyDescent="0.25">
      <c r="A141" s="1"/>
    </row>
    <row r="142" spans="1:5" x14ac:dyDescent="0.25">
      <c r="A142" s="1"/>
    </row>
    <row r="143" spans="1:5" x14ac:dyDescent="0.25">
      <c r="A143" s="1"/>
    </row>
    <row r="144" spans="1:5"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32293-F324-4E55-A6B3-230D0A3CB331}">
  <sheetPr codeName="Sheet4"/>
  <dimension ref="A1:AP21"/>
  <sheetViews>
    <sheetView workbookViewId="0"/>
  </sheetViews>
  <sheetFormatPr defaultRowHeight="15" x14ac:dyDescent="0.25"/>
  <cols>
    <col min="1" max="1" width="13.85546875" bestFit="1" customWidth="1"/>
    <col min="2" max="2" width="5" bestFit="1" customWidth="1"/>
    <col min="3" max="3" width="26.5703125" bestFit="1" customWidth="1"/>
    <col min="4" max="4" width="25.140625" bestFit="1" customWidth="1"/>
    <col min="5" max="5" width="24.5703125" bestFit="1" customWidth="1"/>
    <col min="6" max="6" width="23.5703125" bestFit="1" customWidth="1"/>
    <col min="7" max="7" width="29.28515625" bestFit="1" customWidth="1"/>
    <col min="8" max="8" width="27.85546875" bestFit="1" customWidth="1"/>
    <col min="9" max="9" width="25.28515625" bestFit="1" customWidth="1"/>
    <col min="10" max="10" width="24" bestFit="1" customWidth="1"/>
    <col min="11" max="11" width="23.42578125" bestFit="1" customWidth="1"/>
    <col min="12" max="12" width="22.42578125" bestFit="1" customWidth="1"/>
    <col min="13" max="13" width="28.140625" bestFit="1" customWidth="1"/>
    <col min="14" max="14" width="26.7109375" bestFit="1" customWidth="1"/>
    <col min="15" max="15" width="33.85546875" bestFit="1" customWidth="1"/>
    <col min="16" max="16" width="26.85546875" bestFit="1" customWidth="1"/>
    <col min="17" max="17" width="27.42578125" bestFit="1" customWidth="1"/>
    <col min="18" max="18" width="27.140625" bestFit="1" customWidth="1"/>
    <col min="19" max="19" width="31.85546875" bestFit="1" customWidth="1"/>
    <col min="20" max="20" width="28.5703125" bestFit="1" customWidth="1"/>
    <col min="21" max="21" width="30.42578125" bestFit="1" customWidth="1"/>
    <col min="22" max="22" width="88.7109375" bestFit="1" customWidth="1"/>
    <col min="23" max="23" width="22.42578125" bestFit="1" customWidth="1"/>
    <col min="24" max="24" width="21" bestFit="1" customWidth="1"/>
    <col min="25" max="25" width="20.42578125" bestFit="1" customWidth="1"/>
    <col min="26" max="26" width="19.42578125" bestFit="1" customWidth="1"/>
    <col min="27" max="27" width="25.140625" bestFit="1" customWidth="1"/>
    <col min="28" max="28" width="23.7109375" bestFit="1" customWidth="1"/>
    <col min="29" max="29" width="21.140625" bestFit="1" customWidth="1"/>
    <col min="30" max="30" width="19.85546875" bestFit="1" customWidth="1"/>
    <col min="31" max="31" width="19.28515625" bestFit="1" customWidth="1"/>
    <col min="32" max="32" width="18.28515625" bestFit="1" customWidth="1"/>
    <col min="33" max="33" width="24" bestFit="1" customWidth="1"/>
    <col min="34" max="34" width="22.5703125" bestFit="1" customWidth="1"/>
    <col min="35" max="35" width="29.7109375" bestFit="1" customWidth="1"/>
    <col min="36" max="36" width="22.7109375" bestFit="1" customWidth="1"/>
    <col min="37" max="37" width="23.28515625" bestFit="1" customWidth="1"/>
    <col min="38" max="38" width="23" bestFit="1" customWidth="1"/>
    <col min="39" max="39" width="27.7109375" bestFit="1" customWidth="1"/>
    <col min="40" max="40" width="24.42578125" bestFit="1" customWidth="1"/>
    <col min="41" max="41" width="26.28515625" bestFit="1" customWidth="1"/>
    <col min="42" max="42" width="88.7109375" bestFit="1" customWidth="1"/>
  </cols>
  <sheetData>
    <row r="1" spans="1:42" x14ac:dyDescent="0.25">
      <c r="A1" t="s">
        <v>342</v>
      </c>
      <c r="B1" t="s">
        <v>343</v>
      </c>
      <c r="C1" t="s">
        <v>344</v>
      </c>
      <c r="D1" t="s">
        <v>345</v>
      </c>
      <c r="E1" t="s">
        <v>346</v>
      </c>
      <c r="F1" t="s">
        <v>347</v>
      </c>
      <c r="G1" t="s">
        <v>348</v>
      </c>
      <c r="H1" t="s">
        <v>349</v>
      </c>
      <c r="I1" t="s">
        <v>350</v>
      </c>
      <c r="J1" t="s">
        <v>351</v>
      </c>
      <c r="K1" t="s">
        <v>352</v>
      </c>
      <c r="L1" t="s">
        <v>353</v>
      </c>
      <c r="M1" t="s">
        <v>354</v>
      </c>
      <c r="N1" t="s">
        <v>355</v>
      </c>
      <c r="O1" t="s">
        <v>356</v>
      </c>
      <c r="P1" t="s">
        <v>357</v>
      </c>
      <c r="Q1" t="s">
        <v>358</v>
      </c>
      <c r="R1" t="s">
        <v>359</v>
      </c>
      <c r="S1" t="s">
        <v>360</v>
      </c>
      <c r="T1" t="s">
        <v>361</v>
      </c>
      <c r="U1" t="s">
        <v>362</v>
      </c>
      <c r="V1" t="s">
        <v>363</v>
      </c>
      <c r="W1" t="s">
        <v>364</v>
      </c>
      <c r="X1" t="s">
        <v>365</v>
      </c>
      <c r="Y1" t="s">
        <v>366</v>
      </c>
      <c r="Z1" t="s">
        <v>367</v>
      </c>
      <c r="AA1" t="s">
        <v>368</v>
      </c>
      <c r="AB1" t="s">
        <v>369</v>
      </c>
      <c r="AC1" t="s">
        <v>370</v>
      </c>
      <c r="AD1" t="s">
        <v>371</v>
      </c>
      <c r="AE1" t="s">
        <v>372</v>
      </c>
      <c r="AF1" t="s">
        <v>373</v>
      </c>
      <c r="AG1" t="s">
        <v>374</v>
      </c>
      <c r="AH1" t="s">
        <v>375</v>
      </c>
      <c r="AI1" t="s">
        <v>376</v>
      </c>
      <c r="AJ1" t="s">
        <v>377</v>
      </c>
      <c r="AK1" t="s">
        <v>378</v>
      </c>
      <c r="AL1" t="s">
        <v>379</v>
      </c>
      <c r="AM1" t="s">
        <v>380</v>
      </c>
      <c r="AN1" t="s">
        <v>381</v>
      </c>
      <c r="AO1" t="s">
        <v>382</v>
      </c>
      <c r="AP1" t="s">
        <v>383</v>
      </c>
    </row>
    <row r="2" spans="1:42" x14ac:dyDescent="0.25">
      <c r="A2" s="1">
        <v>45870.955324074072</v>
      </c>
      <c r="B2">
        <v>22</v>
      </c>
      <c r="C2">
        <v>178</v>
      </c>
      <c r="D2">
        <v>0</v>
      </c>
      <c r="E2">
        <v>0</v>
      </c>
      <c r="F2">
        <v>6</v>
      </c>
      <c r="G2">
        <v>0</v>
      </c>
      <c r="H2">
        <v>0</v>
      </c>
      <c r="I2">
        <v>178</v>
      </c>
      <c r="J2">
        <v>0</v>
      </c>
      <c r="K2">
        <v>0</v>
      </c>
      <c r="L2">
        <v>6</v>
      </c>
      <c r="M2">
        <v>0</v>
      </c>
      <c r="N2">
        <v>0</v>
      </c>
      <c r="O2" t="b">
        <v>1</v>
      </c>
      <c r="P2">
        <v>0</v>
      </c>
      <c r="Q2">
        <v>0</v>
      </c>
      <c r="R2">
        <v>0</v>
      </c>
      <c r="S2">
        <v>0</v>
      </c>
      <c r="T2">
        <v>0</v>
      </c>
      <c r="U2">
        <v>7</v>
      </c>
      <c r="V2" t="s">
        <v>384</v>
      </c>
    </row>
    <row r="3" spans="1:42" x14ac:dyDescent="0.25">
      <c r="A3" s="1">
        <v>45870.955324074072</v>
      </c>
      <c r="B3">
        <v>10</v>
      </c>
      <c r="C3">
        <v>176</v>
      </c>
      <c r="D3">
        <v>116</v>
      </c>
      <c r="E3">
        <v>19</v>
      </c>
      <c r="F3">
        <v>6</v>
      </c>
      <c r="G3">
        <v>0</v>
      </c>
      <c r="H3">
        <v>0</v>
      </c>
      <c r="I3">
        <v>178</v>
      </c>
      <c r="J3">
        <v>0</v>
      </c>
      <c r="K3">
        <v>37</v>
      </c>
      <c r="L3">
        <v>6</v>
      </c>
      <c r="M3">
        <v>0</v>
      </c>
      <c r="N3">
        <v>0</v>
      </c>
      <c r="O3" t="b">
        <v>1</v>
      </c>
      <c r="P3">
        <v>0</v>
      </c>
      <c r="Q3">
        <v>0</v>
      </c>
      <c r="R3">
        <v>7</v>
      </c>
      <c r="S3">
        <v>0</v>
      </c>
      <c r="T3">
        <v>0</v>
      </c>
      <c r="U3">
        <v>0</v>
      </c>
      <c r="V3" t="s">
        <v>385</v>
      </c>
      <c r="W3">
        <v>2</v>
      </c>
      <c r="X3">
        <v>1</v>
      </c>
      <c r="Y3">
        <v>1</v>
      </c>
      <c r="Z3">
        <v>0</v>
      </c>
      <c r="AA3">
        <v>0</v>
      </c>
      <c r="AB3">
        <v>0</v>
      </c>
      <c r="AC3">
        <v>0</v>
      </c>
      <c r="AD3">
        <v>0</v>
      </c>
      <c r="AE3">
        <v>0</v>
      </c>
      <c r="AF3">
        <v>0</v>
      </c>
      <c r="AG3">
        <v>0</v>
      </c>
      <c r="AH3">
        <v>0</v>
      </c>
      <c r="AI3" t="b">
        <v>1</v>
      </c>
      <c r="AJ3">
        <v>0</v>
      </c>
      <c r="AK3">
        <v>0</v>
      </c>
      <c r="AL3">
        <v>7</v>
      </c>
      <c r="AM3">
        <v>0</v>
      </c>
      <c r="AN3">
        <v>0</v>
      </c>
      <c r="AO3">
        <v>0</v>
      </c>
      <c r="AP3" t="s">
        <v>385</v>
      </c>
    </row>
    <row r="4" spans="1:42" x14ac:dyDescent="0.25">
      <c r="A4" s="1">
        <v>45870.955324074072</v>
      </c>
      <c r="B4">
        <v>7</v>
      </c>
      <c r="C4">
        <v>178</v>
      </c>
      <c r="D4">
        <v>0</v>
      </c>
      <c r="E4">
        <v>0</v>
      </c>
      <c r="F4">
        <v>6</v>
      </c>
      <c r="G4">
        <v>0</v>
      </c>
      <c r="H4">
        <v>0</v>
      </c>
      <c r="I4">
        <v>178</v>
      </c>
      <c r="J4">
        <v>0</v>
      </c>
      <c r="K4">
        <v>1</v>
      </c>
      <c r="L4">
        <v>6</v>
      </c>
      <c r="M4">
        <v>0</v>
      </c>
      <c r="N4">
        <v>0</v>
      </c>
      <c r="O4" t="b">
        <v>1</v>
      </c>
      <c r="P4">
        <v>0</v>
      </c>
      <c r="Q4">
        <v>0</v>
      </c>
      <c r="R4">
        <v>0</v>
      </c>
      <c r="S4">
        <v>0</v>
      </c>
      <c r="T4">
        <v>0</v>
      </c>
      <c r="U4">
        <v>7</v>
      </c>
      <c r="V4" t="s">
        <v>386</v>
      </c>
    </row>
    <row r="5" spans="1:42" x14ac:dyDescent="0.25">
      <c r="A5" s="1">
        <v>45870.955324074072</v>
      </c>
      <c r="B5">
        <v>8</v>
      </c>
      <c r="C5">
        <v>178</v>
      </c>
      <c r="D5">
        <v>116</v>
      </c>
      <c r="E5">
        <v>15</v>
      </c>
      <c r="F5">
        <v>6</v>
      </c>
      <c r="G5">
        <v>0</v>
      </c>
      <c r="H5">
        <v>0</v>
      </c>
      <c r="I5">
        <v>178</v>
      </c>
      <c r="J5">
        <v>0</v>
      </c>
      <c r="K5">
        <v>39</v>
      </c>
      <c r="L5">
        <v>6</v>
      </c>
      <c r="M5">
        <v>0</v>
      </c>
      <c r="N5">
        <v>0</v>
      </c>
      <c r="O5" t="b">
        <v>1</v>
      </c>
      <c r="P5">
        <v>0</v>
      </c>
      <c r="Q5">
        <v>0</v>
      </c>
      <c r="R5">
        <v>5</v>
      </c>
      <c r="S5">
        <v>0</v>
      </c>
      <c r="T5">
        <v>0</v>
      </c>
      <c r="U5">
        <v>2</v>
      </c>
      <c r="V5" t="s">
        <v>387</v>
      </c>
    </row>
    <row r="6" spans="1:42" x14ac:dyDescent="0.25">
      <c r="A6" s="1">
        <v>45870.955324074072</v>
      </c>
      <c r="B6">
        <v>11</v>
      </c>
      <c r="C6">
        <v>178</v>
      </c>
      <c r="D6">
        <v>0</v>
      </c>
      <c r="E6">
        <v>0</v>
      </c>
      <c r="F6">
        <v>6</v>
      </c>
      <c r="G6">
        <v>0</v>
      </c>
      <c r="H6">
        <v>0</v>
      </c>
      <c r="I6">
        <v>178</v>
      </c>
      <c r="J6">
        <v>0</v>
      </c>
      <c r="K6">
        <v>0</v>
      </c>
      <c r="L6">
        <v>6</v>
      </c>
      <c r="M6">
        <v>0</v>
      </c>
      <c r="N6">
        <v>0</v>
      </c>
      <c r="O6" t="b">
        <v>1</v>
      </c>
      <c r="P6">
        <v>0</v>
      </c>
      <c r="Q6">
        <v>0</v>
      </c>
      <c r="R6">
        <v>0</v>
      </c>
      <c r="S6">
        <v>0</v>
      </c>
      <c r="T6">
        <v>0</v>
      </c>
      <c r="U6">
        <v>7</v>
      </c>
      <c r="V6" t="s">
        <v>388</v>
      </c>
    </row>
    <row r="7" spans="1:42" x14ac:dyDescent="0.25">
      <c r="A7" s="1">
        <v>45870.955324074072</v>
      </c>
      <c r="B7">
        <v>6</v>
      </c>
      <c r="C7">
        <v>176</v>
      </c>
      <c r="D7">
        <v>116</v>
      </c>
      <c r="E7">
        <v>14</v>
      </c>
      <c r="F7">
        <v>6</v>
      </c>
      <c r="G7">
        <v>0</v>
      </c>
      <c r="H7">
        <v>0</v>
      </c>
      <c r="I7">
        <v>178</v>
      </c>
      <c r="J7">
        <v>0</v>
      </c>
      <c r="K7">
        <v>66</v>
      </c>
      <c r="L7">
        <v>6</v>
      </c>
      <c r="M7">
        <v>0</v>
      </c>
      <c r="N7">
        <v>0</v>
      </c>
      <c r="O7" t="b">
        <v>1</v>
      </c>
      <c r="P7">
        <v>0</v>
      </c>
      <c r="Q7">
        <v>0</v>
      </c>
      <c r="R7">
        <v>5</v>
      </c>
      <c r="S7">
        <v>0</v>
      </c>
      <c r="T7">
        <v>0</v>
      </c>
      <c r="U7">
        <v>2</v>
      </c>
      <c r="V7" t="s">
        <v>389</v>
      </c>
      <c r="W7">
        <v>2</v>
      </c>
      <c r="X7">
        <v>1</v>
      </c>
      <c r="Y7">
        <v>1</v>
      </c>
      <c r="Z7">
        <v>0</v>
      </c>
      <c r="AA7">
        <v>0</v>
      </c>
      <c r="AB7">
        <v>0</v>
      </c>
      <c r="AC7">
        <v>0</v>
      </c>
      <c r="AD7">
        <v>0</v>
      </c>
      <c r="AE7">
        <v>0</v>
      </c>
      <c r="AF7">
        <v>0</v>
      </c>
      <c r="AG7">
        <v>0</v>
      </c>
      <c r="AH7">
        <v>0</v>
      </c>
      <c r="AI7" t="b">
        <v>1</v>
      </c>
      <c r="AJ7">
        <v>0</v>
      </c>
      <c r="AK7">
        <v>0</v>
      </c>
      <c r="AL7">
        <v>5</v>
      </c>
      <c r="AM7">
        <v>0</v>
      </c>
      <c r="AN7">
        <v>0</v>
      </c>
      <c r="AO7">
        <v>2</v>
      </c>
      <c r="AP7" t="s">
        <v>389</v>
      </c>
    </row>
    <row r="8" spans="1:42" x14ac:dyDescent="0.25">
      <c r="A8" s="1">
        <v>45870.955324074072</v>
      </c>
      <c r="B8">
        <v>14</v>
      </c>
      <c r="C8">
        <v>174</v>
      </c>
      <c r="D8">
        <v>122</v>
      </c>
      <c r="E8">
        <v>25</v>
      </c>
      <c r="F8">
        <v>6</v>
      </c>
      <c r="G8">
        <v>0</v>
      </c>
      <c r="H8">
        <v>0</v>
      </c>
      <c r="I8">
        <v>178</v>
      </c>
      <c r="J8">
        <v>0</v>
      </c>
      <c r="K8">
        <v>88</v>
      </c>
      <c r="L8">
        <v>6</v>
      </c>
      <c r="M8">
        <v>0</v>
      </c>
      <c r="N8">
        <v>0</v>
      </c>
      <c r="O8" t="b">
        <v>1</v>
      </c>
      <c r="P8">
        <v>0</v>
      </c>
      <c r="Q8">
        <v>0</v>
      </c>
      <c r="R8">
        <v>3</v>
      </c>
      <c r="S8">
        <v>0</v>
      </c>
      <c r="T8">
        <v>0</v>
      </c>
      <c r="U8">
        <v>4</v>
      </c>
      <c r="V8" t="s">
        <v>390</v>
      </c>
      <c r="W8">
        <v>4</v>
      </c>
      <c r="X8">
        <v>4</v>
      </c>
      <c r="Y8">
        <v>0</v>
      </c>
      <c r="Z8">
        <v>0</v>
      </c>
      <c r="AA8">
        <v>0</v>
      </c>
      <c r="AB8">
        <v>0</v>
      </c>
      <c r="AC8">
        <v>0</v>
      </c>
      <c r="AD8">
        <v>0</v>
      </c>
      <c r="AE8">
        <v>0</v>
      </c>
      <c r="AF8">
        <v>0</v>
      </c>
      <c r="AG8">
        <v>0</v>
      </c>
      <c r="AH8">
        <v>0</v>
      </c>
      <c r="AI8" t="b">
        <v>1</v>
      </c>
      <c r="AJ8">
        <v>0</v>
      </c>
      <c r="AK8">
        <v>0</v>
      </c>
      <c r="AL8">
        <v>3</v>
      </c>
      <c r="AM8">
        <v>0</v>
      </c>
      <c r="AN8">
        <v>0</v>
      </c>
      <c r="AO8">
        <v>4</v>
      </c>
      <c r="AP8" t="s">
        <v>390</v>
      </c>
    </row>
    <row r="9" spans="1:42" x14ac:dyDescent="0.25">
      <c r="A9" s="1">
        <v>45870.955324074072</v>
      </c>
      <c r="B9">
        <v>23</v>
      </c>
      <c r="C9">
        <v>178</v>
      </c>
      <c r="D9">
        <v>0</v>
      </c>
      <c r="E9">
        <v>0</v>
      </c>
      <c r="F9">
        <v>6</v>
      </c>
      <c r="G9">
        <v>0</v>
      </c>
      <c r="H9">
        <v>0</v>
      </c>
      <c r="I9">
        <v>178</v>
      </c>
      <c r="J9">
        <v>0</v>
      </c>
      <c r="K9">
        <v>0</v>
      </c>
      <c r="L9">
        <v>6</v>
      </c>
      <c r="M9">
        <v>0</v>
      </c>
      <c r="N9">
        <v>0</v>
      </c>
      <c r="O9" t="b">
        <v>1</v>
      </c>
      <c r="P9">
        <v>0</v>
      </c>
      <c r="Q9">
        <v>0</v>
      </c>
      <c r="R9">
        <v>0</v>
      </c>
      <c r="S9">
        <v>0</v>
      </c>
      <c r="T9">
        <v>0</v>
      </c>
      <c r="U9">
        <v>7</v>
      </c>
      <c r="V9" t="s">
        <v>391</v>
      </c>
    </row>
    <row r="10" spans="1:42" x14ac:dyDescent="0.25">
      <c r="A10" s="1">
        <v>45870.955324074072</v>
      </c>
      <c r="B10">
        <v>17</v>
      </c>
      <c r="C10">
        <v>178</v>
      </c>
      <c r="D10">
        <v>0</v>
      </c>
      <c r="E10">
        <v>0</v>
      </c>
      <c r="F10">
        <v>6</v>
      </c>
      <c r="G10">
        <v>0</v>
      </c>
      <c r="H10">
        <v>0</v>
      </c>
      <c r="I10">
        <v>178</v>
      </c>
      <c r="J10">
        <v>0</v>
      </c>
      <c r="K10">
        <v>0</v>
      </c>
      <c r="L10">
        <v>6</v>
      </c>
      <c r="M10">
        <v>0</v>
      </c>
      <c r="N10">
        <v>0</v>
      </c>
      <c r="O10" t="b">
        <v>1</v>
      </c>
      <c r="P10">
        <v>0</v>
      </c>
      <c r="Q10">
        <v>0</v>
      </c>
      <c r="R10">
        <v>0</v>
      </c>
      <c r="S10">
        <v>0</v>
      </c>
      <c r="T10">
        <v>0</v>
      </c>
      <c r="U10">
        <v>7</v>
      </c>
      <c r="V10" t="s">
        <v>392</v>
      </c>
    </row>
    <row r="11" spans="1:42" x14ac:dyDescent="0.25">
      <c r="A11" s="1">
        <v>45870.955324074072</v>
      </c>
      <c r="B11">
        <v>9</v>
      </c>
      <c r="C11">
        <v>178</v>
      </c>
      <c r="D11">
        <v>0</v>
      </c>
      <c r="E11">
        <v>0</v>
      </c>
      <c r="F11">
        <v>6</v>
      </c>
      <c r="G11">
        <v>0</v>
      </c>
      <c r="H11">
        <v>0</v>
      </c>
      <c r="I11">
        <v>178</v>
      </c>
      <c r="J11">
        <v>0</v>
      </c>
      <c r="K11">
        <v>0</v>
      </c>
      <c r="L11">
        <v>6</v>
      </c>
      <c r="M11">
        <v>0</v>
      </c>
      <c r="N11">
        <v>0</v>
      </c>
      <c r="O11" t="b">
        <v>1</v>
      </c>
      <c r="P11">
        <v>0</v>
      </c>
      <c r="Q11">
        <v>0</v>
      </c>
      <c r="R11">
        <v>0</v>
      </c>
      <c r="S11">
        <v>0</v>
      </c>
      <c r="T11">
        <v>0</v>
      </c>
      <c r="U11">
        <v>7</v>
      </c>
      <c r="V11" t="s">
        <v>393</v>
      </c>
    </row>
    <row r="12" spans="1:42" x14ac:dyDescent="0.25">
      <c r="A12" s="1">
        <v>45870.955324074072</v>
      </c>
      <c r="B12">
        <v>24</v>
      </c>
      <c r="C12">
        <v>177</v>
      </c>
      <c r="D12">
        <v>0</v>
      </c>
      <c r="E12">
        <v>0</v>
      </c>
      <c r="F12">
        <v>6</v>
      </c>
      <c r="G12">
        <v>0</v>
      </c>
      <c r="H12">
        <v>0</v>
      </c>
      <c r="I12">
        <v>178</v>
      </c>
      <c r="J12">
        <v>0</v>
      </c>
      <c r="K12">
        <v>0</v>
      </c>
      <c r="L12">
        <v>6</v>
      </c>
      <c r="M12">
        <v>0</v>
      </c>
      <c r="N12">
        <v>0</v>
      </c>
      <c r="O12" t="b">
        <v>1</v>
      </c>
      <c r="P12">
        <v>0</v>
      </c>
      <c r="Q12">
        <v>0</v>
      </c>
      <c r="R12">
        <v>0</v>
      </c>
      <c r="S12">
        <v>0</v>
      </c>
      <c r="T12">
        <v>0</v>
      </c>
      <c r="U12">
        <v>7</v>
      </c>
      <c r="V12" t="s">
        <v>394</v>
      </c>
      <c r="W12">
        <v>1</v>
      </c>
      <c r="X12">
        <v>1</v>
      </c>
      <c r="Y12">
        <v>0</v>
      </c>
      <c r="Z12">
        <v>0</v>
      </c>
      <c r="AA12">
        <v>0</v>
      </c>
      <c r="AB12">
        <v>0</v>
      </c>
      <c r="AC12">
        <v>0</v>
      </c>
      <c r="AD12">
        <v>0</v>
      </c>
      <c r="AE12">
        <v>0</v>
      </c>
      <c r="AF12">
        <v>0</v>
      </c>
      <c r="AG12">
        <v>0</v>
      </c>
      <c r="AH12">
        <v>0</v>
      </c>
      <c r="AI12" t="b">
        <v>1</v>
      </c>
      <c r="AJ12">
        <v>0</v>
      </c>
      <c r="AK12">
        <v>0</v>
      </c>
      <c r="AL12">
        <v>0</v>
      </c>
      <c r="AM12">
        <v>0</v>
      </c>
      <c r="AN12">
        <v>0</v>
      </c>
      <c r="AO12">
        <v>7</v>
      </c>
      <c r="AP12" t="s">
        <v>394</v>
      </c>
    </row>
    <row r="13" spans="1:42" x14ac:dyDescent="0.25">
      <c r="A13" s="1">
        <v>45870.955324074072</v>
      </c>
      <c r="B13">
        <v>21</v>
      </c>
      <c r="C13">
        <v>178</v>
      </c>
      <c r="D13">
        <v>0</v>
      </c>
      <c r="E13">
        <v>0</v>
      </c>
      <c r="F13">
        <v>6</v>
      </c>
      <c r="G13">
        <v>0</v>
      </c>
      <c r="H13">
        <v>0</v>
      </c>
      <c r="I13">
        <v>178</v>
      </c>
      <c r="J13">
        <v>0</v>
      </c>
      <c r="K13">
        <v>0</v>
      </c>
      <c r="L13">
        <v>6</v>
      </c>
      <c r="M13">
        <v>0</v>
      </c>
      <c r="N13">
        <v>0</v>
      </c>
      <c r="O13" t="b">
        <v>1</v>
      </c>
      <c r="P13">
        <v>0</v>
      </c>
      <c r="Q13">
        <v>0</v>
      </c>
      <c r="R13">
        <v>0</v>
      </c>
      <c r="S13">
        <v>0</v>
      </c>
      <c r="T13">
        <v>0</v>
      </c>
      <c r="U13">
        <v>7</v>
      </c>
      <c r="V13" t="s">
        <v>395</v>
      </c>
    </row>
    <row r="14" spans="1:42" x14ac:dyDescent="0.25">
      <c r="A14" s="1">
        <v>45870.955324074072</v>
      </c>
      <c r="B14">
        <v>12</v>
      </c>
      <c r="C14">
        <v>174</v>
      </c>
      <c r="D14">
        <v>127</v>
      </c>
      <c r="E14">
        <v>5</v>
      </c>
      <c r="F14">
        <v>6</v>
      </c>
      <c r="G14">
        <v>0</v>
      </c>
      <c r="H14">
        <v>0</v>
      </c>
      <c r="I14">
        <v>178</v>
      </c>
      <c r="J14">
        <v>0</v>
      </c>
      <c r="K14">
        <v>48</v>
      </c>
      <c r="L14">
        <v>6</v>
      </c>
      <c r="M14">
        <v>0</v>
      </c>
      <c r="N14">
        <v>0</v>
      </c>
      <c r="O14" t="b">
        <v>1</v>
      </c>
      <c r="P14">
        <v>0</v>
      </c>
      <c r="Q14">
        <v>0</v>
      </c>
      <c r="R14">
        <v>6</v>
      </c>
      <c r="S14">
        <v>0</v>
      </c>
      <c r="T14">
        <v>0</v>
      </c>
      <c r="U14">
        <v>1</v>
      </c>
      <c r="V14" t="s">
        <v>396</v>
      </c>
      <c r="W14">
        <v>4</v>
      </c>
      <c r="X14">
        <v>4</v>
      </c>
      <c r="Y14">
        <v>0</v>
      </c>
      <c r="Z14">
        <v>0</v>
      </c>
      <c r="AA14">
        <v>0</v>
      </c>
      <c r="AB14">
        <v>0</v>
      </c>
      <c r="AC14">
        <v>0</v>
      </c>
      <c r="AD14">
        <v>0</v>
      </c>
      <c r="AE14">
        <v>0</v>
      </c>
      <c r="AF14">
        <v>0</v>
      </c>
      <c r="AG14">
        <v>0</v>
      </c>
      <c r="AH14">
        <v>0</v>
      </c>
      <c r="AI14" t="b">
        <v>1</v>
      </c>
      <c r="AJ14">
        <v>0</v>
      </c>
      <c r="AK14">
        <v>0</v>
      </c>
      <c r="AL14">
        <v>6</v>
      </c>
      <c r="AM14">
        <v>0</v>
      </c>
      <c r="AN14">
        <v>0</v>
      </c>
      <c r="AO14">
        <v>1</v>
      </c>
      <c r="AP14" t="s">
        <v>396</v>
      </c>
    </row>
    <row r="15" spans="1:42" x14ac:dyDescent="0.25">
      <c r="A15" s="1">
        <v>45870.955324074072</v>
      </c>
      <c r="B15">
        <v>19</v>
      </c>
      <c r="C15">
        <v>178</v>
      </c>
      <c r="D15">
        <v>0</v>
      </c>
      <c r="E15">
        <v>0</v>
      </c>
      <c r="F15">
        <v>6</v>
      </c>
      <c r="G15">
        <v>0</v>
      </c>
      <c r="H15">
        <v>0</v>
      </c>
      <c r="I15">
        <v>178</v>
      </c>
      <c r="J15">
        <v>0</v>
      </c>
      <c r="K15">
        <v>0</v>
      </c>
      <c r="L15">
        <v>6</v>
      </c>
      <c r="M15">
        <v>0</v>
      </c>
      <c r="N15">
        <v>0</v>
      </c>
      <c r="O15" t="b">
        <v>1</v>
      </c>
      <c r="P15">
        <v>0</v>
      </c>
      <c r="Q15">
        <v>0</v>
      </c>
      <c r="R15">
        <v>0</v>
      </c>
      <c r="S15">
        <v>0</v>
      </c>
      <c r="T15">
        <v>0</v>
      </c>
      <c r="U15">
        <v>7</v>
      </c>
      <c r="V15" t="s">
        <v>397</v>
      </c>
    </row>
    <row r="16" spans="1:42" x14ac:dyDescent="0.25">
      <c r="A16" s="1">
        <v>45870.955324074072</v>
      </c>
      <c r="B16">
        <v>16</v>
      </c>
      <c r="C16">
        <v>177</v>
      </c>
      <c r="D16">
        <v>125</v>
      </c>
      <c r="E16">
        <v>7</v>
      </c>
      <c r="F16">
        <v>6</v>
      </c>
      <c r="G16">
        <v>0</v>
      </c>
      <c r="H16">
        <v>0</v>
      </c>
      <c r="I16">
        <v>178</v>
      </c>
      <c r="J16">
        <v>0</v>
      </c>
      <c r="K16">
        <v>29</v>
      </c>
      <c r="L16">
        <v>6</v>
      </c>
      <c r="M16">
        <v>0</v>
      </c>
      <c r="N16">
        <v>0</v>
      </c>
      <c r="O16" t="b">
        <v>1</v>
      </c>
      <c r="P16">
        <v>0</v>
      </c>
      <c r="Q16">
        <v>0</v>
      </c>
      <c r="R16">
        <v>6</v>
      </c>
      <c r="S16">
        <v>0</v>
      </c>
      <c r="T16">
        <v>0</v>
      </c>
      <c r="U16">
        <v>1</v>
      </c>
      <c r="V16" t="s">
        <v>398</v>
      </c>
      <c r="W16">
        <v>1</v>
      </c>
      <c r="X16">
        <v>1</v>
      </c>
      <c r="Y16">
        <v>0</v>
      </c>
      <c r="Z16">
        <v>0</v>
      </c>
      <c r="AA16">
        <v>0</v>
      </c>
      <c r="AB16">
        <v>0</v>
      </c>
      <c r="AC16">
        <v>0</v>
      </c>
      <c r="AD16">
        <v>0</v>
      </c>
      <c r="AE16">
        <v>0</v>
      </c>
      <c r="AF16">
        <v>0</v>
      </c>
      <c r="AG16">
        <v>0</v>
      </c>
      <c r="AH16">
        <v>0</v>
      </c>
      <c r="AI16" t="b">
        <v>1</v>
      </c>
      <c r="AJ16">
        <v>0</v>
      </c>
      <c r="AK16">
        <v>0</v>
      </c>
      <c r="AL16">
        <v>6</v>
      </c>
      <c r="AM16">
        <v>0</v>
      </c>
      <c r="AN16">
        <v>0</v>
      </c>
      <c r="AO16">
        <v>1</v>
      </c>
      <c r="AP16" t="s">
        <v>398</v>
      </c>
    </row>
    <row r="17" spans="1:42" x14ac:dyDescent="0.25">
      <c r="A17" s="1">
        <v>45870.955324074072</v>
      </c>
      <c r="B17">
        <v>13</v>
      </c>
      <c r="C17">
        <v>178</v>
      </c>
      <c r="D17">
        <v>0</v>
      </c>
      <c r="E17">
        <v>0</v>
      </c>
      <c r="F17">
        <v>6</v>
      </c>
      <c r="G17">
        <v>0</v>
      </c>
      <c r="H17">
        <v>0</v>
      </c>
      <c r="I17">
        <v>178</v>
      </c>
      <c r="J17">
        <v>0</v>
      </c>
      <c r="K17">
        <v>0</v>
      </c>
      <c r="L17">
        <v>6</v>
      </c>
      <c r="M17">
        <v>0</v>
      </c>
      <c r="N17">
        <v>0</v>
      </c>
      <c r="O17" t="b">
        <v>1</v>
      </c>
      <c r="P17">
        <v>0</v>
      </c>
      <c r="Q17">
        <v>0</v>
      </c>
      <c r="R17">
        <v>0</v>
      </c>
      <c r="S17">
        <v>0</v>
      </c>
      <c r="T17">
        <v>0</v>
      </c>
      <c r="U17">
        <v>7</v>
      </c>
      <c r="V17" t="s">
        <v>399</v>
      </c>
    </row>
    <row r="18" spans="1:42" x14ac:dyDescent="0.25">
      <c r="A18" s="1">
        <v>45870.955324074072</v>
      </c>
      <c r="B18">
        <v>15</v>
      </c>
      <c r="C18">
        <v>178</v>
      </c>
      <c r="D18">
        <v>0</v>
      </c>
      <c r="E18">
        <v>0</v>
      </c>
      <c r="F18">
        <v>6</v>
      </c>
      <c r="G18">
        <v>0</v>
      </c>
      <c r="H18">
        <v>0</v>
      </c>
      <c r="I18">
        <v>178</v>
      </c>
      <c r="J18">
        <v>0</v>
      </c>
      <c r="K18">
        <v>0</v>
      </c>
      <c r="L18">
        <v>6</v>
      </c>
      <c r="M18">
        <v>0</v>
      </c>
      <c r="N18">
        <v>0</v>
      </c>
      <c r="O18" t="b">
        <v>1</v>
      </c>
      <c r="P18">
        <v>0</v>
      </c>
      <c r="Q18">
        <v>0</v>
      </c>
      <c r="R18">
        <v>0</v>
      </c>
      <c r="S18">
        <v>0</v>
      </c>
      <c r="T18">
        <v>0</v>
      </c>
      <c r="U18">
        <v>7</v>
      </c>
      <c r="V18" t="s">
        <v>400</v>
      </c>
    </row>
    <row r="19" spans="1:42" x14ac:dyDescent="0.25">
      <c r="A19" s="1">
        <v>45870.955324074072</v>
      </c>
      <c r="B19">
        <v>5</v>
      </c>
      <c r="C19">
        <v>174</v>
      </c>
      <c r="D19">
        <v>0</v>
      </c>
      <c r="E19">
        <v>0</v>
      </c>
      <c r="F19">
        <v>6</v>
      </c>
      <c r="G19">
        <v>0</v>
      </c>
      <c r="H19">
        <v>0</v>
      </c>
      <c r="I19">
        <v>178</v>
      </c>
      <c r="J19">
        <v>0</v>
      </c>
      <c r="K19">
        <v>0</v>
      </c>
      <c r="L19">
        <v>6</v>
      </c>
      <c r="M19">
        <v>0</v>
      </c>
      <c r="N19">
        <v>0</v>
      </c>
      <c r="O19" t="b">
        <v>1</v>
      </c>
      <c r="P19">
        <v>0</v>
      </c>
      <c r="Q19">
        <v>0</v>
      </c>
      <c r="R19">
        <v>0</v>
      </c>
      <c r="S19">
        <v>0</v>
      </c>
      <c r="T19">
        <v>0</v>
      </c>
      <c r="U19">
        <v>7</v>
      </c>
      <c r="V19" t="s">
        <v>401</v>
      </c>
      <c r="W19">
        <v>4</v>
      </c>
      <c r="X19">
        <v>4</v>
      </c>
      <c r="Y19">
        <v>0</v>
      </c>
      <c r="Z19">
        <v>0</v>
      </c>
      <c r="AA19">
        <v>0</v>
      </c>
      <c r="AB19">
        <v>0</v>
      </c>
      <c r="AC19">
        <v>0</v>
      </c>
      <c r="AD19">
        <v>0</v>
      </c>
      <c r="AE19">
        <v>0</v>
      </c>
      <c r="AF19">
        <v>0</v>
      </c>
      <c r="AG19">
        <v>0</v>
      </c>
      <c r="AH19">
        <v>0</v>
      </c>
      <c r="AI19" t="b">
        <v>1</v>
      </c>
      <c r="AJ19">
        <v>0</v>
      </c>
      <c r="AK19">
        <v>0</v>
      </c>
      <c r="AL19">
        <v>0</v>
      </c>
      <c r="AM19">
        <v>0</v>
      </c>
      <c r="AN19">
        <v>0</v>
      </c>
      <c r="AO19">
        <v>7</v>
      </c>
      <c r="AP19" t="s">
        <v>401</v>
      </c>
    </row>
    <row r="20" spans="1:42" x14ac:dyDescent="0.25">
      <c r="A20" s="1">
        <v>45870.955324074072</v>
      </c>
      <c r="B20">
        <v>18</v>
      </c>
      <c r="C20">
        <v>177</v>
      </c>
      <c r="D20">
        <v>127</v>
      </c>
      <c r="E20">
        <v>6</v>
      </c>
      <c r="F20">
        <v>6</v>
      </c>
      <c r="G20">
        <v>0</v>
      </c>
      <c r="H20">
        <v>0</v>
      </c>
      <c r="I20">
        <v>177</v>
      </c>
      <c r="J20">
        <v>0</v>
      </c>
      <c r="K20">
        <v>36</v>
      </c>
      <c r="L20">
        <v>6</v>
      </c>
      <c r="M20">
        <v>0</v>
      </c>
      <c r="N20">
        <v>0</v>
      </c>
      <c r="O20" t="b">
        <v>1</v>
      </c>
      <c r="P20">
        <v>0</v>
      </c>
      <c r="Q20">
        <v>0</v>
      </c>
      <c r="R20">
        <v>5</v>
      </c>
      <c r="S20">
        <v>0</v>
      </c>
      <c r="T20">
        <v>0</v>
      </c>
      <c r="U20">
        <v>2</v>
      </c>
      <c r="V20" t="s">
        <v>402</v>
      </c>
      <c r="W20">
        <v>1</v>
      </c>
      <c r="X20">
        <v>0</v>
      </c>
      <c r="Y20">
        <v>1</v>
      </c>
      <c r="Z20">
        <v>0</v>
      </c>
      <c r="AA20">
        <v>0</v>
      </c>
      <c r="AB20">
        <v>0</v>
      </c>
      <c r="AC20">
        <v>1</v>
      </c>
      <c r="AD20">
        <v>0</v>
      </c>
      <c r="AE20">
        <v>1</v>
      </c>
      <c r="AF20">
        <v>0</v>
      </c>
      <c r="AG20">
        <v>0</v>
      </c>
      <c r="AH20">
        <v>0</v>
      </c>
      <c r="AI20" t="b">
        <v>1</v>
      </c>
      <c r="AJ20">
        <v>0</v>
      </c>
      <c r="AK20">
        <v>0</v>
      </c>
      <c r="AL20">
        <v>5</v>
      </c>
      <c r="AM20">
        <v>0</v>
      </c>
      <c r="AN20">
        <v>0</v>
      </c>
      <c r="AO20">
        <v>2</v>
      </c>
      <c r="AP20" t="s">
        <v>402</v>
      </c>
    </row>
    <row r="21" spans="1:42" x14ac:dyDescent="0.25">
      <c r="A21" s="1">
        <v>45870.955324074072</v>
      </c>
      <c r="B21">
        <v>20</v>
      </c>
      <c r="C21">
        <v>178</v>
      </c>
      <c r="D21">
        <v>0</v>
      </c>
      <c r="E21">
        <v>0</v>
      </c>
      <c r="F21">
        <v>6</v>
      </c>
      <c r="G21">
        <v>0</v>
      </c>
      <c r="H21">
        <v>0</v>
      </c>
      <c r="I21">
        <v>178</v>
      </c>
      <c r="J21">
        <v>0</v>
      </c>
      <c r="K21">
        <v>0</v>
      </c>
      <c r="L21">
        <v>6</v>
      </c>
      <c r="M21">
        <v>0</v>
      </c>
      <c r="N21">
        <v>0</v>
      </c>
      <c r="O21" t="b">
        <v>1</v>
      </c>
      <c r="P21">
        <v>0</v>
      </c>
      <c r="Q21">
        <v>0</v>
      </c>
      <c r="R21">
        <v>0</v>
      </c>
      <c r="S21">
        <v>0</v>
      </c>
      <c r="T21">
        <v>0</v>
      </c>
      <c r="U21">
        <v>7</v>
      </c>
      <c r="V21" t="s">
        <v>403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5F9B1-B044-4F17-B180-52803C2E7DB5}">
  <sheetPr codeName="Sheet5"/>
  <dimension ref="A1:AP23"/>
  <sheetViews>
    <sheetView workbookViewId="0"/>
  </sheetViews>
  <sheetFormatPr defaultRowHeight="15" x14ac:dyDescent="0.25"/>
  <cols>
    <col min="1" max="1" width="13.85546875" bestFit="1" customWidth="1"/>
    <col min="2" max="2" width="5" bestFit="1" customWidth="1"/>
    <col min="3" max="3" width="26.5703125" bestFit="1" customWidth="1"/>
    <col min="4" max="4" width="25.140625" bestFit="1" customWidth="1"/>
    <col min="5" max="5" width="24.5703125" bestFit="1" customWidth="1"/>
    <col min="6" max="6" width="23.5703125" bestFit="1" customWidth="1"/>
    <col min="7" max="7" width="29.28515625" bestFit="1" customWidth="1"/>
    <col min="8" max="8" width="27.85546875" bestFit="1" customWidth="1"/>
    <col min="9" max="9" width="25.28515625" bestFit="1" customWidth="1"/>
    <col min="10" max="10" width="24" bestFit="1" customWidth="1"/>
    <col min="11" max="11" width="23.42578125" bestFit="1" customWidth="1"/>
    <col min="12" max="12" width="22.42578125" bestFit="1" customWidth="1"/>
    <col min="13" max="13" width="28.140625" bestFit="1" customWidth="1"/>
    <col min="14" max="14" width="26.7109375" bestFit="1" customWidth="1"/>
    <col min="15" max="15" width="33.85546875" bestFit="1" customWidth="1"/>
    <col min="16" max="16" width="26.85546875" bestFit="1" customWidth="1"/>
    <col min="17" max="17" width="27.42578125" bestFit="1" customWidth="1"/>
    <col min="18" max="18" width="27.140625" bestFit="1" customWidth="1"/>
    <col min="19" max="19" width="31.85546875" bestFit="1" customWidth="1"/>
    <col min="20" max="20" width="28.5703125" bestFit="1" customWidth="1"/>
    <col min="21" max="21" width="30.42578125" bestFit="1" customWidth="1"/>
    <col min="22" max="22" width="88.7109375" bestFit="1" customWidth="1"/>
    <col min="23" max="23" width="22.42578125" bestFit="1" customWidth="1"/>
    <col min="24" max="24" width="21" bestFit="1" customWidth="1"/>
    <col min="25" max="25" width="20.42578125" bestFit="1" customWidth="1"/>
    <col min="26" max="26" width="19.42578125" bestFit="1" customWidth="1"/>
    <col min="27" max="27" width="25.140625" bestFit="1" customWidth="1"/>
    <col min="28" max="28" width="23.7109375" bestFit="1" customWidth="1"/>
    <col min="29" max="29" width="21.140625" bestFit="1" customWidth="1"/>
    <col min="30" max="30" width="19.85546875" bestFit="1" customWidth="1"/>
    <col min="31" max="31" width="19.28515625" bestFit="1" customWidth="1"/>
    <col min="32" max="32" width="18.28515625" bestFit="1" customWidth="1"/>
    <col min="33" max="33" width="24" bestFit="1" customWidth="1"/>
    <col min="34" max="34" width="22.5703125" bestFit="1" customWidth="1"/>
    <col min="35" max="35" width="29.7109375" bestFit="1" customWidth="1"/>
    <col min="36" max="36" width="22.7109375" bestFit="1" customWidth="1"/>
    <col min="37" max="37" width="23.28515625" bestFit="1" customWidth="1"/>
    <col min="38" max="38" width="23" bestFit="1" customWidth="1"/>
    <col min="39" max="39" width="27.7109375" bestFit="1" customWidth="1"/>
    <col min="40" max="40" width="24.42578125" bestFit="1" customWidth="1"/>
    <col min="41" max="41" width="26.28515625" bestFit="1" customWidth="1"/>
    <col min="42" max="42" width="88.7109375" bestFit="1" customWidth="1"/>
  </cols>
  <sheetData>
    <row r="1" spans="1:42" x14ac:dyDescent="0.25">
      <c r="A1" t="s">
        <v>342</v>
      </c>
      <c r="B1" t="s">
        <v>343</v>
      </c>
      <c r="C1" t="s">
        <v>344</v>
      </c>
      <c r="D1" t="s">
        <v>345</v>
      </c>
      <c r="E1" t="s">
        <v>346</v>
      </c>
      <c r="F1" t="s">
        <v>347</v>
      </c>
      <c r="G1" t="s">
        <v>348</v>
      </c>
      <c r="H1" t="s">
        <v>349</v>
      </c>
      <c r="I1" t="s">
        <v>350</v>
      </c>
      <c r="J1" t="s">
        <v>351</v>
      </c>
      <c r="K1" t="s">
        <v>352</v>
      </c>
      <c r="L1" t="s">
        <v>353</v>
      </c>
      <c r="M1" t="s">
        <v>354</v>
      </c>
      <c r="N1" t="s">
        <v>355</v>
      </c>
      <c r="O1" t="s">
        <v>356</v>
      </c>
      <c r="P1" t="s">
        <v>357</v>
      </c>
      <c r="Q1" t="s">
        <v>358</v>
      </c>
      <c r="R1" t="s">
        <v>359</v>
      </c>
      <c r="S1" t="s">
        <v>360</v>
      </c>
      <c r="T1" t="s">
        <v>361</v>
      </c>
      <c r="U1" t="s">
        <v>362</v>
      </c>
      <c r="V1" t="s">
        <v>363</v>
      </c>
      <c r="W1" t="s">
        <v>364</v>
      </c>
      <c r="X1" t="s">
        <v>365</v>
      </c>
      <c r="Y1" t="s">
        <v>366</v>
      </c>
      <c r="Z1" t="s">
        <v>367</v>
      </c>
      <c r="AA1" t="s">
        <v>368</v>
      </c>
      <c r="AB1" t="s">
        <v>369</v>
      </c>
      <c r="AC1" t="s">
        <v>370</v>
      </c>
      <c r="AD1" t="s">
        <v>371</v>
      </c>
      <c r="AE1" t="s">
        <v>372</v>
      </c>
      <c r="AF1" t="s">
        <v>373</v>
      </c>
      <c r="AG1" t="s">
        <v>374</v>
      </c>
      <c r="AH1" t="s">
        <v>375</v>
      </c>
      <c r="AI1" t="s">
        <v>376</v>
      </c>
      <c r="AJ1" t="s">
        <v>377</v>
      </c>
      <c r="AK1" t="s">
        <v>378</v>
      </c>
      <c r="AL1" t="s">
        <v>379</v>
      </c>
      <c r="AM1" t="s">
        <v>380</v>
      </c>
      <c r="AN1" t="s">
        <v>381</v>
      </c>
      <c r="AO1" t="s">
        <v>382</v>
      </c>
      <c r="AP1" t="s">
        <v>383</v>
      </c>
    </row>
    <row r="2" spans="1:42" x14ac:dyDescent="0.25">
      <c r="A2" s="1">
        <v>45870.955300925925</v>
      </c>
      <c r="B2">
        <v>57</v>
      </c>
      <c r="C2">
        <v>155</v>
      </c>
      <c r="D2">
        <v>1</v>
      </c>
      <c r="E2">
        <v>0</v>
      </c>
      <c r="F2">
        <v>6</v>
      </c>
      <c r="G2">
        <v>0</v>
      </c>
      <c r="H2">
        <v>0</v>
      </c>
      <c r="I2">
        <v>156</v>
      </c>
      <c r="J2">
        <v>0</v>
      </c>
      <c r="K2">
        <v>0</v>
      </c>
      <c r="L2">
        <v>6</v>
      </c>
      <c r="M2">
        <v>0</v>
      </c>
      <c r="N2">
        <v>0</v>
      </c>
      <c r="O2" t="b">
        <v>1</v>
      </c>
      <c r="P2">
        <v>0</v>
      </c>
      <c r="Q2">
        <v>0</v>
      </c>
      <c r="R2">
        <v>0</v>
      </c>
      <c r="S2">
        <v>0</v>
      </c>
      <c r="T2">
        <v>0</v>
      </c>
      <c r="U2">
        <v>4</v>
      </c>
      <c r="V2" t="s">
        <v>643</v>
      </c>
      <c r="W2">
        <v>1</v>
      </c>
      <c r="X2">
        <v>0</v>
      </c>
      <c r="Y2">
        <v>1</v>
      </c>
      <c r="Z2">
        <v>0</v>
      </c>
      <c r="AA2">
        <v>0</v>
      </c>
      <c r="AB2">
        <v>0</v>
      </c>
      <c r="AC2">
        <v>0</v>
      </c>
      <c r="AD2">
        <v>0</v>
      </c>
      <c r="AE2">
        <v>0</v>
      </c>
      <c r="AF2">
        <v>0</v>
      </c>
      <c r="AG2">
        <v>0</v>
      </c>
      <c r="AH2">
        <v>0</v>
      </c>
      <c r="AI2" t="b">
        <v>1</v>
      </c>
      <c r="AJ2">
        <v>0</v>
      </c>
      <c r="AK2">
        <v>0</v>
      </c>
      <c r="AL2">
        <v>0</v>
      </c>
      <c r="AM2">
        <v>0</v>
      </c>
      <c r="AN2">
        <v>0</v>
      </c>
      <c r="AO2">
        <v>4</v>
      </c>
      <c r="AP2" t="s">
        <v>643</v>
      </c>
    </row>
    <row r="3" spans="1:42" x14ac:dyDescent="0.25">
      <c r="A3" s="1">
        <v>45870.955300925925</v>
      </c>
      <c r="B3">
        <v>62</v>
      </c>
      <c r="C3">
        <v>154</v>
      </c>
      <c r="D3">
        <v>62</v>
      </c>
      <c r="E3">
        <v>37</v>
      </c>
      <c r="F3">
        <v>6</v>
      </c>
      <c r="G3">
        <v>0</v>
      </c>
      <c r="H3">
        <v>0</v>
      </c>
      <c r="I3">
        <v>156</v>
      </c>
      <c r="J3">
        <v>0</v>
      </c>
      <c r="K3">
        <v>79</v>
      </c>
      <c r="L3">
        <v>6</v>
      </c>
      <c r="M3">
        <v>0</v>
      </c>
      <c r="N3">
        <v>0</v>
      </c>
      <c r="O3" t="b">
        <v>1</v>
      </c>
      <c r="P3">
        <v>0</v>
      </c>
      <c r="Q3">
        <v>0</v>
      </c>
      <c r="R3">
        <v>2</v>
      </c>
      <c r="S3">
        <v>0</v>
      </c>
      <c r="T3">
        <v>0</v>
      </c>
      <c r="U3">
        <v>2</v>
      </c>
      <c r="V3" t="s">
        <v>644</v>
      </c>
      <c r="W3">
        <v>2</v>
      </c>
      <c r="X3">
        <v>2</v>
      </c>
      <c r="Y3">
        <v>0</v>
      </c>
      <c r="Z3">
        <v>0</v>
      </c>
      <c r="AA3">
        <v>0</v>
      </c>
      <c r="AB3">
        <v>0</v>
      </c>
      <c r="AC3">
        <v>0</v>
      </c>
      <c r="AD3">
        <v>0</v>
      </c>
      <c r="AE3">
        <v>0</v>
      </c>
      <c r="AF3">
        <v>0</v>
      </c>
      <c r="AG3">
        <v>0</v>
      </c>
      <c r="AH3">
        <v>0</v>
      </c>
      <c r="AI3" t="b">
        <v>1</v>
      </c>
      <c r="AJ3">
        <v>0</v>
      </c>
      <c r="AK3">
        <v>0</v>
      </c>
      <c r="AL3">
        <v>2</v>
      </c>
      <c r="AM3">
        <v>0</v>
      </c>
      <c r="AN3">
        <v>0</v>
      </c>
      <c r="AO3">
        <v>2</v>
      </c>
      <c r="AP3" t="s">
        <v>644</v>
      </c>
    </row>
    <row r="4" spans="1:42" x14ac:dyDescent="0.25">
      <c r="A4" s="1">
        <v>45870.955300925925</v>
      </c>
      <c r="B4">
        <v>51</v>
      </c>
      <c r="C4">
        <v>156</v>
      </c>
      <c r="D4">
        <v>0</v>
      </c>
      <c r="E4">
        <v>0</v>
      </c>
      <c r="F4">
        <v>7</v>
      </c>
      <c r="G4">
        <v>0</v>
      </c>
      <c r="H4">
        <v>0</v>
      </c>
      <c r="I4">
        <v>157</v>
      </c>
      <c r="J4">
        <v>0</v>
      </c>
      <c r="K4">
        <v>0</v>
      </c>
      <c r="L4">
        <v>7</v>
      </c>
      <c r="M4">
        <v>0</v>
      </c>
      <c r="N4">
        <v>0</v>
      </c>
      <c r="O4" t="b">
        <v>1</v>
      </c>
      <c r="P4">
        <v>0</v>
      </c>
      <c r="Q4">
        <v>0</v>
      </c>
      <c r="R4">
        <v>0</v>
      </c>
      <c r="S4">
        <v>0</v>
      </c>
      <c r="T4">
        <v>0</v>
      </c>
      <c r="U4">
        <v>4</v>
      </c>
      <c r="V4" t="s">
        <v>645</v>
      </c>
      <c r="W4">
        <v>1</v>
      </c>
      <c r="X4">
        <v>1</v>
      </c>
      <c r="Y4">
        <v>0</v>
      </c>
      <c r="Z4">
        <v>0</v>
      </c>
      <c r="AA4">
        <v>0</v>
      </c>
      <c r="AB4">
        <v>0</v>
      </c>
      <c r="AC4">
        <v>0</v>
      </c>
      <c r="AD4">
        <v>0</v>
      </c>
      <c r="AE4">
        <v>0</v>
      </c>
      <c r="AF4">
        <v>0</v>
      </c>
      <c r="AG4">
        <v>0</v>
      </c>
      <c r="AH4">
        <v>0</v>
      </c>
      <c r="AI4" t="b">
        <v>1</v>
      </c>
      <c r="AJ4">
        <v>0</v>
      </c>
      <c r="AK4">
        <v>0</v>
      </c>
      <c r="AL4">
        <v>0</v>
      </c>
      <c r="AM4">
        <v>0</v>
      </c>
      <c r="AN4">
        <v>0</v>
      </c>
      <c r="AO4">
        <v>4</v>
      </c>
      <c r="AP4" t="s">
        <v>645</v>
      </c>
    </row>
    <row r="5" spans="1:42" x14ac:dyDescent="0.25">
      <c r="A5" s="1">
        <v>45870.955300925925</v>
      </c>
      <c r="B5">
        <v>64</v>
      </c>
      <c r="C5">
        <v>155</v>
      </c>
      <c r="D5">
        <v>55</v>
      </c>
      <c r="E5">
        <v>40</v>
      </c>
      <c r="F5">
        <v>6</v>
      </c>
      <c r="G5">
        <v>0</v>
      </c>
      <c r="H5">
        <v>0</v>
      </c>
      <c r="I5">
        <v>156</v>
      </c>
      <c r="J5">
        <v>0</v>
      </c>
      <c r="K5">
        <v>75</v>
      </c>
      <c r="L5">
        <v>6</v>
      </c>
      <c r="M5">
        <v>0</v>
      </c>
      <c r="N5">
        <v>0</v>
      </c>
      <c r="O5" t="b">
        <v>1</v>
      </c>
      <c r="P5">
        <v>0</v>
      </c>
      <c r="Q5">
        <v>1</v>
      </c>
      <c r="R5">
        <v>1</v>
      </c>
      <c r="S5">
        <v>0</v>
      </c>
      <c r="T5">
        <v>0</v>
      </c>
      <c r="U5">
        <v>3</v>
      </c>
      <c r="V5" t="s">
        <v>646</v>
      </c>
      <c r="W5">
        <v>1</v>
      </c>
      <c r="X5">
        <v>1</v>
      </c>
      <c r="Y5">
        <v>0</v>
      </c>
      <c r="Z5">
        <v>0</v>
      </c>
      <c r="AA5">
        <v>0</v>
      </c>
      <c r="AB5">
        <v>0</v>
      </c>
      <c r="AC5">
        <v>0</v>
      </c>
      <c r="AD5">
        <v>0</v>
      </c>
      <c r="AE5">
        <v>0</v>
      </c>
      <c r="AF5">
        <v>0</v>
      </c>
      <c r="AG5">
        <v>0</v>
      </c>
      <c r="AH5">
        <v>0</v>
      </c>
      <c r="AI5" t="b">
        <v>1</v>
      </c>
      <c r="AJ5">
        <v>0</v>
      </c>
      <c r="AK5">
        <v>1</v>
      </c>
      <c r="AL5">
        <v>1</v>
      </c>
      <c r="AM5">
        <v>0</v>
      </c>
      <c r="AN5">
        <v>0</v>
      </c>
      <c r="AO5">
        <v>3</v>
      </c>
      <c r="AP5" t="s">
        <v>646</v>
      </c>
    </row>
    <row r="6" spans="1:42" x14ac:dyDescent="0.25">
      <c r="A6" s="1">
        <v>45870.955300925925</v>
      </c>
      <c r="B6">
        <v>59</v>
      </c>
      <c r="C6">
        <v>153</v>
      </c>
      <c r="D6">
        <v>65</v>
      </c>
      <c r="E6">
        <v>27</v>
      </c>
      <c r="F6">
        <v>6</v>
      </c>
      <c r="G6">
        <v>0</v>
      </c>
      <c r="H6">
        <v>0</v>
      </c>
      <c r="I6">
        <v>156</v>
      </c>
      <c r="J6">
        <v>0</v>
      </c>
      <c r="K6">
        <v>68</v>
      </c>
      <c r="L6">
        <v>6</v>
      </c>
      <c r="M6">
        <v>0</v>
      </c>
      <c r="N6">
        <v>0</v>
      </c>
      <c r="O6" t="b">
        <v>1</v>
      </c>
      <c r="P6">
        <v>0</v>
      </c>
      <c r="Q6">
        <v>0</v>
      </c>
      <c r="R6">
        <v>2</v>
      </c>
      <c r="S6">
        <v>0</v>
      </c>
      <c r="T6">
        <v>0</v>
      </c>
      <c r="U6">
        <v>2</v>
      </c>
      <c r="V6" t="s">
        <v>647</v>
      </c>
      <c r="W6">
        <v>3</v>
      </c>
      <c r="X6">
        <v>2</v>
      </c>
      <c r="Y6">
        <v>1</v>
      </c>
      <c r="Z6">
        <v>0</v>
      </c>
      <c r="AA6">
        <v>0</v>
      </c>
      <c r="AB6">
        <v>0</v>
      </c>
      <c r="AC6">
        <v>0</v>
      </c>
      <c r="AD6">
        <v>0</v>
      </c>
      <c r="AE6">
        <v>0</v>
      </c>
      <c r="AF6">
        <v>0</v>
      </c>
      <c r="AG6">
        <v>0</v>
      </c>
      <c r="AH6">
        <v>0</v>
      </c>
      <c r="AI6" t="b">
        <v>1</v>
      </c>
      <c r="AJ6">
        <v>0</v>
      </c>
      <c r="AK6">
        <v>0</v>
      </c>
      <c r="AL6">
        <v>2</v>
      </c>
      <c r="AM6">
        <v>0</v>
      </c>
      <c r="AN6">
        <v>0</v>
      </c>
      <c r="AO6">
        <v>2</v>
      </c>
      <c r="AP6" t="s">
        <v>647</v>
      </c>
    </row>
    <row r="7" spans="1:42" x14ac:dyDescent="0.25">
      <c r="A7" s="1">
        <v>45870.955300925925</v>
      </c>
      <c r="B7">
        <v>61</v>
      </c>
      <c r="C7">
        <v>156</v>
      </c>
      <c r="D7">
        <v>68</v>
      </c>
      <c r="E7">
        <v>14</v>
      </c>
      <c r="F7">
        <v>6</v>
      </c>
      <c r="G7">
        <v>0</v>
      </c>
      <c r="H7">
        <v>0</v>
      </c>
      <c r="I7">
        <v>156</v>
      </c>
      <c r="J7">
        <v>0</v>
      </c>
      <c r="K7">
        <v>85</v>
      </c>
      <c r="L7">
        <v>6</v>
      </c>
      <c r="M7">
        <v>0</v>
      </c>
      <c r="N7">
        <v>0</v>
      </c>
      <c r="O7" t="b">
        <v>1</v>
      </c>
      <c r="P7">
        <v>0</v>
      </c>
      <c r="Q7">
        <v>0</v>
      </c>
      <c r="R7">
        <v>3</v>
      </c>
      <c r="S7">
        <v>0</v>
      </c>
      <c r="T7">
        <v>0</v>
      </c>
      <c r="U7">
        <v>1</v>
      </c>
      <c r="V7" t="s">
        <v>648</v>
      </c>
    </row>
    <row r="8" spans="1:42" x14ac:dyDescent="0.25">
      <c r="A8" s="1">
        <v>45870.955300925925</v>
      </c>
      <c r="B8">
        <v>69</v>
      </c>
      <c r="C8">
        <v>155</v>
      </c>
      <c r="D8">
        <v>76</v>
      </c>
      <c r="E8">
        <v>17</v>
      </c>
      <c r="F8">
        <v>6</v>
      </c>
      <c r="G8">
        <v>0</v>
      </c>
      <c r="H8">
        <v>0</v>
      </c>
      <c r="I8">
        <v>156</v>
      </c>
      <c r="J8">
        <v>0</v>
      </c>
      <c r="K8">
        <v>71</v>
      </c>
      <c r="L8">
        <v>6</v>
      </c>
      <c r="M8">
        <v>0</v>
      </c>
      <c r="N8">
        <v>0</v>
      </c>
      <c r="O8" t="b">
        <v>1</v>
      </c>
      <c r="P8">
        <v>0</v>
      </c>
      <c r="Q8">
        <v>1</v>
      </c>
      <c r="R8">
        <v>2</v>
      </c>
      <c r="S8">
        <v>0</v>
      </c>
      <c r="T8">
        <v>0</v>
      </c>
      <c r="U8">
        <v>2</v>
      </c>
      <c r="V8" t="s">
        <v>649</v>
      </c>
      <c r="W8">
        <v>1</v>
      </c>
      <c r="X8">
        <v>1</v>
      </c>
      <c r="Y8">
        <v>0</v>
      </c>
      <c r="Z8">
        <v>0</v>
      </c>
      <c r="AA8">
        <v>0</v>
      </c>
      <c r="AB8">
        <v>0</v>
      </c>
      <c r="AC8">
        <v>0</v>
      </c>
      <c r="AD8">
        <v>0</v>
      </c>
      <c r="AE8">
        <v>0</v>
      </c>
      <c r="AF8">
        <v>0</v>
      </c>
      <c r="AG8">
        <v>0</v>
      </c>
      <c r="AH8">
        <v>0</v>
      </c>
      <c r="AI8" t="b">
        <v>1</v>
      </c>
      <c r="AJ8">
        <v>0</v>
      </c>
      <c r="AK8">
        <v>1</v>
      </c>
      <c r="AL8">
        <v>2</v>
      </c>
      <c r="AM8">
        <v>0</v>
      </c>
      <c r="AN8">
        <v>0</v>
      </c>
      <c r="AO8">
        <v>2</v>
      </c>
      <c r="AP8" t="s">
        <v>649</v>
      </c>
    </row>
    <row r="9" spans="1:42" x14ac:dyDescent="0.25">
      <c r="A9" s="1">
        <v>45870.955300925925</v>
      </c>
      <c r="B9">
        <v>52</v>
      </c>
      <c r="C9">
        <v>155</v>
      </c>
      <c r="D9">
        <v>0</v>
      </c>
      <c r="E9">
        <v>0</v>
      </c>
      <c r="F9">
        <v>6</v>
      </c>
      <c r="G9">
        <v>0</v>
      </c>
      <c r="H9">
        <v>0</v>
      </c>
      <c r="I9">
        <v>156</v>
      </c>
      <c r="J9">
        <v>0</v>
      </c>
      <c r="K9">
        <v>0</v>
      </c>
      <c r="L9">
        <v>6</v>
      </c>
      <c r="M9">
        <v>0</v>
      </c>
      <c r="N9">
        <v>0</v>
      </c>
      <c r="O9" t="b">
        <v>1</v>
      </c>
      <c r="P9">
        <v>0</v>
      </c>
      <c r="Q9">
        <v>0</v>
      </c>
      <c r="R9">
        <v>0</v>
      </c>
      <c r="S9">
        <v>0</v>
      </c>
      <c r="T9">
        <v>0</v>
      </c>
      <c r="U9">
        <v>4</v>
      </c>
      <c r="V9" t="s">
        <v>650</v>
      </c>
      <c r="W9">
        <v>1</v>
      </c>
      <c r="X9">
        <v>1</v>
      </c>
      <c r="Y9">
        <v>0</v>
      </c>
      <c r="Z9">
        <v>0</v>
      </c>
      <c r="AA9">
        <v>0</v>
      </c>
      <c r="AB9">
        <v>0</v>
      </c>
      <c r="AC9">
        <v>0</v>
      </c>
      <c r="AD9">
        <v>0</v>
      </c>
      <c r="AE9">
        <v>0</v>
      </c>
      <c r="AF9">
        <v>0</v>
      </c>
      <c r="AG9">
        <v>0</v>
      </c>
      <c r="AH9">
        <v>0</v>
      </c>
      <c r="AI9" t="b">
        <v>1</v>
      </c>
      <c r="AJ9">
        <v>0</v>
      </c>
      <c r="AK9">
        <v>0</v>
      </c>
      <c r="AL9">
        <v>0</v>
      </c>
      <c r="AM9">
        <v>0</v>
      </c>
      <c r="AN9">
        <v>0</v>
      </c>
      <c r="AO9">
        <v>4</v>
      </c>
      <c r="AP9" t="s">
        <v>650</v>
      </c>
    </row>
    <row r="10" spans="1:42" x14ac:dyDescent="0.25">
      <c r="A10" s="1">
        <v>45870.955300925925</v>
      </c>
      <c r="B10">
        <v>70</v>
      </c>
      <c r="C10">
        <v>153</v>
      </c>
      <c r="D10">
        <v>71</v>
      </c>
      <c r="E10">
        <v>6</v>
      </c>
      <c r="F10">
        <v>6</v>
      </c>
      <c r="G10">
        <v>0</v>
      </c>
      <c r="H10">
        <v>0</v>
      </c>
      <c r="I10">
        <v>156</v>
      </c>
      <c r="J10">
        <v>0</v>
      </c>
      <c r="K10">
        <v>50</v>
      </c>
      <c r="L10">
        <v>6</v>
      </c>
      <c r="M10">
        <v>0</v>
      </c>
      <c r="N10">
        <v>0</v>
      </c>
      <c r="O10" t="b">
        <v>1</v>
      </c>
      <c r="P10">
        <v>0</v>
      </c>
      <c r="Q10">
        <v>0</v>
      </c>
      <c r="R10">
        <v>2</v>
      </c>
      <c r="S10">
        <v>0</v>
      </c>
      <c r="T10">
        <v>0</v>
      </c>
      <c r="U10">
        <v>2</v>
      </c>
      <c r="V10" t="s">
        <v>651</v>
      </c>
      <c r="W10">
        <v>3</v>
      </c>
      <c r="X10">
        <v>3</v>
      </c>
      <c r="Y10">
        <v>0</v>
      </c>
      <c r="Z10">
        <v>0</v>
      </c>
      <c r="AA10">
        <v>0</v>
      </c>
      <c r="AB10">
        <v>0</v>
      </c>
      <c r="AC10">
        <v>0</v>
      </c>
      <c r="AD10">
        <v>0</v>
      </c>
      <c r="AE10">
        <v>0</v>
      </c>
      <c r="AF10">
        <v>0</v>
      </c>
      <c r="AG10">
        <v>0</v>
      </c>
      <c r="AH10">
        <v>0</v>
      </c>
      <c r="AI10" t="b">
        <v>1</v>
      </c>
      <c r="AJ10">
        <v>0</v>
      </c>
      <c r="AK10">
        <v>0</v>
      </c>
      <c r="AL10">
        <v>2</v>
      </c>
      <c r="AM10">
        <v>0</v>
      </c>
      <c r="AN10">
        <v>0</v>
      </c>
      <c r="AO10">
        <v>2</v>
      </c>
      <c r="AP10" t="s">
        <v>651</v>
      </c>
    </row>
    <row r="11" spans="1:42" x14ac:dyDescent="0.25">
      <c r="A11" s="1">
        <v>45870.955300925925</v>
      </c>
      <c r="B11">
        <v>67</v>
      </c>
      <c r="C11">
        <v>154</v>
      </c>
      <c r="D11">
        <v>65</v>
      </c>
      <c r="E11">
        <v>10</v>
      </c>
      <c r="F11">
        <v>6</v>
      </c>
      <c r="G11">
        <v>0</v>
      </c>
      <c r="H11">
        <v>0</v>
      </c>
      <c r="I11">
        <v>156</v>
      </c>
      <c r="J11">
        <v>0</v>
      </c>
      <c r="K11">
        <v>76</v>
      </c>
      <c r="L11">
        <v>6</v>
      </c>
      <c r="M11">
        <v>0</v>
      </c>
      <c r="N11">
        <v>0</v>
      </c>
      <c r="O11" t="b">
        <v>1</v>
      </c>
      <c r="P11">
        <v>0</v>
      </c>
      <c r="Q11">
        <v>0</v>
      </c>
      <c r="R11">
        <v>3</v>
      </c>
      <c r="S11">
        <v>0</v>
      </c>
      <c r="T11">
        <v>0</v>
      </c>
      <c r="U11">
        <v>0</v>
      </c>
      <c r="V11" t="s">
        <v>652</v>
      </c>
      <c r="W11">
        <v>2</v>
      </c>
      <c r="X11">
        <v>2</v>
      </c>
      <c r="Y11">
        <v>0</v>
      </c>
      <c r="Z11">
        <v>0</v>
      </c>
      <c r="AA11">
        <v>0</v>
      </c>
      <c r="AB11">
        <v>0</v>
      </c>
      <c r="AC11">
        <v>0</v>
      </c>
      <c r="AD11">
        <v>0</v>
      </c>
      <c r="AE11">
        <v>0</v>
      </c>
      <c r="AF11">
        <v>0</v>
      </c>
      <c r="AG11">
        <v>0</v>
      </c>
      <c r="AH11">
        <v>0</v>
      </c>
      <c r="AI11" t="b">
        <v>1</v>
      </c>
      <c r="AJ11">
        <v>0</v>
      </c>
      <c r="AK11">
        <v>0</v>
      </c>
      <c r="AL11">
        <v>3</v>
      </c>
      <c r="AM11">
        <v>0</v>
      </c>
      <c r="AN11">
        <v>0</v>
      </c>
      <c r="AO11">
        <v>0</v>
      </c>
      <c r="AP11" t="s">
        <v>652</v>
      </c>
    </row>
    <row r="12" spans="1:42" x14ac:dyDescent="0.25">
      <c r="A12" s="1">
        <v>45870.955300925925</v>
      </c>
      <c r="B12">
        <v>58</v>
      </c>
      <c r="C12">
        <v>155</v>
      </c>
      <c r="D12">
        <v>0</v>
      </c>
      <c r="E12">
        <v>0</v>
      </c>
      <c r="F12">
        <v>6</v>
      </c>
      <c r="G12">
        <v>0</v>
      </c>
      <c r="H12">
        <v>0</v>
      </c>
      <c r="I12">
        <v>156</v>
      </c>
      <c r="J12">
        <v>0</v>
      </c>
      <c r="K12">
        <v>0</v>
      </c>
      <c r="L12">
        <v>6</v>
      </c>
      <c r="M12">
        <v>0</v>
      </c>
      <c r="N12">
        <v>0</v>
      </c>
      <c r="O12" t="b">
        <v>1</v>
      </c>
      <c r="P12">
        <v>0</v>
      </c>
      <c r="Q12">
        <v>0</v>
      </c>
      <c r="R12">
        <v>0</v>
      </c>
      <c r="S12">
        <v>0</v>
      </c>
      <c r="T12">
        <v>0</v>
      </c>
      <c r="U12">
        <v>4</v>
      </c>
      <c r="V12" t="s">
        <v>653</v>
      </c>
      <c r="W12">
        <v>1</v>
      </c>
      <c r="X12">
        <v>1</v>
      </c>
      <c r="Y12">
        <v>0</v>
      </c>
      <c r="Z12">
        <v>0</v>
      </c>
      <c r="AA12">
        <v>0</v>
      </c>
      <c r="AB12">
        <v>0</v>
      </c>
      <c r="AC12">
        <v>0</v>
      </c>
      <c r="AD12">
        <v>0</v>
      </c>
      <c r="AE12">
        <v>0</v>
      </c>
      <c r="AF12">
        <v>0</v>
      </c>
      <c r="AG12">
        <v>0</v>
      </c>
      <c r="AH12">
        <v>0</v>
      </c>
      <c r="AI12" t="b">
        <v>1</v>
      </c>
      <c r="AJ12">
        <v>0</v>
      </c>
      <c r="AK12">
        <v>0</v>
      </c>
      <c r="AL12">
        <v>0</v>
      </c>
      <c r="AM12">
        <v>0</v>
      </c>
      <c r="AN12">
        <v>0</v>
      </c>
      <c r="AO12">
        <v>4</v>
      </c>
      <c r="AP12" t="s">
        <v>653</v>
      </c>
    </row>
    <row r="13" spans="1:42" x14ac:dyDescent="0.25">
      <c r="A13" s="1">
        <v>45870.955300925925</v>
      </c>
      <c r="B13">
        <v>60</v>
      </c>
      <c r="C13">
        <v>151</v>
      </c>
      <c r="D13">
        <v>69</v>
      </c>
      <c r="E13">
        <v>27</v>
      </c>
      <c r="F13">
        <v>6</v>
      </c>
      <c r="G13">
        <v>0</v>
      </c>
      <c r="H13">
        <v>0</v>
      </c>
      <c r="I13">
        <v>156</v>
      </c>
      <c r="J13">
        <v>0</v>
      </c>
      <c r="K13">
        <v>94</v>
      </c>
      <c r="L13">
        <v>6</v>
      </c>
      <c r="M13">
        <v>0</v>
      </c>
      <c r="N13">
        <v>0</v>
      </c>
      <c r="O13" t="b">
        <v>1</v>
      </c>
      <c r="P13">
        <v>0</v>
      </c>
      <c r="Q13">
        <v>0</v>
      </c>
      <c r="R13">
        <v>3</v>
      </c>
      <c r="S13">
        <v>0</v>
      </c>
      <c r="T13">
        <v>0</v>
      </c>
      <c r="U13">
        <v>1</v>
      </c>
      <c r="V13" t="s">
        <v>654</v>
      </c>
      <c r="W13">
        <v>5</v>
      </c>
      <c r="X13">
        <v>4</v>
      </c>
      <c r="Y13">
        <v>1</v>
      </c>
      <c r="Z13">
        <v>0</v>
      </c>
      <c r="AA13">
        <v>0</v>
      </c>
      <c r="AB13">
        <v>0</v>
      </c>
      <c r="AC13">
        <v>0</v>
      </c>
      <c r="AD13">
        <v>0</v>
      </c>
      <c r="AE13">
        <v>0</v>
      </c>
      <c r="AF13">
        <v>0</v>
      </c>
      <c r="AG13">
        <v>0</v>
      </c>
      <c r="AH13">
        <v>0</v>
      </c>
      <c r="AI13" t="b">
        <v>1</v>
      </c>
      <c r="AJ13">
        <v>0</v>
      </c>
      <c r="AK13">
        <v>0</v>
      </c>
      <c r="AL13">
        <v>3</v>
      </c>
      <c r="AM13">
        <v>0</v>
      </c>
      <c r="AN13">
        <v>0</v>
      </c>
      <c r="AO13">
        <v>1</v>
      </c>
      <c r="AP13" t="s">
        <v>654</v>
      </c>
    </row>
    <row r="14" spans="1:42" x14ac:dyDescent="0.25">
      <c r="A14" s="1">
        <v>45870.955300925925</v>
      </c>
      <c r="B14">
        <v>55</v>
      </c>
      <c r="C14">
        <v>156</v>
      </c>
      <c r="D14">
        <v>0</v>
      </c>
      <c r="E14">
        <v>0</v>
      </c>
      <c r="F14">
        <v>6</v>
      </c>
      <c r="G14">
        <v>0</v>
      </c>
      <c r="H14">
        <v>0</v>
      </c>
      <c r="I14">
        <v>156</v>
      </c>
      <c r="J14">
        <v>0</v>
      </c>
      <c r="K14">
        <v>0</v>
      </c>
      <c r="L14">
        <v>6</v>
      </c>
      <c r="M14">
        <v>0</v>
      </c>
      <c r="N14">
        <v>0</v>
      </c>
      <c r="O14" t="b">
        <v>1</v>
      </c>
      <c r="P14">
        <v>0</v>
      </c>
      <c r="Q14">
        <v>0</v>
      </c>
      <c r="R14">
        <v>0</v>
      </c>
      <c r="S14">
        <v>0</v>
      </c>
      <c r="T14">
        <v>0</v>
      </c>
      <c r="U14">
        <v>4</v>
      </c>
      <c r="V14" t="s">
        <v>655</v>
      </c>
    </row>
    <row r="15" spans="1:42" x14ac:dyDescent="0.25">
      <c r="A15" s="1">
        <v>45870.955300925925</v>
      </c>
      <c r="B15">
        <v>72</v>
      </c>
      <c r="C15">
        <v>154</v>
      </c>
      <c r="D15">
        <v>21</v>
      </c>
      <c r="E15">
        <v>24</v>
      </c>
      <c r="F15">
        <v>6</v>
      </c>
      <c r="G15">
        <v>0</v>
      </c>
      <c r="H15">
        <v>0</v>
      </c>
      <c r="I15">
        <v>156</v>
      </c>
      <c r="J15">
        <v>0</v>
      </c>
      <c r="K15">
        <v>58</v>
      </c>
      <c r="L15">
        <v>6</v>
      </c>
      <c r="M15">
        <v>0</v>
      </c>
      <c r="N15">
        <v>0</v>
      </c>
      <c r="O15" t="b">
        <v>1</v>
      </c>
      <c r="P15">
        <v>0</v>
      </c>
      <c r="Q15">
        <v>0</v>
      </c>
      <c r="R15">
        <v>3</v>
      </c>
      <c r="S15">
        <v>0</v>
      </c>
      <c r="T15">
        <v>0</v>
      </c>
      <c r="U15">
        <v>1</v>
      </c>
      <c r="V15" t="s">
        <v>656</v>
      </c>
      <c r="W15">
        <v>2</v>
      </c>
      <c r="X15">
        <v>2</v>
      </c>
      <c r="Y15">
        <v>0</v>
      </c>
      <c r="Z15">
        <v>0</v>
      </c>
      <c r="AA15">
        <v>0</v>
      </c>
      <c r="AB15">
        <v>0</v>
      </c>
      <c r="AC15">
        <v>0</v>
      </c>
      <c r="AD15">
        <v>0</v>
      </c>
      <c r="AE15">
        <v>0</v>
      </c>
      <c r="AF15">
        <v>0</v>
      </c>
      <c r="AG15">
        <v>0</v>
      </c>
      <c r="AH15">
        <v>0</v>
      </c>
      <c r="AI15" t="b">
        <v>1</v>
      </c>
      <c r="AJ15">
        <v>0</v>
      </c>
      <c r="AK15">
        <v>0</v>
      </c>
      <c r="AL15">
        <v>3</v>
      </c>
      <c r="AM15">
        <v>0</v>
      </c>
      <c r="AN15">
        <v>0</v>
      </c>
      <c r="AO15">
        <v>1</v>
      </c>
      <c r="AP15" t="s">
        <v>656</v>
      </c>
    </row>
    <row r="16" spans="1:42" x14ac:dyDescent="0.25">
      <c r="A16" s="1">
        <v>45870.955300925925</v>
      </c>
      <c r="B16">
        <v>71</v>
      </c>
      <c r="C16">
        <v>154</v>
      </c>
      <c r="D16">
        <v>18</v>
      </c>
      <c r="E16">
        <v>5</v>
      </c>
      <c r="F16">
        <v>6</v>
      </c>
      <c r="G16">
        <v>0</v>
      </c>
      <c r="H16">
        <v>0</v>
      </c>
      <c r="I16">
        <v>156</v>
      </c>
      <c r="J16">
        <v>0</v>
      </c>
      <c r="K16">
        <v>53</v>
      </c>
      <c r="L16">
        <v>6</v>
      </c>
      <c r="M16">
        <v>0</v>
      </c>
      <c r="N16">
        <v>0</v>
      </c>
      <c r="O16" t="b">
        <v>1</v>
      </c>
      <c r="P16">
        <v>0</v>
      </c>
      <c r="Q16">
        <v>0</v>
      </c>
      <c r="R16">
        <v>2</v>
      </c>
      <c r="S16">
        <v>0</v>
      </c>
      <c r="T16">
        <v>0</v>
      </c>
      <c r="U16">
        <v>2</v>
      </c>
      <c r="V16" t="s">
        <v>657</v>
      </c>
      <c r="W16">
        <v>2</v>
      </c>
      <c r="X16">
        <v>2</v>
      </c>
      <c r="Y16">
        <v>0</v>
      </c>
      <c r="Z16">
        <v>0</v>
      </c>
      <c r="AA16">
        <v>0</v>
      </c>
      <c r="AB16">
        <v>0</v>
      </c>
      <c r="AC16">
        <v>0</v>
      </c>
      <c r="AD16">
        <v>0</v>
      </c>
      <c r="AE16">
        <v>0</v>
      </c>
      <c r="AF16">
        <v>0</v>
      </c>
      <c r="AG16">
        <v>0</v>
      </c>
      <c r="AH16">
        <v>0</v>
      </c>
      <c r="AI16" t="b">
        <v>1</v>
      </c>
      <c r="AJ16">
        <v>0</v>
      </c>
      <c r="AK16">
        <v>0</v>
      </c>
      <c r="AL16">
        <v>2</v>
      </c>
      <c r="AM16">
        <v>0</v>
      </c>
      <c r="AN16">
        <v>0</v>
      </c>
      <c r="AO16">
        <v>2</v>
      </c>
      <c r="AP16" t="s">
        <v>657</v>
      </c>
    </row>
    <row r="17" spans="1:42" x14ac:dyDescent="0.25">
      <c r="A17" s="1">
        <v>45870.955300925925</v>
      </c>
      <c r="B17">
        <v>53</v>
      </c>
      <c r="C17">
        <v>156</v>
      </c>
      <c r="D17">
        <v>0</v>
      </c>
      <c r="E17">
        <v>0</v>
      </c>
      <c r="F17">
        <v>6</v>
      </c>
      <c r="G17">
        <v>0</v>
      </c>
      <c r="H17">
        <v>0</v>
      </c>
      <c r="I17">
        <v>156</v>
      </c>
      <c r="J17">
        <v>0</v>
      </c>
      <c r="K17">
        <v>0</v>
      </c>
      <c r="L17">
        <v>6</v>
      </c>
      <c r="M17">
        <v>0</v>
      </c>
      <c r="N17">
        <v>0</v>
      </c>
      <c r="O17" t="b">
        <v>1</v>
      </c>
      <c r="P17">
        <v>0</v>
      </c>
      <c r="Q17">
        <v>0</v>
      </c>
      <c r="R17">
        <v>0</v>
      </c>
      <c r="S17">
        <v>0</v>
      </c>
      <c r="T17">
        <v>0</v>
      </c>
      <c r="U17">
        <v>4</v>
      </c>
      <c r="V17" t="s">
        <v>658</v>
      </c>
    </row>
    <row r="18" spans="1:42" x14ac:dyDescent="0.25">
      <c r="A18" s="1">
        <v>45870.955300925925</v>
      </c>
      <c r="B18">
        <v>68</v>
      </c>
      <c r="C18">
        <v>155</v>
      </c>
      <c r="D18">
        <v>75</v>
      </c>
      <c r="E18">
        <v>6</v>
      </c>
      <c r="F18">
        <v>6</v>
      </c>
      <c r="G18">
        <v>0</v>
      </c>
      <c r="H18">
        <v>0</v>
      </c>
      <c r="I18">
        <v>156</v>
      </c>
      <c r="J18">
        <v>0</v>
      </c>
      <c r="K18">
        <v>65</v>
      </c>
      <c r="L18">
        <v>6</v>
      </c>
      <c r="M18">
        <v>0</v>
      </c>
      <c r="N18">
        <v>0</v>
      </c>
      <c r="O18" t="b">
        <v>1</v>
      </c>
      <c r="P18">
        <v>0</v>
      </c>
      <c r="Q18">
        <v>1</v>
      </c>
      <c r="R18">
        <v>3</v>
      </c>
      <c r="S18">
        <v>0</v>
      </c>
      <c r="T18">
        <v>0</v>
      </c>
      <c r="U18">
        <v>1</v>
      </c>
      <c r="V18" t="s">
        <v>659</v>
      </c>
      <c r="W18">
        <v>1</v>
      </c>
      <c r="X18">
        <v>1</v>
      </c>
      <c r="Y18">
        <v>0</v>
      </c>
      <c r="Z18">
        <v>0</v>
      </c>
      <c r="AA18">
        <v>0</v>
      </c>
      <c r="AB18">
        <v>0</v>
      </c>
      <c r="AC18">
        <v>0</v>
      </c>
      <c r="AD18">
        <v>0</v>
      </c>
      <c r="AE18">
        <v>0</v>
      </c>
      <c r="AF18">
        <v>0</v>
      </c>
      <c r="AG18">
        <v>0</v>
      </c>
      <c r="AH18">
        <v>0</v>
      </c>
      <c r="AI18" t="b">
        <v>1</v>
      </c>
      <c r="AJ18">
        <v>0</v>
      </c>
      <c r="AK18">
        <v>1</v>
      </c>
      <c r="AL18">
        <v>3</v>
      </c>
      <c r="AM18">
        <v>0</v>
      </c>
      <c r="AN18">
        <v>0</v>
      </c>
      <c r="AO18">
        <v>1</v>
      </c>
      <c r="AP18" t="s">
        <v>659</v>
      </c>
    </row>
    <row r="19" spans="1:42" x14ac:dyDescent="0.25">
      <c r="A19" s="1">
        <v>45870.955300925925</v>
      </c>
      <c r="B19">
        <v>63</v>
      </c>
      <c r="C19">
        <v>154</v>
      </c>
      <c r="D19">
        <v>66</v>
      </c>
      <c r="E19">
        <v>24</v>
      </c>
      <c r="F19">
        <v>36</v>
      </c>
      <c r="G19">
        <v>0</v>
      </c>
      <c r="H19">
        <v>0</v>
      </c>
      <c r="I19">
        <v>156</v>
      </c>
      <c r="J19">
        <v>0</v>
      </c>
      <c r="K19">
        <v>91</v>
      </c>
      <c r="L19">
        <v>36</v>
      </c>
      <c r="M19">
        <v>0</v>
      </c>
      <c r="N19">
        <v>0</v>
      </c>
      <c r="O19" t="b">
        <v>1</v>
      </c>
      <c r="P19">
        <v>0</v>
      </c>
      <c r="Q19">
        <v>0</v>
      </c>
      <c r="R19">
        <v>3</v>
      </c>
      <c r="S19">
        <v>0</v>
      </c>
      <c r="T19">
        <v>0</v>
      </c>
      <c r="U19">
        <v>1</v>
      </c>
      <c r="V19" t="s">
        <v>660</v>
      </c>
      <c r="W19">
        <v>2</v>
      </c>
      <c r="X19">
        <v>1</v>
      </c>
      <c r="Y19">
        <v>1</v>
      </c>
      <c r="Z19">
        <v>0</v>
      </c>
      <c r="AA19">
        <v>0</v>
      </c>
      <c r="AB19">
        <v>0</v>
      </c>
      <c r="AC19">
        <v>0</v>
      </c>
      <c r="AD19">
        <v>0</v>
      </c>
      <c r="AE19">
        <v>0</v>
      </c>
      <c r="AF19">
        <v>0</v>
      </c>
      <c r="AG19">
        <v>0</v>
      </c>
      <c r="AH19">
        <v>0</v>
      </c>
      <c r="AI19" t="b">
        <v>1</v>
      </c>
      <c r="AJ19">
        <v>0</v>
      </c>
      <c r="AK19">
        <v>0</v>
      </c>
      <c r="AL19">
        <v>3</v>
      </c>
      <c r="AM19">
        <v>0</v>
      </c>
      <c r="AN19">
        <v>0</v>
      </c>
      <c r="AO19">
        <v>1</v>
      </c>
      <c r="AP19" t="s">
        <v>660</v>
      </c>
    </row>
    <row r="20" spans="1:42" x14ac:dyDescent="0.25">
      <c r="A20" s="1">
        <v>45870.955300925925</v>
      </c>
      <c r="B20">
        <v>56</v>
      </c>
      <c r="C20">
        <v>156</v>
      </c>
      <c r="D20">
        <v>0</v>
      </c>
      <c r="E20">
        <v>0</v>
      </c>
      <c r="F20">
        <v>6</v>
      </c>
      <c r="G20">
        <v>0</v>
      </c>
      <c r="H20">
        <v>0</v>
      </c>
      <c r="I20">
        <v>156</v>
      </c>
      <c r="J20">
        <v>0</v>
      </c>
      <c r="K20">
        <v>0</v>
      </c>
      <c r="L20">
        <v>6</v>
      </c>
      <c r="M20">
        <v>0</v>
      </c>
      <c r="N20">
        <v>0</v>
      </c>
      <c r="O20" t="b">
        <v>1</v>
      </c>
      <c r="P20">
        <v>0</v>
      </c>
      <c r="Q20">
        <v>0</v>
      </c>
      <c r="R20">
        <v>0</v>
      </c>
      <c r="S20">
        <v>0</v>
      </c>
      <c r="T20">
        <v>0</v>
      </c>
      <c r="U20">
        <v>4</v>
      </c>
      <c r="V20" t="s">
        <v>661</v>
      </c>
    </row>
    <row r="21" spans="1:42" x14ac:dyDescent="0.25">
      <c r="A21" s="1">
        <v>45870.955300925925</v>
      </c>
      <c r="B21">
        <v>54</v>
      </c>
      <c r="C21">
        <v>154</v>
      </c>
      <c r="D21">
        <v>1</v>
      </c>
      <c r="E21">
        <v>0</v>
      </c>
      <c r="F21">
        <v>6</v>
      </c>
      <c r="G21">
        <v>0</v>
      </c>
      <c r="H21">
        <v>0</v>
      </c>
      <c r="I21">
        <v>156</v>
      </c>
      <c r="J21">
        <v>0</v>
      </c>
      <c r="K21">
        <v>0</v>
      </c>
      <c r="L21">
        <v>6</v>
      </c>
      <c r="M21">
        <v>0</v>
      </c>
      <c r="N21">
        <v>0</v>
      </c>
      <c r="O21" t="b">
        <v>1</v>
      </c>
      <c r="P21">
        <v>0</v>
      </c>
      <c r="Q21">
        <v>0</v>
      </c>
      <c r="R21">
        <v>0</v>
      </c>
      <c r="S21">
        <v>0</v>
      </c>
      <c r="T21">
        <v>0</v>
      </c>
      <c r="U21">
        <v>4</v>
      </c>
      <c r="V21" t="s">
        <v>662</v>
      </c>
      <c r="W21">
        <v>2</v>
      </c>
      <c r="X21">
        <v>2</v>
      </c>
      <c r="Y21">
        <v>0</v>
      </c>
      <c r="Z21">
        <v>0</v>
      </c>
      <c r="AA21">
        <v>0</v>
      </c>
      <c r="AB21">
        <v>0</v>
      </c>
      <c r="AC21">
        <v>0</v>
      </c>
      <c r="AD21">
        <v>0</v>
      </c>
      <c r="AE21">
        <v>0</v>
      </c>
      <c r="AF21">
        <v>0</v>
      </c>
      <c r="AG21">
        <v>0</v>
      </c>
      <c r="AH21">
        <v>0</v>
      </c>
      <c r="AI21" t="b">
        <v>1</v>
      </c>
      <c r="AJ21">
        <v>0</v>
      </c>
      <c r="AK21">
        <v>0</v>
      </c>
      <c r="AL21">
        <v>0</v>
      </c>
      <c r="AM21">
        <v>0</v>
      </c>
      <c r="AN21">
        <v>0</v>
      </c>
      <c r="AO21">
        <v>4</v>
      </c>
      <c r="AP21" t="s">
        <v>662</v>
      </c>
    </row>
    <row r="22" spans="1:42" x14ac:dyDescent="0.25">
      <c r="A22" s="1">
        <v>45870.955300925925</v>
      </c>
      <c r="B22">
        <v>66</v>
      </c>
      <c r="C22">
        <v>154</v>
      </c>
      <c r="D22">
        <v>67</v>
      </c>
      <c r="E22">
        <v>12</v>
      </c>
      <c r="F22">
        <v>7</v>
      </c>
      <c r="G22">
        <v>0</v>
      </c>
      <c r="H22">
        <v>0</v>
      </c>
      <c r="I22">
        <v>156</v>
      </c>
      <c r="J22">
        <v>0</v>
      </c>
      <c r="K22">
        <v>68</v>
      </c>
      <c r="L22">
        <v>7</v>
      </c>
      <c r="M22">
        <v>0</v>
      </c>
      <c r="N22">
        <v>0</v>
      </c>
      <c r="O22" t="b">
        <v>1</v>
      </c>
      <c r="P22">
        <v>0</v>
      </c>
      <c r="Q22">
        <v>0</v>
      </c>
      <c r="R22">
        <v>2</v>
      </c>
      <c r="S22">
        <v>0</v>
      </c>
      <c r="T22">
        <v>0</v>
      </c>
      <c r="U22">
        <v>2</v>
      </c>
      <c r="V22" t="s">
        <v>663</v>
      </c>
      <c r="W22">
        <v>2</v>
      </c>
      <c r="X22">
        <v>2</v>
      </c>
      <c r="Y22">
        <v>0</v>
      </c>
      <c r="Z22">
        <v>0</v>
      </c>
      <c r="AA22">
        <v>0</v>
      </c>
      <c r="AB22">
        <v>0</v>
      </c>
      <c r="AC22">
        <v>0</v>
      </c>
      <c r="AD22">
        <v>0</v>
      </c>
      <c r="AE22">
        <v>0</v>
      </c>
      <c r="AF22">
        <v>0</v>
      </c>
      <c r="AG22">
        <v>0</v>
      </c>
      <c r="AH22">
        <v>0</v>
      </c>
      <c r="AI22" t="b">
        <v>1</v>
      </c>
      <c r="AJ22">
        <v>0</v>
      </c>
      <c r="AK22">
        <v>0</v>
      </c>
      <c r="AL22">
        <v>2</v>
      </c>
      <c r="AM22">
        <v>0</v>
      </c>
      <c r="AN22">
        <v>0</v>
      </c>
      <c r="AO22">
        <v>2</v>
      </c>
      <c r="AP22" t="s">
        <v>663</v>
      </c>
    </row>
    <row r="23" spans="1:42" x14ac:dyDescent="0.25">
      <c r="A23" s="1">
        <v>45870.955300925925</v>
      </c>
      <c r="B23">
        <v>65</v>
      </c>
      <c r="C23">
        <v>152</v>
      </c>
      <c r="D23">
        <v>75</v>
      </c>
      <c r="E23">
        <v>6</v>
      </c>
      <c r="F23">
        <v>6</v>
      </c>
      <c r="G23">
        <v>0</v>
      </c>
      <c r="H23">
        <v>0</v>
      </c>
      <c r="I23">
        <v>156</v>
      </c>
      <c r="J23">
        <v>0</v>
      </c>
      <c r="K23">
        <v>68</v>
      </c>
      <c r="L23">
        <v>6</v>
      </c>
      <c r="M23">
        <v>0</v>
      </c>
      <c r="N23">
        <v>0</v>
      </c>
      <c r="O23" t="b">
        <v>1</v>
      </c>
      <c r="P23">
        <v>0</v>
      </c>
      <c r="Q23">
        <v>0</v>
      </c>
      <c r="R23">
        <v>3</v>
      </c>
      <c r="S23">
        <v>0</v>
      </c>
      <c r="T23">
        <v>0</v>
      </c>
      <c r="U23">
        <v>1</v>
      </c>
      <c r="V23" t="s">
        <v>664</v>
      </c>
      <c r="W23">
        <v>4</v>
      </c>
      <c r="X23">
        <v>3</v>
      </c>
      <c r="Y23">
        <v>1</v>
      </c>
      <c r="Z23">
        <v>0</v>
      </c>
      <c r="AA23">
        <v>0</v>
      </c>
      <c r="AB23">
        <v>0</v>
      </c>
      <c r="AC23">
        <v>0</v>
      </c>
      <c r="AD23">
        <v>0</v>
      </c>
      <c r="AE23">
        <v>0</v>
      </c>
      <c r="AF23">
        <v>0</v>
      </c>
      <c r="AG23">
        <v>0</v>
      </c>
      <c r="AH23">
        <v>0</v>
      </c>
      <c r="AI23" t="b">
        <v>1</v>
      </c>
      <c r="AJ23">
        <v>0</v>
      </c>
      <c r="AK23">
        <v>0</v>
      </c>
      <c r="AL23">
        <v>3</v>
      </c>
      <c r="AM23">
        <v>0</v>
      </c>
      <c r="AN23">
        <v>0</v>
      </c>
      <c r="AO23">
        <v>1</v>
      </c>
      <c r="AP23" t="s">
        <v>664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1FB70-B8AF-4C07-A941-0894F67F1284}">
  <sheetPr codeName="Sheet8"/>
  <dimension ref="A1:O40"/>
  <sheetViews>
    <sheetView topLeftCell="A23" workbookViewId="0">
      <selection activeCell="E40" sqref="E40:P40"/>
    </sheetView>
  </sheetViews>
  <sheetFormatPr defaultRowHeight="15" x14ac:dyDescent="0.25"/>
  <sheetData>
    <row r="1" spans="1:15" x14ac:dyDescent="0.25">
      <c r="A1" t="s">
        <v>606</v>
      </c>
      <c r="B1" t="s">
        <v>307</v>
      </c>
      <c r="C1" t="s">
        <v>308</v>
      </c>
      <c r="E1" t="s">
        <v>637</v>
      </c>
      <c r="F1" t="s">
        <v>638</v>
      </c>
      <c r="G1" t="s">
        <v>605</v>
      </c>
      <c r="H1" t="s">
        <v>639</v>
      </c>
      <c r="I1" t="s">
        <v>640</v>
      </c>
      <c r="J1" t="s">
        <v>641</v>
      </c>
      <c r="K1" t="s">
        <v>642</v>
      </c>
    </row>
    <row r="2" spans="1:15" x14ac:dyDescent="0.25">
      <c r="A2" t="s">
        <v>8</v>
      </c>
      <c r="B2">
        <v>6778</v>
      </c>
      <c r="C2">
        <v>7122</v>
      </c>
      <c r="E2">
        <v>561</v>
      </c>
      <c r="F2">
        <v>56081</v>
      </c>
      <c r="G2">
        <v>434743</v>
      </c>
      <c r="H2">
        <v>443731</v>
      </c>
      <c r="I2">
        <v>36264</v>
      </c>
      <c r="J2">
        <v>7608</v>
      </c>
      <c r="K2">
        <v>6540</v>
      </c>
    </row>
    <row r="3" spans="1:15" x14ac:dyDescent="0.25">
      <c r="A3" t="s">
        <v>19</v>
      </c>
      <c r="B3">
        <v>5730</v>
      </c>
      <c r="C3">
        <v>4458</v>
      </c>
    </row>
    <row r="4" spans="1:15" x14ac:dyDescent="0.25">
      <c r="A4" t="s">
        <v>107</v>
      </c>
      <c r="B4">
        <v>3000</v>
      </c>
      <c r="C4">
        <v>6</v>
      </c>
      <c r="E4" t="s">
        <v>34</v>
      </c>
      <c r="F4" t="s">
        <v>13</v>
      </c>
      <c r="G4" t="s">
        <v>7</v>
      </c>
      <c r="H4" t="s">
        <v>23</v>
      </c>
      <c r="I4" t="s">
        <v>11</v>
      </c>
      <c r="J4" t="s">
        <v>14</v>
      </c>
      <c r="K4" t="s">
        <v>88</v>
      </c>
      <c r="L4" t="s">
        <v>9</v>
      </c>
      <c r="M4" t="s">
        <v>12</v>
      </c>
      <c r="N4" t="s">
        <v>15</v>
      </c>
      <c r="O4" t="s">
        <v>10</v>
      </c>
    </row>
    <row r="5" spans="1:15" x14ac:dyDescent="0.25">
      <c r="A5" t="s">
        <v>2</v>
      </c>
      <c r="B5">
        <v>1652</v>
      </c>
      <c r="C5">
        <v>1878</v>
      </c>
      <c r="E5" t="s">
        <v>8</v>
      </c>
      <c r="F5">
        <v>0</v>
      </c>
      <c r="G5">
        <v>23659</v>
      </c>
      <c r="H5">
        <v>6070</v>
      </c>
      <c r="I5">
        <v>653</v>
      </c>
      <c r="J5">
        <v>53</v>
      </c>
      <c r="K5">
        <v>501</v>
      </c>
      <c r="L5">
        <v>1914</v>
      </c>
      <c r="M5">
        <v>1071</v>
      </c>
      <c r="N5">
        <v>92</v>
      </c>
      <c r="O5">
        <v>250</v>
      </c>
    </row>
    <row r="6" spans="1:15" x14ac:dyDescent="0.25">
      <c r="A6" t="s">
        <v>57</v>
      </c>
      <c r="B6">
        <v>1715</v>
      </c>
      <c r="C6">
        <v>1242</v>
      </c>
      <c r="E6" t="s">
        <v>19</v>
      </c>
      <c r="F6">
        <v>0</v>
      </c>
      <c r="G6">
        <v>21685</v>
      </c>
      <c r="H6">
        <v>5309</v>
      </c>
      <c r="I6">
        <v>316</v>
      </c>
      <c r="J6">
        <v>51</v>
      </c>
      <c r="K6">
        <v>370</v>
      </c>
      <c r="L6">
        <v>3208</v>
      </c>
      <c r="M6">
        <v>678</v>
      </c>
      <c r="N6">
        <v>166</v>
      </c>
      <c r="O6">
        <v>1994</v>
      </c>
    </row>
    <row r="7" spans="1:15" x14ac:dyDescent="0.25">
      <c r="A7" t="s">
        <v>1</v>
      </c>
      <c r="B7">
        <v>1829</v>
      </c>
      <c r="C7">
        <v>1230</v>
      </c>
      <c r="E7" t="s">
        <v>2</v>
      </c>
      <c r="F7">
        <v>0</v>
      </c>
      <c r="G7">
        <v>7870</v>
      </c>
      <c r="H7">
        <v>624</v>
      </c>
      <c r="I7">
        <v>216</v>
      </c>
      <c r="J7">
        <v>13</v>
      </c>
      <c r="K7">
        <v>109</v>
      </c>
      <c r="L7">
        <v>1453</v>
      </c>
      <c r="M7">
        <v>233</v>
      </c>
      <c r="N7">
        <v>39</v>
      </c>
      <c r="O7">
        <v>1072</v>
      </c>
    </row>
    <row r="8" spans="1:15" x14ac:dyDescent="0.25">
      <c r="A8" t="s">
        <v>0</v>
      </c>
      <c r="B8">
        <v>4082</v>
      </c>
      <c r="C8">
        <v>1110</v>
      </c>
      <c r="E8" t="s">
        <v>1</v>
      </c>
      <c r="F8">
        <v>0</v>
      </c>
      <c r="G8">
        <v>3535</v>
      </c>
      <c r="H8">
        <v>351</v>
      </c>
      <c r="I8">
        <v>11</v>
      </c>
      <c r="J8">
        <v>4</v>
      </c>
      <c r="K8">
        <v>69</v>
      </c>
      <c r="L8">
        <v>619</v>
      </c>
      <c r="M8">
        <v>160</v>
      </c>
      <c r="N8">
        <v>14</v>
      </c>
      <c r="O8">
        <v>376</v>
      </c>
    </row>
    <row r="9" spans="1:15" x14ac:dyDescent="0.25">
      <c r="A9" t="s">
        <v>20</v>
      </c>
      <c r="B9">
        <v>479</v>
      </c>
      <c r="C9">
        <v>486</v>
      </c>
      <c r="E9" t="s">
        <v>55</v>
      </c>
      <c r="F9">
        <v>0</v>
      </c>
      <c r="G9">
        <v>6441</v>
      </c>
      <c r="H9">
        <v>493</v>
      </c>
      <c r="I9">
        <v>6</v>
      </c>
      <c r="J9">
        <v>15</v>
      </c>
      <c r="K9">
        <v>575</v>
      </c>
      <c r="L9">
        <v>2194</v>
      </c>
      <c r="M9">
        <v>200</v>
      </c>
      <c r="N9">
        <v>28</v>
      </c>
      <c r="O9">
        <v>1391</v>
      </c>
    </row>
    <row r="10" spans="1:15" x14ac:dyDescent="0.25">
      <c r="A10" t="s">
        <v>332</v>
      </c>
      <c r="B10">
        <v>9274</v>
      </c>
      <c r="C10">
        <v>7296</v>
      </c>
      <c r="E10" t="s">
        <v>35</v>
      </c>
      <c r="F10">
        <v>0</v>
      </c>
      <c r="G10">
        <v>2962</v>
      </c>
      <c r="H10">
        <v>269</v>
      </c>
      <c r="I10">
        <v>2</v>
      </c>
      <c r="J10">
        <v>12</v>
      </c>
      <c r="K10">
        <v>328</v>
      </c>
      <c r="L10">
        <v>2394</v>
      </c>
      <c r="M10">
        <v>398</v>
      </c>
      <c r="N10">
        <v>11</v>
      </c>
      <c r="O10">
        <v>1657</v>
      </c>
    </row>
    <row r="11" spans="1:15" x14ac:dyDescent="0.25">
      <c r="A11" t="s">
        <v>30</v>
      </c>
      <c r="B11">
        <v>1725</v>
      </c>
      <c r="C11">
        <v>798</v>
      </c>
      <c r="E11" t="s">
        <v>49</v>
      </c>
      <c r="F11">
        <v>0</v>
      </c>
      <c r="G11">
        <v>3772</v>
      </c>
      <c r="H11">
        <v>161</v>
      </c>
      <c r="I11">
        <v>0</v>
      </c>
      <c r="J11">
        <v>6</v>
      </c>
      <c r="K11">
        <v>69</v>
      </c>
      <c r="L11">
        <v>955</v>
      </c>
      <c r="M11">
        <v>208</v>
      </c>
      <c r="N11">
        <v>15</v>
      </c>
      <c r="O11">
        <v>663</v>
      </c>
    </row>
    <row r="12" spans="1:15" x14ac:dyDescent="0.25">
      <c r="E12" t="s">
        <v>43</v>
      </c>
      <c r="F12">
        <v>0</v>
      </c>
      <c r="G12">
        <v>69924</v>
      </c>
      <c r="H12">
        <v>13277</v>
      </c>
      <c r="I12">
        <v>1204</v>
      </c>
      <c r="J12">
        <v>154</v>
      </c>
      <c r="K12">
        <v>2021</v>
      </c>
      <c r="L12">
        <v>12737</v>
      </c>
      <c r="M12">
        <v>2948</v>
      </c>
      <c r="N12">
        <v>365</v>
      </c>
      <c r="O12">
        <v>7403</v>
      </c>
    </row>
    <row r="13" spans="1:15" x14ac:dyDescent="0.25">
      <c r="E13" t="s">
        <v>56</v>
      </c>
      <c r="F13" t="s">
        <v>13</v>
      </c>
      <c r="G13" t="s">
        <v>7</v>
      </c>
      <c r="H13" t="s">
        <v>23</v>
      </c>
      <c r="I13" t="s">
        <v>11</v>
      </c>
      <c r="J13" t="s">
        <v>14</v>
      </c>
      <c r="K13" t="s">
        <v>88</v>
      </c>
      <c r="L13" t="s">
        <v>9</v>
      </c>
      <c r="M13" t="s">
        <v>12</v>
      </c>
      <c r="N13" t="s">
        <v>15</v>
      </c>
      <c r="O13" t="s">
        <v>10</v>
      </c>
    </row>
    <row r="14" spans="1:15" x14ac:dyDescent="0.25">
      <c r="F14">
        <v>2761</v>
      </c>
      <c r="G14">
        <v>8866</v>
      </c>
      <c r="H14">
        <v>155</v>
      </c>
      <c r="I14">
        <v>3507</v>
      </c>
      <c r="J14">
        <v>275</v>
      </c>
      <c r="K14">
        <v>10</v>
      </c>
      <c r="L14">
        <v>2578</v>
      </c>
      <c r="M14">
        <v>19</v>
      </c>
      <c r="N14">
        <v>0</v>
      </c>
      <c r="O14">
        <v>2549</v>
      </c>
    </row>
    <row r="15" spans="1:15" x14ac:dyDescent="0.25">
      <c r="E15" t="s">
        <v>41</v>
      </c>
      <c r="F15">
        <v>0</v>
      </c>
      <c r="G15">
        <v>500</v>
      </c>
      <c r="H15">
        <v>1</v>
      </c>
      <c r="I15">
        <v>813</v>
      </c>
      <c r="J15">
        <v>12</v>
      </c>
      <c r="K15">
        <v>0</v>
      </c>
      <c r="L15">
        <v>725</v>
      </c>
      <c r="M15">
        <v>0</v>
      </c>
      <c r="N15">
        <v>0</v>
      </c>
      <c r="O15">
        <v>725</v>
      </c>
    </row>
    <row r="16" spans="1:15" x14ac:dyDescent="0.25">
      <c r="E16" t="s">
        <v>51</v>
      </c>
      <c r="F16">
        <v>0</v>
      </c>
      <c r="G16">
        <v>477</v>
      </c>
      <c r="H16">
        <v>0</v>
      </c>
      <c r="I16">
        <v>530</v>
      </c>
      <c r="J16">
        <v>79</v>
      </c>
      <c r="K16">
        <v>0</v>
      </c>
      <c r="L16">
        <v>69</v>
      </c>
      <c r="M16">
        <v>10</v>
      </c>
      <c r="N16">
        <v>0</v>
      </c>
      <c r="O16">
        <v>59</v>
      </c>
    </row>
    <row r="17" spans="5:15" x14ac:dyDescent="0.25">
      <c r="E17" t="s">
        <v>53</v>
      </c>
      <c r="F17">
        <v>0</v>
      </c>
      <c r="G17">
        <v>1332</v>
      </c>
      <c r="H17">
        <v>0</v>
      </c>
      <c r="I17">
        <v>1362</v>
      </c>
      <c r="J17">
        <v>32</v>
      </c>
      <c r="K17">
        <v>0</v>
      </c>
      <c r="L17">
        <v>701</v>
      </c>
      <c r="M17">
        <v>0</v>
      </c>
      <c r="N17">
        <v>0</v>
      </c>
      <c r="O17">
        <v>701</v>
      </c>
    </row>
    <row r="18" spans="5:15" x14ac:dyDescent="0.25">
      <c r="E18" t="s">
        <v>39</v>
      </c>
      <c r="F18">
        <v>0</v>
      </c>
      <c r="G18">
        <v>4280</v>
      </c>
      <c r="H18">
        <v>2</v>
      </c>
      <c r="I18">
        <v>0</v>
      </c>
      <c r="J18">
        <v>145</v>
      </c>
      <c r="K18">
        <v>10</v>
      </c>
      <c r="L18">
        <v>666</v>
      </c>
      <c r="M18">
        <v>7</v>
      </c>
      <c r="N18">
        <v>0</v>
      </c>
      <c r="O18">
        <v>649</v>
      </c>
    </row>
    <row r="19" spans="5:15" x14ac:dyDescent="0.25">
      <c r="E19" t="s">
        <v>40</v>
      </c>
      <c r="F19">
        <v>0</v>
      </c>
      <c r="G19">
        <v>640</v>
      </c>
      <c r="H19">
        <v>0</v>
      </c>
      <c r="I19">
        <v>0</v>
      </c>
      <c r="J19">
        <v>6</v>
      </c>
      <c r="K19">
        <v>0</v>
      </c>
      <c r="L19">
        <v>417</v>
      </c>
      <c r="M19">
        <v>2</v>
      </c>
      <c r="N19">
        <v>0</v>
      </c>
      <c r="O19">
        <v>415</v>
      </c>
    </row>
    <row r="20" spans="5:15" x14ac:dyDescent="0.25">
      <c r="E20" t="s">
        <v>36</v>
      </c>
      <c r="F20" t="s">
        <v>13</v>
      </c>
      <c r="G20" t="s">
        <v>7</v>
      </c>
      <c r="H20" t="s">
        <v>23</v>
      </c>
      <c r="I20" t="s">
        <v>11</v>
      </c>
      <c r="J20" t="s">
        <v>14</v>
      </c>
      <c r="K20" t="s">
        <v>88</v>
      </c>
      <c r="L20" t="s">
        <v>9</v>
      </c>
      <c r="M20" t="s">
        <v>12</v>
      </c>
      <c r="N20" t="s">
        <v>15</v>
      </c>
      <c r="O20" t="s">
        <v>10</v>
      </c>
    </row>
    <row r="21" spans="5:15" x14ac:dyDescent="0.25">
      <c r="F21">
        <v>3676</v>
      </c>
      <c r="G21">
        <v>31153</v>
      </c>
      <c r="H21">
        <v>0</v>
      </c>
      <c r="I21">
        <v>0</v>
      </c>
      <c r="J21">
        <v>0</v>
      </c>
      <c r="K21">
        <v>423</v>
      </c>
      <c r="L21">
        <v>5361</v>
      </c>
      <c r="M21">
        <v>1237</v>
      </c>
      <c r="N21">
        <v>144</v>
      </c>
      <c r="O21">
        <v>3557</v>
      </c>
    </row>
    <row r="22" spans="5:15" x14ac:dyDescent="0.25">
      <c r="E22" t="s">
        <v>187</v>
      </c>
      <c r="F22">
        <v>0</v>
      </c>
      <c r="G22">
        <v>10</v>
      </c>
      <c r="H22">
        <v>0</v>
      </c>
      <c r="I22">
        <v>0</v>
      </c>
      <c r="J22">
        <v>0</v>
      </c>
      <c r="K22">
        <v>0</v>
      </c>
      <c r="L22">
        <v>28</v>
      </c>
      <c r="M22">
        <v>0</v>
      </c>
      <c r="N22">
        <v>4</v>
      </c>
      <c r="O22">
        <v>24</v>
      </c>
    </row>
    <row r="23" spans="5:15" x14ac:dyDescent="0.25">
      <c r="E23" t="s">
        <v>28</v>
      </c>
      <c r="F23">
        <v>388</v>
      </c>
      <c r="G23">
        <v>225</v>
      </c>
      <c r="H23">
        <v>0</v>
      </c>
      <c r="I23">
        <v>0</v>
      </c>
      <c r="J23">
        <v>0</v>
      </c>
      <c r="K23">
        <v>0</v>
      </c>
      <c r="L23">
        <v>98</v>
      </c>
      <c r="M23">
        <v>17</v>
      </c>
      <c r="N23">
        <v>1</v>
      </c>
      <c r="O23">
        <v>80</v>
      </c>
    </row>
    <row r="24" spans="5:15" x14ac:dyDescent="0.25">
      <c r="E24" t="s">
        <v>334</v>
      </c>
      <c r="F24">
        <v>0</v>
      </c>
      <c r="G24">
        <v>0</v>
      </c>
      <c r="H24">
        <v>0</v>
      </c>
      <c r="I24">
        <v>0</v>
      </c>
      <c r="J24">
        <v>0</v>
      </c>
      <c r="K24">
        <v>0</v>
      </c>
      <c r="L24">
        <v>22</v>
      </c>
      <c r="M24">
        <v>0</v>
      </c>
      <c r="N24">
        <v>0</v>
      </c>
      <c r="O24">
        <v>22</v>
      </c>
    </row>
    <row r="25" spans="5:15" x14ac:dyDescent="0.25">
      <c r="E25" t="s">
        <v>30</v>
      </c>
      <c r="F25">
        <v>33</v>
      </c>
      <c r="G25">
        <v>545</v>
      </c>
      <c r="H25">
        <v>0</v>
      </c>
      <c r="I25">
        <v>0</v>
      </c>
      <c r="J25">
        <v>0</v>
      </c>
      <c r="K25">
        <v>82</v>
      </c>
      <c r="L25">
        <v>702</v>
      </c>
      <c r="M25">
        <v>167</v>
      </c>
      <c r="N25">
        <v>3</v>
      </c>
      <c r="O25">
        <v>450</v>
      </c>
    </row>
    <row r="26" spans="5:15" x14ac:dyDescent="0.25">
      <c r="E26" t="s">
        <v>54</v>
      </c>
      <c r="F26">
        <v>0</v>
      </c>
      <c r="G26">
        <v>2</v>
      </c>
      <c r="H26">
        <v>0</v>
      </c>
      <c r="I26">
        <v>0</v>
      </c>
      <c r="J26">
        <v>0</v>
      </c>
      <c r="K26">
        <v>0</v>
      </c>
      <c r="L26">
        <v>66</v>
      </c>
      <c r="M26">
        <v>18</v>
      </c>
      <c r="N26">
        <v>0</v>
      </c>
      <c r="O26">
        <v>48</v>
      </c>
    </row>
    <row r="27" spans="5:15" x14ac:dyDescent="0.25">
      <c r="E27" t="s">
        <v>52</v>
      </c>
      <c r="F27">
        <v>0</v>
      </c>
      <c r="G27">
        <v>0</v>
      </c>
      <c r="H27">
        <v>0</v>
      </c>
      <c r="I27">
        <v>0</v>
      </c>
      <c r="J27">
        <v>0</v>
      </c>
      <c r="K27">
        <v>0</v>
      </c>
      <c r="L27">
        <v>12</v>
      </c>
      <c r="M27">
        <v>1</v>
      </c>
      <c r="N27">
        <v>0</v>
      </c>
      <c r="O27">
        <v>11</v>
      </c>
    </row>
    <row r="28" spans="5:15" x14ac:dyDescent="0.25">
      <c r="E28" t="s">
        <v>332</v>
      </c>
      <c r="F28">
        <v>0</v>
      </c>
      <c r="G28">
        <v>30297</v>
      </c>
      <c r="H28">
        <v>0</v>
      </c>
      <c r="I28">
        <v>0</v>
      </c>
      <c r="J28">
        <v>0</v>
      </c>
      <c r="K28">
        <v>338</v>
      </c>
      <c r="L28">
        <v>3038</v>
      </c>
      <c r="M28">
        <v>982</v>
      </c>
      <c r="N28">
        <v>127</v>
      </c>
      <c r="O28">
        <v>1591</v>
      </c>
    </row>
    <row r="29" spans="5:15" x14ac:dyDescent="0.25">
      <c r="E29" t="s">
        <v>50</v>
      </c>
      <c r="F29">
        <v>776</v>
      </c>
      <c r="G29">
        <v>74</v>
      </c>
      <c r="H29">
        <v>0</v>
      </c>
      <c r="I29">
        <v>0</v>
      </c>
      <c r="J29">
        <v>0</v>
      </c>
      <c r="K29">
        <v>0</v>
      </c>
      <c r="L29">
        <v>426</v>
      </c>
      <c r="M29">
        <v>6</v>
      </c>
      <c r="N29">
        <v>2</v>
      </c>
      <c r="O29">
        <v>418</v>
      </c>
    </row>
    <row r="30" spans="5:15" x14ac:dyDescent="0.25">
      <c r="E30" t="s">
        <v>24</v>
      </c>
      <c r="F30">
        <v>1153</v>
      </c>
      <c r="G30">
        <v>0</v>
      </c>
      <c r="H30">
        <v>0</v>
      </c>
      <c r="I30">
        <v>0</v>
      </c>
      <c r="J30">
        <v>0</v>
      </c>
      <c r="K30">
        <v>3</v>
      </c>
      <c r="L30">
        <v>44</v>
      </c>
      <c r="M30">
        <v>21</v>
      </c>
      <c r="N30">
        <v>0</v>
      </c>
      <c r="O30">
        <v>20</v>
      </c>
    </row>
    <row r="31" spans="5:15" x14ac:dyDescent="0.25">
      <c r="E31" t="s">
        <v>333</v>
      </c>
      <c r="F31">
        <v>0</v>
      </c>
      <c r="G31">
        <v>0</v>
      </c>
      <c r="H31">
        <v>0</v>
      </c>
      <c r="I31">
        <v>0</v>
      </c>
      <c r="J31">
        <v>0</v>
      </c>
      <c r="K31">
        <v>0</v>
      </c>
      <c r="L31">
        <v>269</v>
      </c>
      <c r="M31">
        <v>0</v>
      </c>
      <c r="N31">
        <v>0</v>
      </c>
      <c r="O31">
        <v>269</v>
      </c>
    </row>
    <row r="32" spans="5:15" x14ac:dyDescent="0.25">
      <c r="E32" t="s">
        <v>335</v>
      </c>
      <c r="F32">
        <v>0</v>
      </c>
      <c r="G32">
        <v>0</v>
      </c>
      <c r="H32">
        <v>0</v>
      </c>
      <c r="I32">
        <v>0</v>
      </c>
      <c r="J32">
        <v>0</v>
      </c>
      <c r="K32">
        <v>0</v>
      </c>
      <c r="L32">
        <v>35</v>
      </c>
      <c r="M32">
        <v>1</v>
      </c>
      <c r="N32">
        <v>5</v>
      </c>
      <c r="O32">
        <v>29</v>
      </c>
    </row>
    <row r="33" spans="5:15" x14ac:dyDescent="0.25">
      <c r="E33" t="s">
        <v>27</v>
      </c>
      <c r="F33">
        <v>0</v>
      </c>
      <c r="G33">
        <v>0</v>
      </c>
      <c r="H33">
        <v>0</v>
      </c>
      <c r="I33">
        <v>0</v>
      </c>
      <c r="J33">
        <v>0</v>
      </c>
      <c r="K33">
        <v>0</v>
      </c>
      <c r="L33">
        <v>351</v>
      </c>
      <c r="M33">
        <v>9</v>
      </c>
      <c r="N33">
        <v>1</v>
      </c>
      <c r="O33">
        <v>341</v>
      </c>
    </row>
    <row r="34" spans="5:15" x14ac:dyDescent="0.25">
      <c r="E34" t="s">
        <v>44</v>
      </c>
      <c r="F34">
        <v>0</v>
      </c>
      <c r="G34">
        <v>0</v>
      </c>
      <c r="H34">
        <v>0</v>
      </c>
      <c r="I34">
        <v>0</v>
      </c>
      <c r="J34">
        <v>0</v>
      </c>
      <c r="K34">
        <v>0</v>
      </c>
      <c r="L34">
        <v>7</v>
      </c>
      <c r="M34">
        <v>0</v>
      </c>
      <c r="N34">
        <v>0</v>
      </c>
      <c r="O34">
        <v>7</v>
      </c>
    </row>
    <row r="35" spans="5:15" x14ac:dyDescent="0.25">
      <c r="E35" t="s">
        <v>26</v>
      </c>
      <c r="F35">
        <v>1326</v>
      </c>
      <c r="G35">
        <v>0</v>
      </c>
      <c r="H35">
        <v>0</v>
      </c>
      <c r="I35">
        <v>0</v>
      </c>
      <c r="J35">
        <v>0</v>
      </c>
      <c r="K35">
        <v>0</v>
      </c>
      <c r="L35">
        <v>10</v>
      </c>
      <c r="M35">
        <v>3</v>
      </c>
      <c r="N35">
        <v>1</v>
      </c>
      <c r="O35">
        <v>6</v>
      </c>
    </row>
    <row r="36" spans="5:15" x14ac:dyDescent="0.25">
      <c r="E36" t="s">
        <v>64</v>
      </c>
      <c r="F36">
        <v>0</v>
      </c>
      <c r="G36">
        <v>0</v>
      </c>
      <c r="H36">
        <v>0</v>
      </c>
      <c r="I36">
        <v>0</v>
      </c>
      <c r="J36">
        <v>0</v>
      </c>
      <c r="K36">
        <v>0</v>
      </c>
      <c r="L36">
        <v>44</v>
      </c>
      <c r="M36">
        <v>11</v>
      </c>
      <c r="N36">
        <v>0</v>
      </c>
      <c r="O36">
        <v>33</v>
      </c>
    </row>
    <row r="37" spans="5:15" x14ac:dyDescent="0.25">
      <c r="E37" t="s">
        <v>25</v>
      </c>
      <c r="F37">
        <v>0</v>
      </c>
      <c r="G37">
        <v>0</v>
      </c>
      <c r="H37">
        <v>0</v>
      </c>
      <c r="I37">
        <v>0</v>
      </c>
      <c r="J37">
        <v>0</v>
      </c>
      <c r="K37">
        <v>0</v>
      </c>
      <c r="L37">
        <v>58</v>
      </c>
      <c r="M37">
        <v>0</v>
      </c>
      <c r="N37">
        <v>0</v>
      </c>
      <c r="O37">
        <v>58</v>
      </c>
    </row>
    <row r="38" spans="5:15" x14ac:dyDescent="0.25">
      <c r="E38" t="s">
        <v>336</v>
      </c>
      <c r="F38">
        <v>0</v>
      </c>
      <c r="G38">
        <v>0</v>
      </c>
      <c r="H38">
        <v>0</v>
      </c>
      <c r="I38">
        <v>0</v>
      </c>
      <c r="J38">
        <v>0</v>
      </c>
      <c r="K38">
        <v>0</v>
      </c>
      <c r="L38">
        <v>68</v>
      </c>
      <c r="M38">
        <v>1</v>
      </c>
      <c r="N38">
        <v>0</v>
      </c>
      <c r="O38">
        <v>67</v>
      </c>
    </row>
    <row r="39" spans="5:15" x14ac:dyDescent="0.25">
      <c r="E39" t="s">
        <v>61</v>
      </c>
      <c r="F39">
        <v>0</v>
      </c>
      <c r="G39">
        <v>0</v>
      </c>
      <c r="H39">
        <v>0</v>
      </c>
      <c r="I39">
        <v>0</v>
      </c>
      <c r="J39">
        <v>0</v>
      </c>
      <c r="K39">
        <v>0</v>
      </c>
      <c r="L39">
        <v>82</v>
      </c>
      <c r="M39">
        <v>0</v>
      </c>
      <c r="N39">
        <v>0</v>
      </c>
      <c r="O39">
        <v>82</v>
      </c>
    </row>
    <row r="40" spans="5:15" x14ac:dyDescent="0.25">
      <c r="E40" t="s">
        <v>194</v>
      </c>
      <c r="F40">
        <v>0</v>
      </c>
      <c r="G40">
        <v>0</v>
      </c>
      <c r="H40">
        <v>0</v>
      </c>
      <c r="I40">
        <v>0</v>
      </c>
      <c r="J40">
        <v>0</v>
      </c>
      <c r="K40">
        <v>0</v>
      </c>
      <c r="L40">
        <v>1</v>
      </c>
      <c r="M40">
        <v>0</v>
      </c>
      <c r="N40">
        <v>0</v>
      </c>
      <c r="O40">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9C449-2BE0-4427-98BD-AAEA917B02AF}">
  <sheetPr codeName="Sheet2"/>
  <dimension ref="A1:R5"/>
  <sheetViews>
    <sheetView workbookViewId="0">
      <selection activeCell="D5" sqref="D5"/>
    </sheetView>
  </sheetViews>
  <sheetFormatPr defaultRowHeight="15" x14ac:dyDescent="0.25"/>
  <cols>
    <col min="1" max="1" width="11.42578125" bestFit="1" customWidth="1"/>
    <col min="2" max="2" width="17" bestFit="1" customWidth="1"/>
    <col min="3" max="3" width="20" bestFit="1" customWidth="1"/>
    <col min="4" max="4" width="12.42578125" bestFit="1" customWidth="1"/>
    <col min="5" max="5" width="7.42578125" bestFit="1" customWidth="1"/>
    <col min="6" max="6" width="15.7109375" bestFit="1" customWidth="1"/>
    <col min="7" max="7" width="10.7109375" bestFit="1" customWidth="1"/>
    <col min="8" max="8" width="14.85546875" bestFit="1" customWidth="1"/>
    <col min="9" max="9" width="8.42578125" bestFit="1" customWidth="1"/>
    <col min="10" max="10" width="9.7109375" bestFit="1" customWidth="1"/>
    <col min="11" max="11" width="5.28515625" bestFit="1" customWidth="1"/>
    <col min="12" max="12" width="12.28515625" bestFit="1" customWidth="1"/>
    <col min="13" max="13" width="14.5703125" bestFit="1" customWidth="1"/>
    <col min="14" max="14" width="14.28515625" bestFit="1" customWidth="1"/>
    <col min="15" max="15" width="13.28515625" bestFit="1" customWidth="1"/>
    <col min="16" max="16" width="12.85546875" bestFit="1" customWidth="1"/>
    <col min="17" max="17" width="10.85546875" bestFit="1" customWidth="1"/>
    <col min="18" max="18" width="10.140625" bestFit="1" customWidth="1"/>
  </cols>
  <sheetData>
    <row r="1" spans="1:18" x14ac:dyDescent="0.25">
      <c r="A1" t="s">
        <v>309</v>
      </c>
      <c r="B1" t="s">
        <v>310</v>
      </c>
      <c r="C1" t="s">
        <v>311</v>
      </c>
      <c r="D1" t="s">
        <v>312</v>
      </c>
      <c r="E1" t="s">
        <v>313</v>
      </c>
      <c r="F1" t="s">
        <v>314</v>
      </c>
      <c r="G1" t="s">
        <v>315</v>
      </c>
      <c r="H1" t="s">
        <v>316</v>
      </c>
      <c r="I1" t="s">
        <v>317</v>
      </c>
      <c r="J1" t="s">
        <v>318</v>
      </c>
      <c r="K1" t="s">
        <v>319</v>
      </c>
      <c r="L1" t="s">
        <v>320</v>
      </c>
      <c r="M1" t="s">
        <v>321</v>
      </c>
      <c r="N1" t="s">
        <v>322</v>
      </c>
      <c r="O1" t="s">
        <v>323</v>
      </c>
      <c r="P1" t="s">
        <v>324</v>
      </c>
      <c r="Q1" t="s">
        <v>325</v>
      </c>
      <c r="R1" t="s">
        <v>326</v>
      </c>
    </row>
    <row r="2" spans="1:18" x14ac:dyDescent="0.25">
      <c r="A2">
        <v>1</v>
      </c>
      <c r="B2">
        <v>3</v>
      </c>
      <c r="C2">
        <v>3</v>
      </c>
      <c r="D2">
        <v>12</v>
      </c>
      <c r="E2">
        <v>1</v>
      </c>
      <c r="F2" s="186">
        <v>0.35</v>
      </c>
      <c r="G2">
        <v>12</v>
      </c>
      <c r="H2">
        <v>0</v>
      </c>
      <c r="I2">
        <v>0</v>
      </c>
      <c r="J2">
        <v>12</v>
      </c>
      <c r="K2">
        <v>16</v>
      </c>
      <c r="L2">
        <v>0</v>
      </c>
      <c r="M2">
        <v>16</v>
      </c>
      <c r="N2">
        <v>67</v>
      </c>
      <c r="O2">
        <v>103</v>
      </c>
      <c r="P2">
        <v>36</v>
      </c>
      <c r="Q2" t="s">
        <v>306</v>
      </c>
      <c r="R2" t="s">
        <v>327</v>
      </c>
    </row>
    <row r="3" spans="1:18" x14ac:dyDescent="0.25">
      <c r="A3">
        <v>1</v>
      </c>
      <c r="B3">
        <v>0</v>
      </c>
      <c r="C3">
        <v>0</v>
      </c>
      <c r="D3">
        <v>10</v>
      </c>
      <c r="E3">
        <v>0</v>
      </c>
      <c r="F3" s="186">
        <v>0.185</v>
      </c>
      <c r="G3">
        <v>9</v>
      </c>
      <c r="H3">
        <v>0</v>
      </c>
      <c r="I3">
        <v>0</v>
      </c>
      <c r="J3">
        <v>9</v>
      </c>
      <c r="K3">
        <v>10</v>
      </c>
      <c r="L3">
        <v>0</v>
      </c>
      <c r="M3">
        <v>10</v>
      </c>
      <c r="N3">
        <v>88</v>
      </c>
      <c r="O3">
        <v>108</v>
      </c>
      <c r="P3">
        <v>20</v>
      </c>
      <c r="Q3" t="s">
        <v>306</v>
      </c>
      <c r="R3" t="s">
        <v>328</v>
      </c>
    </row>
    <row r="4" spans="1:18" x14ac:dyDescent="0.25">
      <c r="A4">
        <v>0</v>
      </c>
      <c r="B4">
        <v>1</v>
      </c>
      <c r="C4">
        <v>1</v>
      </c>
      <c r="D4">
        <v>12</v>
      </c>
      <c r="E4">
        <v>1</v>
      </c>
      <c r="F4" s="186">
        <v>0.26800000000000002</v>
      </c>
      <c r="G4">
        <v>13</v>
      </c>
      <c r="H4">
        <v>0</v>
      </c>
      <c r="I4">
        <v>0</v>
      </c>
      <c r="J4">
        <v>13</v>
      </c>
      <c r="K4">
        <v>14</v>
      </c>
      <c r="L4">
        <v>0</v>
      </c>
      <c r="M4">
        <v>14</v>
      </c>
      <c r="N4">
        <v>82</v>
      </c>
      <c r="O4">
        <v>112</v>
      </c>
      <c r="P4">
        <v>30</v>
      </c>
      <c r="Q4" t="s">
        <v>306</v>
      </c>
      <c r="R4" t="s">
        <v>329</v>
      </c>
    </row>
    <row r="5" spans="1:18" x14ac:dyDescent="0.25">
      <c r="A5">
        <v>0</v>
      </c>
      <c r="B5">
        <v>0</v>
      </c>
      <c r="C5">
        <v>0</v>
      </c>
      <c r="D5">
        <v>17</v>
      </c>
      <c r="E5">
        <v>0</v>
      </c>
      <c r="F5" s="186">
        <v>0.28899999999999998</v>
      </c>
      <c r="G5">
        <v>13</v>
      </c>
      <c r="H5">
        <v>1</v>
      </c>
      <c r="I5">
        <v>0</v>
      </c>
      <c r="J5">
        <v>14</v>
      </c>
      <c r="K5">
        <v>19</v>
      </c>
      <c r="L5">
        <v>0</v>
      </c>
      <c r="M5">
        <v>19</v>
      </c>
      <c r="N5">
        <v>81</v>
      </c>
      <c r="O5">
        <v>114</v>
      </c>
      <c r="P5">
        <v>33</v>
      </c>
      <c r="Q5" t="s">
        <v>306</v>
      </c>
      <c r="R5" t="s">
        <v>330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09052-33CC-4C56-94D9-29429ADBF987}">
  <sheetPr codeName="Sheet9"/>
  <dimension ref="A1:DR150"/>
  <sheetViews>
    <sheetView topLeftCell="CS1" workbookViewId="0">
      <selection activeCell="I8" sqref="I8"/>
    </sheetView>
  </sheetViews>
  <sheetFormatPr defaultRowHeight="15" x14ac:dyDescent="0.25"/>
  <sheetData>
    <row r="1" spans="1:122" x14ac:dyDescent="0.25">
      <c r="A1" t="s">
        <v>233</v>
      </c>
      <c r="B1" t="s">
        <v>234</v>
      </c>
      <c r="C1" t="s">
        <v>235</v>
      </c>
      <c r="D1" t="s">
        <v>236</v>
      </c>
      <c r="E1" t="s">
        <v>236</v>
      </c>
      <c r="F1" t="s">
        <v>236</v>
      </c>
      <c r="G1" t="s">
        <v>236</v>
      </c>
      <c r="H1" t="s">
        <v>236</v>
      </c>
      <c r="I1" t="s">
        <v>236</v>
      </c>
      <c r="J1" t="s">
        <v>236</v>
      </c>
      <c r="K1" t="s">
        <v>236</v>
      </c>
      <c r="L1" t="s">
        <v>236</v>
      </c>
      <c r="M1" t="s">
        <v>236</v>
      </c>
      <c r="N1" t="s">
        <v>236</v>
      </c>
      <c r="O1" t="s">
        <v>236</v>
      </c>
      <c r="P1" t="s">
        <v>236</v>
      </c>
      <c r="Q1" t="s">
        <v>236</v>
      </c>
      <c r="R1" t="s">
        <v>236</v>
      </c>
      <c r="S1" t="s">
        <v>236</v>
      </c>
      <c r="T1" t="s">
        <v>236</v>
      </c>
      <c r="U1" t="s">
        <v>236</v>
      </c>
      <c r="V1" t="s">
        <v>236</v>
      </c>
      <c r="W1" t="s">
        <v>236</v>
      </c>
      <c r="X1" t="s">
        <v>236</v>
      </c>
      <c r="Y1" t="s">
        <v>236</v>
      </c>
      <c r="Z1" t="s">
        <v>236</v>
      </c>
      <c r="AA1" t="s">
        <v>236</v>
      </c>
      <c r="AB1" t="s">
        <v>236</v>
      </c>
      <c r="AC1" t="s">
        <v>236</v>
      </c>
      <c r="AD1" t="s">
        <v>236</v>
      </c>
      <c r="AE1" t="s">
        <v>236</v>
      </c>
      <c r="AF1" t="s">
        <v>236</v>
      </c>
      <c r="AG1" t="s">
        <v>236</v>
      </c>
      <c r="AH1" t="s">
        <v>236</v>
      </c>
      <c r="AI1" t="s">
        <v>236</v>
      </c>
      <c r="AJ1" t="s">
        <v>236</v>
      </c>
      <c r="AK1" t="s">
        <v>236</v>
      </c>
      <c r="AL1" t="s">
        <v>236</v>
      </c>
      <c r="AM1" t="s">
        <v>236</v>
      </c>
      <c r="AN1" t="s">
        <v>236</v>
      </c>
      <c r="AO1" t="s">
        <v>236</v>
      </c>
      <c r="AP1" t="s">
        <v>236</v>
      </c>
      <c r="AQ1" t="s">
        <v>251</v>
      </c>
      <c r="AR1" t="s">
        <v>251</v>
      </c>
      <c r="AS1" t="s">
        <v>251</v>
      </c>
      <c r="AT1" t="s">
        <v>251</v>
      </c>
      <c r="AU1" t="s">
        <v>251</v>
      </c>
      <c r="AV1" t="s">
        <v>251</v>
      </c>
      <c r="AW1" t="s">
        <v>251</v>
      </c>
      <c r="AX1" t="s">
        <v>251</v>
      </c>
      <c r="AY1" t="s">
        <v>251</v>
      </c>
      <c r="AZ1" t="s">
        <v>251</v>
      </c>
      <c r="BA1" t="s">
        <v>251</v>
      </c>
      <c r="BB1" t="s">
        <v>251</v>
      </c>
      <c r="BC1" t="s">
        <v>251</v>
      </c>
      <c r="BD1" t="s">
        <v>251</v>
      </c>
      <c r="BE1" t="s">
        <v>251</v>
      </c>
      <c r="BF1" t="s">
        <v>251</v>
      </c>
      <c r="BG1" t="s">
        <v>251</v>
      </c>
      <c r="BH1" t="s">
        <v>251</v>
      </c>
      <c r="BI1" t="s">
        <v>251</v>
      </c>
      <c r="BJ1" t="s">
        <v>251</v>
      </c>
      <c r="BK1" t="s">
        <v>251</v>
      </c>
      <c r="BL1" t="s">
        <v>251</v>
      </c>
      <c r="BM1" t="s">
        <v>251</v>
      </c>
      <c r="BN1" t="s">
        <v>251</v>
      </c>
      <c r="BO1" t="s">
        <v>251</v>
      </c>
      <c r="BP1" t="s">
        <v>251</v>
      </c>
      <c r="BQ1" t="s">
        <v>251</v>
      </c>
      <c r="BR1" t="s">
        <v>251</v>
      </c>
      <c r="BS1" t="s">
        <v>251</v>
      </c>
      <c r="BT1" t="s">
        <v>251</v>
      </c>
      <c r="BU1" t="s">
        <v>251</v>
      </c>
      <c r="BV1" t="s">
        <v>251</v>
      </c>
      <c r="BW1" t="s">
        <v>251</v>
      </c>
      <c r="BX1" t="s">
        <v>251</v>
      </c>
      <c r="BY1" t="s">
        <v>251</v>
      </c>
      <c r="BZ1" t="s">
        <v>251</v>
      </c>
      <c r="CA1" t="s">
        <v>251</v>
      </c>
      <c r="CB1" t="s">
        <v>251</v>
      </c>
      <c r="CC1" t="s">
        <v>251</v>
      </c>
      <c r="CD1" t="s">
        <v>251</v>
      </c>
      <c r="CE1" t="s">
        <v>251</v>
      </c>
      <c r="CF1" t="s">
        <v>251</v>
      </c>
      <c r="CG1" t="s">
        <v>251</v>
      </c>
      <c r="CH1" t="s">
        <v>251</v>
      </c>
      <c r="CI1" t="s">
        <v>251</v>
      </c>
      <c r="CJ1" t="s">
        <v>251</v>
      </c>
      <c r="CK1" t="s">
        <v>251</v>
      </c>
      <c r="CL1" t="s">
        <v>251</v>
      </c>
      <c r="CM1" t="s">
        <v>251</v>
      </c>
      <c r="CN1" t="s">
        <v>251</v>
      </c>
      <c r="CO1" t="s">
        <v>251</v>
      </c>
      <c r="CP1" t="s">
        <v>251</v>
      </c>
      <c r="CQ1" t="s">
        <v>251</v>
      </c>
      <c r="CR1" t="s">
        <v>251</v>
      </c>
      <c r="CS1" t="s">
        <v>251</v>
      </c>
      <c r="CT1" t="s">
        <v>251</v>
      </c>
      <c r="CU1" t="s">
        <v>251</v>
      </c>
      <c r="CV1" t="s">
        <v>252</v>
      </c>
      <c r="CW1" t="s">
        <v>252</v>
      </c>
      <c r="CX1" t="s">
        <v>252</v>
      </c>
      <c r="CY1" t="s">
        <v>252</v>
      </c>
      <c r="CZ1" t="s">
        <v>252</v>
      </c>
      <c r="DA1" t="s">
        <v>252</v>
      </c>
      <c r="DB1" t="s">
        <v>252</v>
      </c>
      <c r="DC1" t="s">
        <v>253</v>
      </c>
      <c r="DD1" t="s">
        <v>254</v>
      </c>
      <c r="DE1" t="s">
        <v>255</v>
      </c>
      <c r="DF1" t="s">
        <v>256</v>
      </c>
      <c r="DG1" t="s">
        <v>256</v>
      </c>
      <c r="DH1" t="s">
        <v>256</v>
      </c>
      <c r="DI1" t="s">
        <v>256</v>
      </c>
      <c r="DJ1" t="s">
        <v>256</v>
      </c>
      <c r="DK1" t="s">
        <v>256</v>
      </c>
      <c r="DL1" t="s">
        <v>256</v>
      </c>
      <c r="DM1" t="s">
        <v>257</v>
      </c>
      <c r="DN1" t="s">
        <v>258</v>
      </c>
      <c r="DO1" t="s">
        <v>259</v>
      </c>
      <c r="DP1" t="s">
        <v>260</v>
      </c>
      <c r="DQ1" t="s">
        <v>261</v>
      </c>
      <c r="DR1" t="s">
        <v>262</v>
      </c>
    </row>
    <row r="2" spans="1:122" x14ac:dyDescent="0.25">
      <c r="E2" t="s">
        <v>237</v>
      </c>
      <c r="F2" t="s">
        <v>238</v>
      </c>
      <c r="G2" t="s">
        <v>238</v>
      </c>
      <c r="H2" t="s">
        <v>238</v>
      </c>
      <c r="I2" t="s">
        <v>238</v>
      </c>
      <c r="J2" t="s">
        <v>238</v>
      </c>
      <c r="K2" t="s">
        <v>238</v>
      </c>
      <c r="L2" t="s">
        <v>238</v>
      </c>
      <c r="M2" t="s">
        <v>245</v>
      </c>
      <c r="N2" t="s">
        <v>245</v>
      </c>
      <c r="O2" t="s">
        <v>245</v>
      </c>
      <c r="P2" t="s">
        <v>245</v>
      </c>
      <c r="Q2" t="s">
        <v>245</v>
      </c>
      <c r="R2" t="s">
        <v>245</v>
      </c>
      <c r="S2" t="s">
        <v>245</v>
      </c>
      <c r="T2" t="s">
        <v>246</v>
      </c>
      <c r="U2" t="s">
        <v>247</v>
      </c>
      <c r="V2" t="s">
        <v>248</v>
      </c>
      <c r="W2" t="s">
        <v>248</v>
      </c>
      <c r="X2" t="s">
        <v>248</v>
      </c>
      <c r="Y2" t="s">
        <v>248</v>
      </c>
      <c r="Z2" t="s">
        <v>248</v>
      </c>
      <c r="AA2" t="s">
        <v>248</v>
      </c>
      <c r="AB2" t="s">
        <v>248</v>
      </c>
      <c r="AC2" t="s">
        <v>249</v>
      </c>
      <c r="AD2" t="s">
        <v>249</v>
      </c>
      <c r="AE2" t="s">
        <v>249</v>
      </c>
      <c r="AF2" t="s">
        <v>249</v>
      </c>
      <c r="AG2" t="s">
        <v>249</v>
      </c>
      <c r="AH2" t="s">
        <v>249</v>
      </c>
      <c r="AI2" t="s">
        <v>249</v>
      </c>
      <c r="AJ2" t="s">
        <v>250</v>
      </c>
      <c r="AK2" t="s">
        <v>250</v>
      </c>
      <c r="AL2" t="s">
        <v>250</v>
      </c>
      <c r="AM2" t="s">
        <v>250</v>
      </c>
      <c r="AN2" t="s">
        <v>250</v>
      </c>
      <c r="AO2" t="s">
        <v>250</v>
      </c>
      <c r="AP2" t="s">
        <v>250</v>
      </c>
      <c r="AR2" t="s">
        <v>237</v>
      </c>
      <c r="AS2" t="s">
        <v>237</v>
      </c>
      <c r="AT2" t="s">
        <v>237</v>
      </c>
      <c r="AU2" t="s">
        <v>237</v>
      </c>
      <c r="AV2" t="s">
        <v>237</v>
      </c>
      <c r="AW2" t="s">
        <v>237</v>
      </c>
      <c r="AX2" t="s">
        <v>237</v>
      </c>
      <c r="AY2" t="s">
        <v>238</v>
      </c>
      <c r="AZ2" t="s">
        <v>238</v>
      </c>
      <c r="BA2" t="s">
        <v>238</v>
      </c>
      <c r="BB2" t="s">
        <v>238</v>
      </c>
      <c r="BC2" t="s">
        <v>238</v>
      </c>
      <c r="BD2" t="s">
        <v>238</v>
      </c>
      <c r="BE2" t="s">
        <v>238</v>
      </c>
      <c r="BF2" t="s">
        <v>245</v>
      </c>
      <c r="BG2" t="s">
        <v>245</v>
      </c>
      <c r="BH2" t="s">
        <v>245</v>
      </c>
      <c r="BI2" t="s">
        <v>245</v>
      </c>
      <c r="BJ2" t="s">
        <v>245</v>
      </c>
      <c r="BK2" t="s">
        <v>245</v>
      </c>
      <c r="BL2" t="s">
        <v>245</v>
      </c>
      <c r="BM2" t="s">
        <v>246</v>
      </c>
      <c r="BN2" t="s">
        <v>246</v>
      </c>
      <c r="BO2" t="s">
        <v>246</v>
      </c>
      <c r="BP2" t="s">
        <v>246</v>
      </c>
      <c r="BQ2" t="s">
        <v>246</v>
      </c>
      <c r="BR2" t="s">
        <v>246</v>
      </c>
      <c r="BS2" t="s">
        <v>246</v>
      </c>
      <c r="BT2" t="s">
        <v>247</v>
      </c>
      <c r="BU2" t="s">
        <v>247</v>
      </c>
      <c r="BV2" t="s">
        <v>247</v>
      </c>
      <c r="BW2" t="s">
        <v>247</v>
      </c>
      <c r="BX2" t="s">
        <v>247</v>
      </c>
      <c r="BY2" t="s">
        <v>247</v>
      </c>
      <c r="BZ2" t="s">
        <v>247</v>
      </c>
      <c r="CA2" t="s">
        <v>248</v>
      </c>
      <c r="CB2" t="s">
        <v>248</v>
      </c>
      <c r="CC2" t="s">
        <v>248</v>
      </c>
      <c r="CD2" t="s">
        <v>248</v>
      </c>
      <c r="CE2" t="s">
        <v>248</v>
      </c>
      <c r="CF2" t="s">
        <v>248</v>
      </c>
      <c r="CG2" t="s">
        <v>248</v>
      </c>
      <c r="CH2" t="s">
        <v>249</v>
      </c>
      <c r="CI2" t="s">
        <v>249</v>
      </c>
      <c r="CJ2" t="s">
        <v>249</v>
      </c>
      <c r="CK2" t="s">
        <v>249</v>
      </c>
      <c r="CL2" t="s">
        <v>249</v>
      </c>
      <c r="CM2" t="s">
        <v>249</v>
      </c>
      <c r="CN2" t="s">
        <v>249</v>
      </c>
      <c r="CO2" t="s">
        <v>250</v>
      </c>
      <c r="CP2" t="s">
        <v>250</v>
      </c>
      <c r="CQ2" t="s">
        <v>250</v>
      </c>
      <c r="CR2" t="s">
        <v>250</v>
      </c>
      <c r="CS2" t="s">
        <v>250</v>
      </c>
      <c r="CT2" t="s">
        <v>250</v>
      </c>
      <c r="CU2" t="s">
        <v>250</v>
      </c>
      <c r="CW2" t="s">
        <v>239</v>
      </c>
      <c r="CX2" t="s">
        <v>240</v>
      </c>
      <c r="CY2" t="s">
        <v>241</v>
      </c>
      <c r="CZ2" t="s">
        <v>242</v>
      </c>
      <c r="DA2" t="s">
        <v>243</v>
      </c>
      <c r="DB2" t="s">
        <v>244</v>
      </c>
      <c r="DG2" t="s">
        <v>239</v>
      </c>
      <c r="DH2" t="s">
        <v>240</v>
      </c>
      <c r="DI2" t="s">
        <v>241</v>
      </c>
      <c r="DJ2" t="s">
        <v>242</v>
      </c>
      <c r="DK2" t="s">
        <v>243</v>
      </c>
      <c r="DL2" t="s">
        <v>244</v>
      </c>
    </row>
    <row r="3" spans="1:122" x14ac:dyDescent="0.25">
      <c r="G3" t="s">
        <v>239</v>
      </c>
      <c r="H3" t="s">
        <v>240</v>
      </c>
      <c r="I3" t="s">
        <v>241</v>
      </c>
      <c r="J3" t="s">
        <v>242</v>
      </c>
      <c r="K3" t="s">
        <v>243</v>
      </c>
      <c r="L3" t="s">
        <v>244</v>
      </c>
      <c r="N3" t="s">
        <v>239</v>
      </c>
      <c r="O3" t="s">
        <v>240</v>
      </c>
      <c r="P3" t="s">
        <v>241</v>
      </c>
      <c r="Q3" t="s">
        <v>242</v>
      </c>
      <c r="R3" t="s">
        <v>243</v>
      </c>
      <c r="S3" t="s">
        <v>244</v>
      </c>
      <c r="W3" t="s">
        <v>239</v>
      </c>
      <c r="X3" t="s">
        <v>240</v>
      </c>
      <c r="Y3" t="s">
        <v>241</v>
      </c>
      <c r="Z3" t="s">
        <v>242</v>
      </c>
      <c r="AA3" t="s">
        <v>243</v>
      </c>
      <c r="AB3" t="s">
        <v>244</v>
      </c>
      <c r="AD3" t="s">
        <v>239</v>
      </c>
      <c r="AE3" t="s">
        <v>240</v>
      </c>
      <c r="AF3" t="s">
        <v>241</v>
      </c>
      <c r="AG3" t="s">
        <v>242</v>
      </c>
      <c r="AH3" t="s">
        <v>243</v>
      </c>
      <c r="AI3" t="s">
        <v>244</v>
      </c>
      <c r="AK3" t="s">
        <v>239</v>
      </c>
      <c r="AL3" t="s">
        <v>240</v>
      </c>
      <c r="AM3" t="s">
        <v>241</v>
      </c>
      <c r="AN3" t="s">
        <v>242</v>
      </c>
      <c r="AO3" t="s">
        <v>243</v>
      </c>
      <c r="AP3" t="s">
        <v>244</v>
      </c>
      <c r="AS3" t="s">
        <v>239</v>
      </c>
      <c r="AT3" t="s">
        <v>240</v>
      </c>
      <c r="AU3" t="s">
        <v>241</v>
      </c>
      <c r="AV3" t="s">
        <v>242</v>
      </c>
      <c r="AW3" t="s">
        <v>243</v>
      </c>
      <c r="AX3" t="s">
        <v>244</v>
      </c>
      <c r="AZ3" t="s">
        <v>239</v>
      </c>
      <c r="BA3" t="s">
        <v>240</v>
      </c>
      <c r="BB3" t="s">
        <v>241</v>
      </c>
      <c r="BC3" t="s">
        <v>242</v>
      </c>
      <c r="BD3" t="s">
        <v>243</v>
      </c>
      <c r="BE3" t="s">
        <v>244</v>
      </c>
      <c r="BG3" t="s">
        <v>239</v>
      </c>
      <c r="BH3" t="s">
        <v>240</v>
      </c>
      <c r="BI3" t="s">
        <v>241</v>
      </c>
      <c r="BJ3" t="s">
        <v>242</v>
      </c>
      <c r="BK3" t="s">
        <v>243</v>
      </c>
      <c r="BL3" t="s">
        <v>244</v>
      </c>
      <c r="BN3" t="s">
        <v>239</v>
      </c>
      <c r="BO3" t="s">
        <v>240</v>
      </c>
      <c r="BP3" t="s">
        <v>241</v>
      </c>
      <c r="BQ3" t="s">
        <v>242</v>
      </c>
      <c r="BR3" t="s">
        <v>243</v>
      </c>
      <c r="BS3" t="s">
        <v>244</v>
      </c>
      <c r="BU3" t="s">
        <v>239</v>
      </c>
      <c r="BV3" t="s">
        <v>240</v>
      </c>
      <c r="BW3" t="s">
        <v>241</v>
      </c>
      <c r="BX3" t="s">
        <v>242</v>
      </c>
      <c r="BY3" t="s">
        <v>243</v>
      </c>
      <c r="BZ3" t="s">
        <v>244</v>
      </c>
      <c r="CB3" t="s">
        <v>239</v>
      </c>
      <c r="CC3" t="s">
        <v>240</v>
      </c>
      <c r="CD3" t="s">
        <v>241</v>
      </c>
      <c r="CE3" t="s">
        <v>242</v>
      </c>
      <c r="CF3" t="s">
        <v>243</v>
      </c>
      <c r="CG3" t="s">
        <v>244</v>
      </c>
      <c r="CI3" t="s">
        <v>239</v>
      </c>
      <c r="CJ3" t="s">
        <v>240</v>
      </c>
      <c r="CK3" t="s">
        <v>241</v>
      </c>
      <c r="CL3" t="s">
        <v>242</v>
      </c>
      <c r="CM3" t="s">
        <v>243</v>
      </c>
      <c r="CN3" t="s">
        <v>244</v>
      </c>
      <c r="CP3" t="s">
        <v>239</v>
      </c>
      <c r="CQ3" t="s">
        <v>240</v>
      </c>
      <c r="CR3" t="s">
        <v>241</v>
      </c>
      <c r="CS3" t="s">
        <v>242</v>
      </c>
      <c r="CT3" t="s">
        <v>243</v>
      </c>
      <c r="CU3" t="s">
        <v>244</v>
      </c>
    </row>
    <row r="4" spans="1:122" x14ac:dyDescent="0.25">
      <c r="A4" t="s">
        <v>8</v>
      </c>
      <c r="B4">
        <v>0</v>
      </c>
      <c r="C4">
        <v>-1</v>
      </c>
      <c r="AS4">
        <v>442</v>
      </c>
      <c r="AT4">
        <v>0</v>
      </c>
      <c r="AU4">
        <v>12</v>
      </c>
      <c r="AV4">
        <v>62</v>
      </c>
      <c r="AW4">
        <v>0</v>
      </c>
      <c r="AX4">
        <v>0</v>
      </c>
      <c r="AZ4">
        <v>3</v>
      </c>
      <c r="BA4">
        <v>0</v>
      </c>
      <c r="BB4">
        <v>0</v>
      </c>
      <c r="BC4">
        <v>2</v>
      </c>
      <c r="BD4">
        <v>0</v>
      </c>
      <c r="BE4">
        <v>0</v>
      </c>
      <c r="BG4">
        <v>28</v>
      </c>
      <c r="BH4">
        <v>0</v>
      </c>
      <c r="BI4">
        <v>0</v>
      </c>
      <c r="BJ4">
        <v>0</v>
      </c>
      <c r="BK4">
        <v>0</v>
      </c>
      <c r="BL4">
        <v>9</v>
      </c>
      <c r="BN4">
        <v>6252</v>
      </c>
      <c r="BO4">
        <v>0</v>
      </c>
      <c r="BP4">
        <v>68</v>
      </c>
      <c r="BQ4">
        <v>25</v>
      </c>
      <c r="BR4">
        <v>0</v>
      </c>
      <c r="BS4">
        <v>13</v>
      </c>
      <c r="BU4">
        <v>1533</v>
      </c>
      <c r="BV4">
        <v>0</v>
      </c>
      <c r="BW4">
        <v>15</v>
      </c>
      <c r="BX4">
        <v>941</v>
      </c>
      <c r="BY4">
        <v>0</v>
      </c>
      <c r="BZ4">
        <v>11</v>
      </c>
      <c r="CB4">
        <v>8401</v>
      </c>
      <c r="CC4">
        <v>0</v>
      </c>
      <c r="CD4">
        <v>233</v>
      </c>
      <c r="CE4">
        <v>1759</v>
      </c>
      <c r="CF4">
        <v>0</v>
      </c>
      <c r="CG4">
        <v>7</v>
      </c>
      <c r="CI4">
        <v>2</v>
      </c>
      <c r="CJ4">
        <v>0</v>
      </c>
      <c r="CK4">
        <v>0</v>
      </c>
      <c r="CL4">
        <v>0</v>
      </c>
      <c r="CM4">
        <v>0</v>
      </c>
      <c r="CN4">
        <v>0</v>
      </c>
      <c r="CP4">
        <v>0</v>
      </c>
      <c r="CQ4">
        <v>0</v>
      </c>
      <c r="CR4">
        <v>0</v>
      </c>
      <c r="CS4">
        <v>7</v>
      </c>
      <c r="CT4">
        <v>0</v>
      </c>
      <c r="CU4">
        <v>0</v>
      </c>
      <c r="CW4">
        <v>42403</v>
      </c>
      <c r="CX4">
        <v>0</v>
      </c>
      <c r="CY4">
        <v>702</v>
      </c>
      <c r="CZ4">
        <v>6801</v>
      </c>
      <c r="DA4">
        <v>47</v>
      </c>
      <c r="DB4">
        <v>2846</v>
      </c>
      <c r="DC4">
        <v>197</v>
      </c>
      <c r="DD4" t="s">
        <v>105</v>
      </c>
      <c r="DE4">
        <v>268</v>
      </c>
      <c r="DG4">
        <v>30239</v>
      </c>
      <c r="DH4">
        <v>0</v>
      </c>
      <c r="DI4">
        <v>735</v>
      </c>
      <c r="DJ4">
        <v>5589</v>
      </c>
      <c r="DK4">
        <v>2</v>
      </c>
      <c r="DL4">
        <v>34</v>
      </c>
      <c r="DM4" t="s">
        <v>106</v>
      </c>
      <c r="DN4">
        <v>820</v>
      </c>
      <c r="DO4">
        <v>15103</v>
      </c>
      <c r="DP4">
        <v>2095</v>
      </c>
      <c r="DQ4">
        <v>7657</v>
      </c>
      <c r="DR4">
        <v>15258</v>
      </c>
    </row>
    <row r="5" spans="1:122" x14ac:dyDescent="0.25">
      <c r="A5" t="s">
        <v>19</v>
      </c>
      <c r="B5">
        <v>0</v>
      </c>
      <c r="C5">
        <v>-1</v>
      </c>
      <c r="AS5">
        <v>211</v>
      </c>
      <c r="AT5">
        <v>0</v>
      </c>
      <c r="AU5">
        <v>5</v>
      </c>
      <c r="AV5">
        <v>23</v>
      </c>
      <c r="AW5">
        <v>0</v>
      </c>
      <c r="AX5">
        <v>9</v>
      </c>
      <c r="AZ5">
        <v>2</v>
      </c>
      <c r="BA5">
        <v>0</v>
      </c>
      <c r="BB5">
        <v>0</v>
      </c>
      <c r="BC5">
        <v>0</v>
      </c>
      <c r="BD5">
        <v>0</v>
      </c>
      <c r="BE5">
        <v>0</v>
      </c>
      <c r="BG5">
        <v>46</v>
      </c>
      <c r="BH5">
        <v>0</v>
      </c>
      <c r="BI5">
        <v>0</v>
      </c>
      <c r="BJ5">
        <v>0</v>
      </c>
      <c r="BK5">
        <v>0</v>
      </c>
      <c r="BL5">
        <v>31</v>
      </c>
      <c r="BN5">
        <v>4132</v>
      </c>
      <c r="BO5">
        <v>0</v>
      </c>
      <c r="BP5">
        <v>27</v>
      </c>
      <c r="BQ5">
        <v>16</v>
      </c>
      <c r="BR5">
        <v>0</v>
      </c>
      <c r="BS5">
        <v>8</v>
      </c>
      <c r="BU5">
        <v>899</v>
      </c>
      <c r="BV5">
        <v>0</v>
      </c>
      <c r="BW5">
        <v>2</v>
      </c>
      <c r="BX5">
        <v>501</v>
      </c>
      <c r="BY5">
        <v>0</v>
      </c>
      <c r="BZ5">
        <v>2</v>
      </c>
      <c r="CB5">
        <v>5776</v>
      </c>
      <c r="CC5">
        <v>0</v>
      </c>
      <c r="CD5">
        <v>181</v>
      </c>
      <c r="CE5">
        <v>1226</v>
      </c>
      <c r="CF5">
        <v>0</v>
      </c>
      <c r="CG5">
        <v>1</v>
      </c>
      <c r="CI5">
        <v>2</v>
      </c>
      <c r="CJ5">
        <v>0</v>
      </c>
      <c r="CK5">
        <v>0</v>
      </c>
      <c r="CL5">
        <v>0</v>
      </c>
      <c r="CM5">
        <v>0</v>
      </c>
      <c r="CN5">
        <v>0</v>
      </c>
      <c r="CP5">
        <v>22</v>
      </c>
      <c r="CQ5">
        <v>0</v>
      </c>
      <c r="CR5">
        <v>0</v>
      </c>
      <c r="CS5">
        <v>1</v>
      </c>
      <c r="CT5">
        <v>0</v>
      </c>
      <c r="CU5">
        <v>0</v>
      </c>
      <c r="CW5">
        <v>46652</v>
      </c>
      <c r="CX5">
        <v>0</v>
      </c>
      <c r="CY5">
        <v>923</v>
      </c>
      <c r="CZ5">
        <v>6566</v>
      </c>
      <c r="DA5">
        <v>81</v>
      </c>
      <c r="DB5">
        <v>8381</v>
      </c>
      <c r="DC5">
        <v>196</v>
      </c>
      <c r="DD5" t="s">
        <v>105</v>
      </c>
      <c r="DE5">
        <v>273</v>
      </c>
      <c r="DG5">
        <v>22719</v>
      </c>
      <c r="DH5">
        <v>0</v>
      </c>
      <c r="DI5">
        <v>509</v>
      </c>
      <c r="DJ5">
        <v>3803</v>
      </c>
      <c r="DK5">
        <v>0</v>
      </c>
      <c r="DL5">
        <v>21</v>
      </c>
      <c r="DM5" t="s">
        <v>106</v>
      </c>
      <c r="DN5">
        <v>571</v>
      </c>
      <c r="DO5">
        <v>8878</v>
      </c>
      <c r="DP5">
        <v>1461</v>
      </c>
      <c r="DQ5">
        <v>4970</v>
      </c>
      <c r="DR5">
        <v>11784</v>
      </c>
    </row>
    <row r="6" spans="1:122" x14ac:dyDescent="0.25">
      <c r="A6" t="s">
        <v>107</v>
      </c>
      <c r="B6">
        <v>0</v>
      </c>
      <c r="C6">
        <v>-1</v>
      </c>
      <c r="DC6">
        <v>0</v>
      </c>
      <c r="DD6" t="s">
        <v>105</v>
      </c>
      <c r="DE6">
        <v>500</v>
      </c>
      <c r="DM6" t="s">
        <v>106</v>
      </c>
      <c r="DN6">
        <v>0</v>
      </c>
      <c r="DO6">
        <v>3000</v>
      </c>
      <c r="DP6">
        <v>0</v>
      </c>
      <c r="DQ6">
        <v>0</v>
      </c>
      <c r="DR6">
        <v>0</v>
      </c>
    </row>
    <row r="7" spans="1:122" x14ac:dyDescent="0.25">
      <c r="A7" t="s">
        <v>108</v>
      </c>
      <c r="B7">
        <v>0</v>
      </c>
      <c r="C7">
        <v>-1</v>
      </c>
      <c r="DC7">
        <v>0</v>
      </c>
      <c r="DD7" t="s">
        <v>109</v>
      </c>
      <c r="DE7">
        <v>150</v>
      </c>
      <c r="DM7" t="s">
        <v>106</v>
      </c>
      <c r="DN7">
        <v>0</v>
      </c>
      <c r="DO7">
        <v>50</v>
      </c>
      <c r="DP7">
        <v>0</v>
      </c>
      <c r="DQ7">
        <v>0</v>
      </c>
      <c r="DR7">
        <v>0</v>
      </c>
    </row>
    <row r="8" spans="1:122" x14ac:dyDescent="0.25">
      <c r="A8" t="s">
        <v>110</v>
      </c>
      <c r="B8">
        <v>0</v>
      </c>
      <c r="C8">
        <v>-1</v>
      </c>
      <c r="DC8">
        <v>0</v>
      </c>
      <c r="DD8" t="s">
        <v>111</v>
      </c>
      <c r="DE8">
        <v>150</v>
      </c>
      <c r="DM8" t="s">
        <v>112</v>
      </c>
      <c r="DN8">
        <v>0</v>
      </c>
      <c r="DO8">
        <v>3000</v>
      </c>
      <c r="DP8">
        <v>0</v>
      </c>
      <c r="DQ8">
        <v>0</v>
      </c>
      <c r="DR8">
        <v>0</v>
      </c>
    </row>
    <row r="9" spans="1:122" x14ac:dyDescent="0.25">
      <c r="A9" t="s">
        <v>113</v>
      </c>
      <c r="B9">
        <v>0</v>
      </c>
      <c r="C9">
        <v>-1</v>
      </c>
      <c r="DC9">
        <v>0</v>
      </c>
      <c r="DD9" t="s">
        <v>114</v>
      </c>
      <c r="DE9">
        <v>150</v>
      </c>
      <c r="DM9" t="s">
        <v>112</v>
      </c>
      <c r="DN9">
        <v>0</v>
      </c>
      <c r="DO9">
        <v>500</v>
      </c>
      <c r="DP9">
        <v>0</v>
      </c>
      <c r="DQ9">
        <v>0</v>
      </c>
      <c r="DR9">
        <v>0</v>
      </c>
    </row>
    <row r="10" spans="1:122" x14ac:dyDescent="0.25">
      <c r="A10" t="s">
        <v>115</v>
      </c>
      <c r="B10">
        <v>0</v>
      </c>
      <c r="C10">
        <v>-1</v>
      </c>
      <c r="DC10">
        <v>0</v>
      </c>
      <c r="DD10" t="s">
        <v>116</v>
      </c>
      <c r="DE10">
        <v>150</v>
      </c>
      <c r="DM10" t="s">
        <v>112</v>
      </c>
      <c r="DN10">
        <v>0</v>
      </c>
      <c r="DO10">
        <v>3000</v>
      </c>
      <c r="DP10">
        <v>0</v>
      </c>
      <c r="DQ10">
        <v>0</v>
      </c>
      <c r="DR10">
        <v>0</v>
      </c>
    </row>
    <row r="11" spans="1:122" x14ac:dyDescent="0.25">
      <c r="A11" t="s">
        <v>117</v>
      </c>
      <c r="B11">
        <v>0</v>
      </c>
      <c r="C11">
        <v>-1</v>
      </c>
      <c r="DC11">
        <v>0</v>
      </c>
      <c r="DD11" t="s">
        <v>118</v>
      </c>
      <c r="DE11">
        <v>150</v>
      </c>
      <c r="DM11" t="s">
        <v>112</v>
      </c>
      <c r="DN11">
        <v>0</v>
      </c>
      <c r="DO11">
        <v>3000</v>
      </c>
      <c r="DP11">
        <v>0</v>
      </c>
      <c r="DQ11">
        <v>0</v>
      </c>
      <c r="DR11">
        <v>0</v>
      </c>
    </row>
    <row r="12" spans="1:122" x14ac:dyDescent="0.25">
      <c r="A12" t="s">
        <v>119</v>
      </c>
      <c r="B12">
        <v>0</v>
      </c>
      <c r="C12">
        <v>-1</v>
      </c>
      <c r="DC12">
        <v>0</v>
      </c>
      <c r="DD12" t="s">
        <v>120</v>
      </c>
      <c r="DE12">
        <v>30</v>
      </c>
      <c r="DM12" t="s">
        <v>106</v>
      </c>
      <c r="DN12">
        <v>0</v>
      </c>
      <c r="DO12">
        <v>100</v>
      </c>
      <c r="DP12">
        <v>0</v>
      </c>
      <c r="DQ12">
        <v>0</v>
      </c>
      <c r="DR12">
        <v>0</v>
      </c>
    </row>
    <row r="13" spans="1:122" x14ac:dyDescent="0.25">
      <c r="A13" t="s">
        <v>121</v>
      </c>
      <c r="B13">
        <v>0</v>
      </c>
      <c r="C13">
        <v>-1</v>
      </c>
      <c r="DC13">
        <v>0</v>
      </c>
      <c r="DD13" t="s">
        <v>122</v>
      </c>
      <c r="DE13">
        <v>150</v>
      </c>
      <c r="DM13" t="s">
        <v>112</v>
      </c>
      <c r="DN13">
        <v>0</v>
      </c>
      <c r="DO13">
        <v>3000</v>
      </c>
      <c r="DP13">
        <v>0</v>
      </c>
      <c r="DQ13">
        <v>0</v>
      </c>
      <c r="DR13">
        <v>0</v>
      </c>
    </row>
    <row r="14" spans="1:122" x14ac:dyDescent="0.25">
      <c r="A14" t="s">
        <v>123</v>
      </c>
      <c r="B14">
        <v>0</v>
      </c>
      <c r="C14">
        <v>-1</v>
      </c>
      <c r="DC14">
        <v>0</v>
      </c>
      <c r="DD14" t="s">
        <v>124</v>
      </c>
      <c r="DE14">
        <v>100</v>
      </c>
      <c r="DM14" t="s">
        <v>106</v>
      </c>
      <c r="DN14">
        <v>0</v>
      </c>
      <c r="DO14">
        <v>3000</v>
      </c>
      <c r="DP14">
        <v>0</v>
      </c>
      <c r="DQ14">
        <v>0</v>
      </c>
      <c r="DR14">
        <v>0</v>
      </c>
    </row>
    <row r="15" spans="1:122" x14ac:dyDescent="0.25">
      <c r="A15" t="s">
        <v>125</v>
      </c>
      <c r="B15">
        <v>0</v>
      </c>
      <c r="C15">
        <v>-1</v>
      </c>
      <c r="DC15">
        <v>0</v>
      </c>
      <c r="DD15" t="s">
        <v>105</v>
      </c>
      <c r="DE15">
        <v>300</v>
      </c>
      <c r="DM15" t="s">
        <v>106</v>
      </c>
      <c r="DN15">
        <v>0</v>
      </c>
      <c r="DO15">
        <v>1500</v>
      </c>
      <c r="DP15">
        <v>0</v>
      </c>
      <c r="DQ15">
        <v>0</v>
      </c>
      <c r="DR15">
        <v>0</v>
      </c>
    </row>
    <row r="16" spans="1:122" x14ac:dyDescent="0.25">
      <c r="A16" t="s">
        <v>126</v>
      </c>
      <c r="B16">
        <v>0</v>
      </c>
      <c r="C16">
        <v>-1</v>
      </c>
      <c r="DC16">
        <v>0</v>
      </c>
      <c r="DD16" t="s">
        <v>105</v>
      </c>
      <c r="DE16">
        <v>185</v>
      </c>
      <c r="DM16" t="s">
        <v>112</v>
      </c>
      <c r="DN16">
        <v>0</v>
      </c>
      <c r="DO16">
        <v>65</v>
      </c>
      <c r="DP16">
        <v>0</v>
      </c>
      <c r="DQ16">
        <v>0</v>
      </c>
      <c r="DR16">
        <v>0</v>
      </c>
    </row>
    <row r="17" spans="1:122" x14ac:dyDescent="0.25">
      <c r="A17" t="s">
        <v>17</v>
      </c>
      <c r="B17">
        <v>0</v>
      </c>
      <c r="C17">
        <v>-1</v>
      </c>
      <c r="CW17">
        <v>0</v>
      </c>
      <c r="CX17">
        <v>0</v>
      </c>
      <c r="CY17">
        <v>0</v>
      </c>
      <c r="CZ17">
        <v>0</v>
      </c>
      <c r="DA17">
        <v>0</v>
      </c>
      <c r="DB17">
        <v>0</v>
      </c>
      <c r="DC17">
        <v>1</v>
      </c>
      <c r="DD17" t="s">
        <v>127</v>
      </c>
      <c r="DE17">
        <v>300</v>
      </c>
      <c r="DG17">
        <v>0</v>
      </c>
      <c r="DH17">
        <v>0</v>
      </c>
      <c r="DI17">
        <v>0</v>
      </c>
      <c r="DJ17">
        <v>0</v>
      </c>
      <c r="DK17">
        <v>0</v>
      </c>
      <c r="DL17">
        <v>8</v>
      </c>
      <c r="DM17" t="s">
        <v>106</v>
      </c>
      <c r="DN17">
        <v>0</v>
      </c>
      <c r="DO17">
        <v>200</v>
      </c>
      <c r="DP17">
        <v>1</v>
      </c>
      <c r="DQ17">
        <v>0</v>
      </c>
      <c r="DR17">
        <v>0</v>
      </c>
    </row>
    <row r="18" spans="1:122" x14ac:dyDescent="0.25">
      <c r="A18" t="s">
        <v>128</v>
      </c>
      <c r="B18">
        <v>0</v>
      </c>
      <c r="C18">
        <v>-1</v>
      </c>
      <c r="DC18">
        <v>0</v>
      </c>
      <c r="DD18" t="s">
        <v>105</v>
      </c>
      <c r="DE18">
        <v>200</v>
      </c>
      <c r="DM18" t="s">
        <v>112</v>
      </c>
      <c r="DN18">
        <v>0</v>
      </c>
      <c r="DO18">
        <v>0</v>
      </c>
      <c r="DP18">
        <v>0</v>
      </c>
      <c r="DQ18">
        <v>0</v>
      </c>
      <c r="DR18">
        <v>0</v>
      </c>
    </row>
    <row r="19" spans="1:122" x14ac:dyDescent="0.25">
      <c r="A19" t="s">
        <v>60</v>
      </c>
      <c r="B19">
        <v>10</v>
      </c>
      <c r="C19">
        <v>-1</v>
      </c>
      <c r="CP19">
        <v>0</v>
      </c>
      <c r="CQ19">
        <v>0</v>
      </c>
      <c r="CR19">
        <v>0</v>
      </c>
      <c r="CS19">
        <v>0</v>
      </c>
      <c r="CT19">
        <v>0</v>
      </c>
      <c r="CU19">
        <v>321</v>
      </c>
      <c r="DC19">
        <v>0</v>
      </c>
      <c r="DD19" t="s">
        <v>129</v>
      </c>
      <c r="DE19">
        <v>200</v>
      </c>
      <c r="DM19" t="s">
        <v>112</v>
      </c>
      <c r="DN19">
        <v>0</v>
      </c>
      <c r="DO19">
        <v>0</v>
      </c>
      <c r="DP19">
        <v>0</v>
      </c>
      <c r="DQ19">
        <v>0</v>
      </c>
      <c r="DR19">
        <v>0</v>
      </c>
    </row>
    <row r="20" spans="1:122" x14ac:dyDescent="0.25">
      <c r="A20" t="s">
        <v>41</v>
      </c>
      <c r="B20">
        <v>0</v>
      </c>
      <c r="C20">
        <v>-1</v>
      </c>
      <c r="AZ20">
        <v>0</v>
      </c>
      <c r="BA20">
        <v>0</v>
      </c>
      <c r="BB20">
        <v>0</v>
      </c>
      <c r="BC20">
        <v>0</v>
      </c>
      <c r="BD20">
        <v>0</v>
      </c>
      <c r="BE20">
        <v>402</v>
      </c>
      <c r="BG20">
        <v>0</v>
      </c>
      <c r="BH20">
        <v>0</v>
      </c>
      <c r="BI20">
        <v>0</v>
      </c>
      <c r="BJ20">
        <v>0</v>
      </c>
      <c r="BK20">
        <v>0</v>
      </c>
      <c r="BL20">
        <v>298</v>
      </c>
      <c r="CI20">
        <v>0</v>
      </c>
      <c r="CJ20">
        <v>0</v>
      </c>
      <c r="CK20">
        <v>0</v>
      </c>
      <c r="CL20">
        <v>0</v>
      </c>
      <c r="CM20">
        <v>0</v>
      </c>
      <c r="CN20">
        <v>1866</v>
      </c>
      <c r="CP20">
        <v>0</v>
      </c>
      <c r="CQ20">
        <v>0</v>
      </c>
      <c r="CR20">
        <v>0</v>
      </c>
      <c r="CS20">
        <v>0</v>
      </c>
      <c r="CT20">
        <v>0</v>
      </c>
      <c r="CU20">
        <v>415</v>
      </c>
      <c r="DC20">
        <v>0</v>
      </c>
      <c r="DD20" t="s">
        <v>105</v>
      </c>
      <c r="DE20">
        <v>163</v>
      </c>
      <c r="DM20" t="s">
        <v>112</v>
      </c>
      <c r="DN20">
        <v>266</v>
      </c>
      <c r="DO20">
        <v>0</v>
      </c>
      <c r="DP20">
        <v>0</v>
      </c>
      <c r="DQ20">
        <v>2961</v>
      </c>
      <c r="DR20">
        <v>0</v>
      </c>
    </row>
    <row r="21" spans="1:122" x14ac:dyDescent="0.25">
      <c r="A21" t="s">
        <v>51</v>
      </c>
      <c r="B21">
        <v>0</v>
      </c>
      <c r="C21">
        <v>-1</v>
      </c>
      <c r="AZ21">
        <v>0</v>
      </c>
      <c r="BA21">
        <v>0</v>
      </c>
      <c r="BB21">
        <v>0</v>
      </c>
      <c r="BC21">
        <v>0</v>
      </c>
      <c r="BD21">
        <v>0</v>
      </c>
      <c r="BE21">
        <v>11</v>
      </c>
      <c r="BG21">
        <v>0</v>
      </c>
      <c r="BH21">
        <v>0</v>
      </c>
      <c r="BI21">
        <v>0</v>
      </c>
      <c r="BJ21">
        <v>0</v>
      </c>
      <c r="BK21">
        <v>0</v>
      </c>
      <c r="BL21">
        <v>13</v>
      </c>
      <c r="CI21">
        <v>0</v>
      </c>
      <c r="CJ21">
        <v>0</v>
      </c>
      <c r="CK21">
        <v>0</v>
      </c>
      <c r="CL21">
        <v>0</v>
      </c>
      <c r="CM21">
        <v>0</v>
      </c>
      <c r="CN21">
        <v>36</v>
      </c>
      <c r="CP21">
        <v>0</v>
      </c>
      <c r="CQ21">
        <v>0</v>
      </c>
      <c r="CR21">
        <v>0</v>
      </c>
      <c r="CS21">
        <v>0</v>
      </c>
      <c r="CT21">
        <v>0</v>
      </c>
      <c r="CU21">
        <v>10</v>
      </c>
      <c r="DC21">
        <v>0</v>
      </c>
      <c r="DD21" t="s">
        <v>105</v>
      </c>
      <c r="DE21">
        <v>176</v>
      </c>
      <c r="DM21" t="s">
        <v>112</v>
      </c>
      <c r="DN21">
        <v>13</v>
      </c>
      <c r="DO21">
        <v>0</v>
      </c>
      <c r="DP21">
        <v>0</v>
      </c>
      <c r="DQ21">
        <v>69</v>
      </c>
      <c r="DR21">
        <v>0</v>
      </c>
    </row>
    <row r="22" spans="1:122" x14ac:dyDescent="0.25">
      <c r="A22" t="s">
        <v>95</v>
      </c>
      <c r="B22">
        <v>0</v>
      </c>
      <c r="C22">
        <v>-1</v>
      </c>
      <c r="N22">
        <v>0</v>
      </c>
      <c r="O22">
        <v>0</v>
      </c>
      <c r="P22">
        <v>0</v>
      </c>
      <c r="Q22">
        <v>0</v>
      </c>
      <c r="R22">
        <v>0</v>
      </c>
      <c r="S22">
        <v>468</v>
      </c>
      <c r="W22">
        <v>0</v>
      </c>
      <c r="X22">
        <v>0</v>
      </c>
      <c r="Y22">
        <v>0</v>
      </c>
      <c r="Z22">
        <v>0</v>
      </c>
      <c r="AA22">
        <v>0</v>
      </c>
      <c r="AB22">
        <v>1212</v>
      </c>
      <c r="AD22">
        <v>0</v>
      </c>
      <c r="AE22">
        <v>0</v>
      </c>
      <c r="AF22">
        <v>0</v>
      </c>
      <c r="AG22">
        <v>0</v>
      </c>
      <c r="AH22">
        <v>0</v>
      </c>
      <c r="AI22">
        <v>1241</v>
      </c>
      <c r="DC22">
        <v>0</v>
      </c>
      <c r="DD22" t="s">
        <v>130</v>
      </c>
      <c r="DE22">
        <v>0</v>
      </c>
      <c r="DM22" t="s">
        <v>106</v>
      </c>
      <c r="DN22">
        <v>0</v>
      </c>
      <c r="DO22">
        <v>50</v>
      </c>
      <c r="DP22">
        <v>0</v>
      </c>
      <c r="DQ22">
        <v>0</v>
      </c>
      <c r="DR22">
        <v>0</v>
      </c>
    </row>
    <row r="23" spans="1:122" x14ac:dyDescent="0.25">
      <c r="A23" t="s">
        <v>131</v>
      </c>
      <c r="B23">
        <v>0</v>
      </c>
      <c r="C23">
        <v>0</v>
      </c>
      <c r="DC23">
        <v>0</v>
      </c>
      <c r="DD23" t="s">
        <v>105</v>
      </c>
      <c r="DE23">
        <v>250</v>
      </c>
      <c r="DM23" t="s">
        <v>106</v>
      </c>
      <c r="DN23">
        <v>0</v>
      </c>
      <c r="DO23">
        <v>200</v>
      </c>
      <c r="DP23">
        <v>0</v>
      </c>
      <c r="DQ23">
        <v>0</v>
      </c>
      <c r="DR23">
        <v>0</v>
      </c>
    </row>
    <row r="24" spans="1:122" x14ac:dyDescent="0.25">
      <c r="A24" t="s">
        <v>80</v>
      </c>
      <c r="B24">
        <v>0</v>
      </c>
      <c r="C24">
        <v>-1</v>
      </c>
      <c r="G24">
        <v>0</v>
      </c>
      <c r="H24">
        <v>0</v>
      </c>
      <c r="I24">
        <v>0</v>
      </c>
      <c r="J24">
        <v>0</v>
      </c>
      <c r="K24">
        <v>0</v>
      </c>
      <c r="L24">
        <v>6</v>
      </c>
      <c r="AD24">
        <v>0</v>
      </c>
      <c r="AE24">
        <v>0</v>
      </c>
      <c r="AF24">
        <v>0</v>
      </c>
      <c r="AG24">
        <v>0</v>
      </c>
      <c r="AH24">
        <v>0</v>
      </c>
      <c r="AI24">
        <v>40</v>
      </c>
      <c r="AK24">
        <v>0</v>
      </c>
      <c r="AL24">
        <v>0</v>
      </c>
      <c r="AM24">
        <v>0</v>
      </c>
      <c r="AN24">
        <v>0</v>
      </c>
      <c r="AO24">
        <v>0</v>
      </c>
      <c r="AP24">
        <v>11</v>
      </c>
      <c r="DC24">
        <v>0</v>
      </c>
      <c r="DD24" t="s">
        <v>130</v>
      </c>
      <c r="DE24">
        <v>0</v>
      </c>
      <c r="DM24" t="s">
        <v>106</v>
      </c>
      <c r="DN24">
        <v>0</v>
      </c>
      <c r="DO24">
        <v>4500</v>
      </c>
      <c r="DP24">
        <v>0</v>
      </c>
      <c r="DQ24">
        <v>0</v>
      </c>
      <c r="DR24">
        <v>0</v>
      </c>
    </row>
    <row r="25" spans="1:122" x14ac:dyDescent="0.25">
      <c r="A25" t="s">
        <v>91</v>
      </c>
      <c r="B25">
        <v>10</v>
      </c>
      <c r="C25">
        <v>0</v>
      </c>
      <c r="AD25">
        <v>0</v>
      </c>
      <c r="AE25">
        <v>0</v>
      </c>
      <c r="AF25">
        <v>0</v>
      </c>
      <c r="AG25">
        <v>0</v>
      </c>
      <c r="AH25">
        <v>0</v>
      </c>
      <c r="AI25">
        <v>287</v>
      </c>
      <c r="CW25">
        <v>0</v>
      </c>
      <c r="CX25">
        <v>0</v>
      </c>
      <c r="CY25">
        <v>0</v>
      </c>
      <c r="CZ25">
        <v>0</v>
      </c>
      <c r="DA25">
        <v>0</v>
      </c>
      <c r="DB25">
        <v>0</v>
      </c>
      <c r="DC25">
        <v>0</v>
      </c>
      <c r="DD25" t="s">
        <v>132</v>
      </c>
      <c r="DE25">
        <v>70</v>
      </c>
      <c r="DG25">
        <v>0</v>
      </c>
      <c r="DH25">
        <v>0</v>
      </c>
      <c r="DI25">
        <v>0</v>
      </c>
      <c r="DJ25">
        <v>0</v>
      </c>
      <c r="DK25">
        <v>0</v>
      </c>
      <c r="DL25">
        <v>2786</v>
      </c>
      <c r="DM25" t="s">
        <v>106</v>
      </c>
      <c r="DN25">
        <v>0</v>
      </c>
      <c r="DO25">
        <v>100</v>
      </c>
      <c r="DP25">
        <v>0</v>
      </c>
      <c r="DQ25">
        <v>0</v>
      </c>
      <c r="DR25">
        <v>0</v>
      </c>
    </row>
    <row r="26" spans="1:122" x14ac:dyDescent="0.25">
      <c r="A26" t="s">
        <v>84</v>
      </c>
      <c r="B26">
        <v>0</v>
      </c>
      <c r="C26">
        <v>-1</v>
      </c>
      <c r="CW26">
        <v>0</v>
      </c>
      <c r="CX26">
        <v>0</v>
      </c>
      <c r="CY26">
        <v>0</v>
      </c>
      <c r="CZ26">
        <v>0</v>
      </c>
      <c r="DA26">
        <v>0</v>
      </c>
      <c r="DB26">
        <v>0</v>
      </c>
      <c r="DC26">
        <v>0</v>
      </c>
      <c r="DD26" t="s">
        <v>133</v>
      </c>
      <c r="DE26">
        <v>70</v>
      </c>
      <c r="DG26">
        <v>0</v>
      </c>
      <c r="DH26">
        <v>0</v>
      </c>
      <c r="DI26">
        <v>0</v>
      </c>
      <c r="DJ26">
        <v>0</v>
      </c>
      <c r="DK26">
        <v>0</v>
      </c>
      <c r="DL26">
        <v>26</v>
      </c>
      <c r="DM26" t="s">
        <v>106</v>
      </c>
      <c r="DN26">
        <v>0</v>
      </c>
      <c r="DO26">
        <v>500</v>
      </c>
      <c r="DP26">
        <v>0</v>
      </c>
      <c r="DQ26">
        <v>0</v>
      </c>
      <c r="DR26">
        <v>0</v>
      </c>
    </row>
    <row r="27" spans="1:122" x14ac:dyDescent="0.25">
      <c r="A27" t="s">
        <v>134</v>
      </c>
      <c r="B27">
        <v>0</v>
      </c>
      <c r="C27">
        <v>-1</v>
      </c>
      <c r="DC27">
        <v>0</v>
      </c>
      <c r="DD27" t="s">
        <v>135</v>
      </c>
      <c r="DE27">
        <v>250</v>
      </c>
      <c r="DM27" t="s">
        <v>112</v>
      </c>
      <c r="DN27">
        <v>0</v>
      </c>
      <c r="DO27">
        <v>0</v>
      </c>
      <c r="DP27">
        <v>0</v>
      </c>
      <c r="DQ27">
        <v>0</v>
      </c>
      <c r="DR27">
        <v>0</v>
      </c>
    </row>
    <row r="28" spans="1:122" x14ac:dyDescent="0.25">
      <c r="A28" t="s">
        <v>82</v>
      </c>
      <c r="B28">
        <v>4</v>
      </c>
      <c r="C28">
        <v>-1</v>
      </c>
      <c r="G28">
        <v>0</v>
      </c>
      <c r="H28">
        <v>0</v>
      </c>
      <c r="I28">
        <v>0</v>
      </c>
      <c r="J28">
        <v>0</v>
      </c>
      <c r="K28">
        <v>0</v>
      </c>
      <c r="L28">
        <v>54</v>
      </c>
      <c r="AD28">
        <v>0</v>
      </c>
      <c r="AE28">
        <v>0</v>
      </c>
      <c r="AF28">
        <v>0</v>
      </c>
      <c r="AG28">
        <v>0</v>
      </c>
      <c r="AH28">
        <v>0</v>
      </c>
      <c r="AI28">
        <v>65</v>
      </c>
      <c r="AK28">
        <v>0</v>
      </c>
      <c r="AL28">
        <v>0</v>
      </c>
      <c r="AM28">
        <v>0</v>
      </c>
      <c r="AN28">
        <v>0</v>
      </c>
      <c r="AO28">
        <v>0</v>
      </c>
      <c r="AP28">
        <v>947</v>
      </c>
      <c r="CP28">
        <v>0</v>
      </c>
      <c r="CQ28">
        <v>0</v>
      </c>
      <c r="CR28">
        <v>0</v>
      </c>
      <c r="CS28">
        <v>0</v>
      </c>
      <c r="CT28">
        <v>0</v>
      </c>
      <c r="CU28">
        <v>284</v>
      </c>
      <c r="CW28">
        <v>0</v>
      </c>
      <c r="CX28">
        <v>0</v>
      </c>
      <c r="CY28">
        <v>0</v>
      </c>
      <c r="CZ28">
        <v>0</v>
      </c>
      <c r="DA28">
        <v>0</v>
      </c>
      <c r="DB28">
        <v>592</v>
      </c>
      <c r="DC28">
        <v>0</v>
      </c>
      <c r="DD28" t="s">
        <v>136</v>
      </c>
      <c r="DE28">
        <v>80</v>
      </c>
      <c r="DG28">
        <v>0</v>
      </c>
      <c r="DH28">
        <v>0</v>
      </c>
      <c r="DI28">
        <v>0</v>
      </c>
      <c r="DJ28">
        <v>0</v>
      </c>
      <c r="DK28">
        <v>0</v>
      </c>
      <c r="DL28">
        <v>0</v>
      </c>
      <c r="DM28" t="s">
        <v>106</v>
      </c>
      <c r="DN28">
        <v>0</v>
      </c>
      <c r="DO28">
        <v>300</v>
      </c>
      <c r="DP28">
        <v>0</v>
      </c>
      <c r="DQ28">
        <v>0</v>
      </c>
      <c r="DR28">
        <v>0</v>
      </c>
    </row>
    <row r="29" spans="1:122" x14ac:dyDescent="0.25">
      <c r="A29" t="s">
        <v>93</v>
      </c>
      <c r="B29">
        <v>7</v>
      </c>
      <c r="C29">
        <v>0</v>
      </c>
      <c r="CW29">
        <v>0</v>
      </c>
      <c r="CX29">
        <v>0</v>
      </c>
      <c r="CY29">
        <v>0</v>
      </c>
      <c r="CZ29">
        <v>0</v>
      </c>
      <c r="DA29">
        <v>0</v>
      </c>
      <c r="DB29">
        <v>0</v>
      </c>
      <c r="DC29">
        <v>0</v>
      </c>
      <c r="DD29" t="s">
        <v>137</v>
      </c>
      <c r="DE29">
        <v>70</v>
      </c>
      <c r="DG29">
        <v>0</v>
      </c>
      <c r="DH29">
        <v>0</v>
      </c>
      <c r="DI29">
        <v>0</v>
      </c>
      <c r="DJ29">
        <v>0</v>
      </c>
      <c r="DK29">
        <v>0</v>
      </c>
      <c r="DL29">
        <v>1225</v>
      </c>
      <c r="DM29" t="s">
        <v>106</v>
      </c>
      <c r="DN29">
        <v>0</v>
      </c>
      <c r="DO29">
        <v>1000</v>
      </c>
      <c r="DP29">
        <v>0</v>
      </c>
      <c r="DQ29">
        <v>0</v>
      </c>
      <c r="DR29">
        <v>0</v>
      </c>
    </row>
    <row r="30" spans="1:122" x14ac:dyDescent="0.25">
      <c r="A30" t="s">
        <v>138</v>
      </c>
      <c r="B30">
        <v>0</v>
      </c>
      <c r="C30">
        <v>0</v>
      </c>
      <c r="DC30">
        <v>0</v>
      </c>
      <c r="DD30" t="s">
        <v>139</v>
      </c>
      <c r="DE30">
        <v>20</v>
      </c>
      <c r="DM30" t="s">
        <v>112</v>
      </c>
      <c r="DN30">
        <v>0</v>
      </c>
      <c r="DO30">
        <v>1000</v>
      </c>
      <c r="DP30">
        <v>0</v>
      </c>
      <c r="DQ30">
        <v>0</v>
      </c>
      <c r="DR30">
        <v>0</v>
      </c>
    </row>
    <row r="31" spans="1:122" x14ac:dyDescent="0.25">
      <c r="A31" t="s">
        <v>92</v>
      </c>
      <c r="B31">
        <v>0</v>
      </c>
      <c r="C31">
        <v>-1</v>
      </c>
      <c r="BG31">
        <v>0</v>
      </c>
      <c r="BH31">
        <v>0</v>
      </c>
      <c r="BI31">
        <v>0</v>
      </c>
      <c r="BJ31">
        <v>0</v>
      </c>
      <c r="BK31">
        <v>0</v>
      </c>
      <c r="BL31">
        <v>5</v>
      </c>
      <c r="DC31">
        <v>0</v>
      </c>
      <c r="DD31" t="s">
        <v>140</v>
      </c>
      <c r="DE31">
        <v>0</v>
      </c>
      <c r="DM31" t="s">
        <v>112</v>
      </c>
      <c r="DN31">
        <v>0</v>
      </c>
      <c r="DO31">
        <v>0</v>
      </c>
      <c r="DP31">
        <v>0</v>
      </c>
      <c r="DQ31">
        <v>0</v>
      </c>
      <c r="DR31">
        <v>0</v>
      </c>
    </row>
    <row r="32" spans="1:122" x14ac:dyDescent="0.25">
      <c r="A32" t="s">
        <v>141</v>
      </c>
      <c r="B32">
        <v>0</v>
      </c>
      <c r="C32">
        <v>-1</v>
      </c>
      <c r="DC32">
        <v>0</v>
      </c>
      <c r="DD32" t="s">
        <v>105</v>
      </c>
      <c r="DE32">
        <v>100</v>
      </c>
      <c r="DM32" t="s">
        <v>106</v>
      </c>
      <c r="DN32">
        <v>0</v>
      </c>
      <c r="DO32">
        <v>1000</v>
      </c>
      <c r="DP32">
        <v>0</v>
      </c>
      <c r="DQ32">
        <v>0</v>
      </c>
      <c r="DR32">
        <v>0</v>
      </c>
    </row>
    <row r="33" spans="1:122" x14ac:dyDescent="0.25">
      <c r="A33" t="s">
        <v>101</v>
      </c>
      <c r="B33">
        <v>0</v>
      </c>
      <c r="C33">
        <v>-1</v>
      </c>
      <c r="CW33">
        <v>0</v>
      </c>
      <c r="CX33">
        <v>0</v>
      </c>
      <c r="CY33">
        <v>0</v>
      </c>
      <c r="CZ33">
        <v>0</v>
      </c>
      <c r="DA33">
        <v>0</v>
      </c>
      <c r="DB33">
        <v>2</v>
      </c>
      <c r="DC33">
        <v>0</v>
      </c>
      <c r="DD33" t="s">
        <v>105</v>
      </c>
      <c r="DE33">
        <v>250</v>
      </c>
      <c r="DG33">
        <v>0</v>
      </c>
      <c r="DH33">
        <v>0</v>
      </c>
      <c r="DI33">
        <v>0</v>
      </c>
      <c r="DJ33">
        <v>0</v>
      </c>
      <c r="DK33">
        <v>0</v>
      </c>
      <c r="DL33">
        <v>0</v>
      </c>
      <c r="DM33" t="s">
        <v>106</v>
      </c>
      <c r="DN33">
        <v>0</v>
      </c>
      <c r="DO33">
        <v>250</v>
      </c>
      <c r="DP33">
        <v>0</v>
      </c>
      <c r="DQ33">
        <v>0</v>
      </c>
      <c r="DR33">
        <v>0</v>
      </c>
    </row>
    <row r="34" spans="1:122" x14ac:dyDescent="0.25">
      <c r="A34" t="s">
        <v>142</v>
      </c>
      <c r="B34">
        <v>0</v>
      </c>
      <c r="C34">
        <v>-1</v>
      </c>
      <c r="DC34">
        <v>0</v>
      </c>
      <c r="DD34" t="s">
        <v>105</v>
      </c>
      <c r="DE34">
        <v>300</v>
      </c>
      <c r="DM34" t="s">
        <v>112</v>
      </c>
      <c r="DN34">
        <v>0</v>
      </c>
      <c r="DO34">
        <v>500</v>
      </c>
      <c r="DP34">
        <v>0</v>
      </c>
      <c r="DQ34">
        <v>0</v>
      </c>
      <c r="DR34">
        <v>0</v>
      </c>
    </row>
    <row r="35" spans="1:122" x14ac:dyDescent="0.25">
      <c r="A35" t="s">
        <v>143</v>
      </c>
      <c r="B35">
        <v>0</v>
      </c>
      <c r="C35">
        <v>-1</v>
      </c>
      <c r="DC35">
        <v>0</v>
      </c>
      <c r="DD35" t="s">
        <v>144</v>
      </c>
      <c r="DE35">
        <v>0</v>
      </c>
      <c r="DM35" t="s">
        <v>112</v>
      </c>
      <c r="DN35">
        <v>0</v>
      </c>
      <c r="DO35">
        <v>4500</v>
      </c>
      <c r="DP35">
        <v>0</v>
      </c>
      <c r="DQ35">
        <v>0</v>
      </c>
      <c r="DR35">
        <v>0</v>
      </c>
    </row>
    <row r="36" spans="1:122" x14ac:dyDescent="0.25">
      <c r="A36" t="s">
        <v>145</v>
      </c>
      <c r="B36">
        <v>0</v>
      </c>
      <c r="C36">
        <v>-1</v>
      </c>
      <c r="DC36">
        <v>0</v>
      </c>
      <c r="DD36" t="s">
        <v>144</v>
      </c>
      <c r="DE36">
        <v>0</v>
      </c>
      <c r="DM36" t="s">
        <v>106</v>
      </c>
      <c r="DN36">
        <v>0</v>
      </c>
      <c r="DO36">
        <v>4500</v>
      </c>
      <c r="DP36">
        <v>0</v>
      </c>
      <c r="DQ36">
        <v>0</v>
      </c>
      <c r="DR36">
        <v>0</v>
      </c>
    </row>
    <row r="37" spans="1:122" x14ac:dyDescent="0.25">
      <c r="A37" t="s">
        <v>5</v>
      </c>
      <c r="B37">
        <v>0</v>
      </c>
      <c r="C37">
        <v>-1</v>
      </c>
      <c r="DC37">
        <v>0</v>
      </c>
      <c r="DD37" t="s">
        <v>105</v>
      </c>
      <c r="DE37">
        <v>100</v>
      </c>
      <c r="DM37" t="s">
        <v>106</v>
      </c>
      <c r="DN37">
        <v>0</v>
      </c>
      <c r="DO37">
        <v>2000</v>
      </c>
      <c r="DP37">
        <v>0</v>
      </c>
      <c r="DQ37">
        <v>0</v>
      </c>
      <c r="DR37">
        <v>0</v>
      </c>
    </row>
    <row r="38" spans="1:122" x14ac:dyDescent="0.25">
      <c r="A38" t="s">
        <v>146</v>
      </c>
      <c r="B38">
        <v>0</v>
      </c>
      <c r="C38">
        <v>0</v>
      </c>
      <c r="DC38">
        <v>0</v>
      </c>
      <c r="DD38" t="s">
        <v>105</v>
      </c>
      <c r="DE38">
        <v>100</v>
      </c>
      <c r="DM38" t="s">
        <v>106</v>
      </c>
      <c r="DN38">
        <v>0</v>
      </c>
      <c r="DO38">
        <v>250</v>
      </c>
      <c r="DP38">
        <v>0</v>
      </c>
      <c r="DQ38">
        <v>0</v>
      </c>
      <c r="DR38">
        <v>0</v>
      </c>
    </row>
    <row r="39" spans="1:122" x14ac:dyDescent="0.25">
      <c r="A39" t="s">
        <v>42</v>
      </c>
      <c r="B39">
        <v>6</v>
      </c>
      <c r="C39">
        <v>-1</v>
      </c>
      <c r="AD39">
        <v>0</v>
      </c>
      <c r="AE39">
        <v>0</v>
      </c>
      <c r="AF39">
        <v>0</v>
      </c>
      <c r="AG39">
        <v>0</v>
      </c>
      <c r="AH39">
        <v>0</v>
      </c>
      <c r="AI39">
        <v>657</v>
      </c>
      <c r="CI39">
        <v>0</v>
      </c>
      <c r="CJ39">
        <v>0</v>
      </c>
      <c r="CK39">
        <v>0</v>
      </c>
      <c r="CL39">
        <v>0</v>
      </c>
      <c r="CM39">
        <v>0</v>
      </c>
      <c r="CN39">
        <v>933</v>
      </c>
      <c r="CP39">
        <v>0</v>
      </c>
      <c r="CQ39">
        <v>0</v>
      </c>
      <c r="CR39">
        <v>0</v>
      </c>
      <c r="CS39">
        <v>0</v>
      </c>
      <c r="CT39">
        <v>0</v>
      </c>
      <c r="CU39">
        <v>1131</v>
      </c>
      <c r="DC39">
        <v>0</v>
      </c>
      <c r="DD39" t="s">
        <v>105</v>
      </c>
      <c r="DE39">
        <v>124</v>
      </c>
      <c r="DM39" t="s">
        <v>112</v>
      </c>
      <c r="DN39">
        <v>97</v>
      </c>
      <c r="DO39">
        <v>0</v>
      </c>
      <c r="DP39">
        <v>0</v>
      </c>
      <c r="DQ39">
        <v>504</v>
      </c>
      <c r="DR39">
        <v>0</v>
      </c>
    </row>
    <row r="40" spans="1:122" x14ac:dyDescent="0.25">
      <c r="A40" t="s">
        <v>53</v>
      </c>
      <c r="B40">
        <v>0</v>
      </c>
      <c r="C40">
        <v>-1</v>
      </c>
      <c r="AZ40">
        <v>0</v>
      </c>
      <c r="BA40">
        <v>0</v>
      </c>
      <c r="BB40">
        <v>0</v>
      </c>
      <c r="BC40">
        <v>0</v>
      </c>
      <c r="BD40">
        <v>0</v>
      </c>
      <c r="BE40">
        <v>638</v>
      </c>
      <c r="BG40">
        <v>0</v>
      </c>
      <c r="BH40">
        <v>0</v>
      </c>
      <c r="BI40">
        <v>0</v>
      </c>
      <c r="BJ40">
        <v>0</v>
      </c>
      <c r="BK40">
        <v>0</v>
      </c>
      <c r="BL40">
        <v>408</v>
      </c>
      <c r="CI40">
        <v>0</v>
      </c>
      <c r="CJ40">
        <v>0</v>
      </c>
      <c r="CK40">
        <v>0</v>
      </c>
      <c r="CL40">
        <v>0</v>
      </c>
      <c r="CM40">
        <v>0</v>
      </c>
      <c r="CN40">
        <v>2029</v>
      </c>
      <c r="CP40">
        <v>0</v>
      </c>
      <c r="CQ40">
        <v>0</v>
      </c>
      <c r="CR40">
        <v>0</v>
      </c>
      <c r="CS40">
        <v>0</v>
      </c>
      <c r="CT40">
        <v>0</v>
      </c>
      <c r="CU40">
        <v>179</v>
      </c>
      <c r="DC40">
        <v>0</v>
      </c>
      <c r="DD40" t="s">
        <v>105</v>
      </c>
      <c r="DE40">
        <v>170</v>
      </c>
      <c r="DM40" t="s">
        <v>112</v>
      </c>
      <c r="DN40">
        <v>247</v>
      </c>
      <c r="DO40">
        <v>0</v>
      </c>
      <c r="DP40">
        <v>0</v>
      </c>
      <c r="DQ40">
        <v>3189</v>
      </c>
      <c r="DR40">
        <v>0</v>
      </c>
    </row>
    <row r="41" spans="1:122" x14ac:dyDescent="0.25">
      <c r="A41" t="s">
        <v>2</v>
      </c>
      <c r="B41">
        <v>0</v>
      </c>
      <c r="C41">
        <v>-1</v>
      </c>
      <c r="AS41">
        <v>28</v>
      </c>
      <c r="AT41">
        <v>0</v>
      </c>
      <c r="AU41">
        <v>0</v>
      </c>
      <c r="AV41">
        <v>0</v>
      </c>
      <c r="AW41">
        <v>0</v>
      </c>
      <c r="AX41">
        <v>0</v>
      </c>
      <c r="AZ41">
        <v>2</v>
      </c>
      <c r="BA41">
        <v>0</v>
      </c>
      <c r="BB41">
        <v>0</v>
      </c>
      <c r="BC41">
        <v>0</v>
      </c>
      <c r="BD41">
        <v>0</v>
      </c>
      <c r="BE41">
        <v>1</v>
      </c>
      <c r="BG41">
        <v>1</v>
      </c>
      <c r="BH41">
        <v>0</v>
      </c>
      <c r="BI41">
        <v>0</v>
      </c>
      <c r="BJ41">
        <v>0</v>
      </c>
      <c r="BK41">
        <v>0</v>
      </c>
      <c r="BL41">
        <v>0</v>
      </c>
      <c r="BN41">
        <v>612</v>
      </c>
      <c r="BO41">
        <v>0</v>
      </c>
      <c r="BP41">
        <v>3</v>
      </c>
      <c r="BQ41">
        <v>1</v>
      </c>
      <c r="BR41">
        <v>0</v>
      </c>
      <c r="BS41">
        <v>0</v>
      </c>
      <c r="BU41">
        <v>674</v>
      </c>
      <c r="BV41">
        <v>0</v>
      </c>
      <c r="BW41">
        <v>5</v>
      </c>
      <c r="BX41">
        <v>40</v>
      </c>
      <c r="BY41">
        <v>0</v>
      </c>
      <c r="BZ41">
        <v>2</v>
      </c>
      <c r="CB41">
        <v>1356</v>
      </c>
      <c r="CC41">
        <v>0</v>
      </c>
      <c r="CD41">
        <v>31</v>
      </c>
      <c r="CE41">
        <v>196</v>
      </c>
      <c r="CF41">
        <v>2</v>
      </c>
      <c r="CG41">
        <v>0</v>
      </c>
      <c r="CI41">
        <v>1</v>
      </c>
      <c r="CJ41">
        <v>0</v>
      </c>
      <c r="CK41">
        <v>0</v>
      </c>
      <c r="CL41">
        <v>0</v>
      </c>
      <c r="CM41">
        <v>0</v>
      </c>
      <c r="CN41">
        <v>0</v>
      </c>
      <c r="CP41">
        <v>1</v>
      </c>
      <c r="CQ41">
        <v>0</v>
      </c>
      <c r="CR41">
        <v>0</v>
      </c>
      <c r="CS41">
        <v>3</v>
      </c>
      <c r="CT41">
        <v>0</v>
      </c>
      <c r="CU41">
        <v>0</v>
      </c>
      <c r="CW41">
        <v>4461</v>
      </c>
      <c r="CX41">
        <v>0</v>
      </c>
      <c r="CY41">
        <v>44</v>
      </c>
      <c r="CZ41">
        <v>378</v>
      </c>
      <c r="DA41">
        <v>164</v>
      </c>
      <c r="DB41">
        <v>443</v>
      </c>
      <c r="DC41">
        <v>143</v>
      </c>
      <c r="DD41" t="s">
        <v>105</v>
      </c>
      <c r="DE41">
        <v>213</v>
      </c>
      <c r="DG41">
        <v>9285</v>
      </c>
      <c r="DH41">
        <v>0</v>
      </c>
      <c r="DI41">
        <v>211</v>
      </c>
      <c r="DJ41">
        <v>1116</v>
      </c>
      <c r="DK41">
        <v>136</v>
      </c>
      <c r="DL41">
        <v>214</v>
      </c>
      <c r="DM41" t="s">
        <v>106</v>
      </c>
      <c r="DN41">
        <v>457</v>
      </c>
      <c r="DO41">
        <v>5470</v>
      </c>
      <c r="DP41">
        <v>554</v>
      </c>
      <c r="DQ41">
        <v>2096</v>
      </c>
      <c r="DR41">
        <v>5124</v>
      </c>
    </row>
    <row r="42" spans="1:122" x14ac:dyDescent="0.25">
      <c r="A42" t="s">
        <v>147</v>
      </c>
      <c r="B42">
        <v>0</v>
      </c>
      <c r="C42">
        <v>-1</v>
      </c>
      <c r="DC42">
        <v>0</v>
      </c>
      <c r="DD42" t="s">
        <v>105</v>
      </c>
      <c r="DE42">
        <v>0</v>
      </c>
      <c r="DM42" t="s">
        <v>112</v>
      </c>
      <c r="DN42">
        <v>0</v>
      </c>
      <c r="DO42">
        <v>4500</v>
      </c>
      <c r="DP42">
        <v>0</v>
      </c>
      <c r="DQ42">
        <v>0</v>
      </c>
      <c r="DR42">
        <v>0</v>
      </c>
    </row>
    <row r="43" spans="1:122" x14ac:dyDescent="0.25">
      <c r="A43" t="s">
        <v>4</v>
      </c>
      <c r="B43">
        <v>0</v>
      </c>
      <c r="C43">
        <v>200</v>
      </c>
      <c r="G43">
        <v>0</v>
      </c>
      <c r="H43">
        <v>0</v>
      </c>
      <c r="I43">
        <v>0</v>
      </c>
      <c r="J43">
        <v>0</v>
      </c>
      <c r="K43">
        <v>0</v>
      </c>
      <c r="L43">
        <v>1503</v>
      </c>
      <c r="N43">
        <v>0</v>
      </c>
      <c r="O43">
        <v>0</v>
      </c>
      <c r="P43">
        <v>35</v>
      </c>
      <c r="Q43">
        <v>0</v>
      </c>
      <c r="R43">
        <v>0</v>
      </c>
      <c r="S43">
        <v>1463</v>
      </c>
      <c r="AD43">
        <v>0</v>
      </c>
      <c r="AE43">
        <v>0</v>
      </c>
      <c r="AF43">
        <v>0</v>
      </c>
      <c r="AG43">
        <v>0</v>
      </c>
      <c r="AH43">
        <v>0</v>
      </c>
      <c r="AI43">
        <v>11878</v>
      </c>
      <c r="AK43">
        <v>0</v>
      </c>
      <c r="AL43">
        <v>0</v>
      </c>
      <c r="AM43">
        <v>35</v>
      </c>
      <c r="AN43">
        <v>0</v>
      </c>
      <c r="AO43">
        <v>0</v>
      </c>
      <c r="AP43">
        <v>1455</v>
      </c>
      <c r="CP43">
        <v>0</v>
      </c>
      <c r="CQ43">
        <v>0</v>
      </c>
      <c r="CR43">
        <v>0</v>
      </c>
      <c r="CS43">
        <v>0</v>
      </c>
      <c r="CT43">
        <v>0</v>
      </c>
      <c r="CU43">
        <v>75</v>
      </c>
      <c r="DC43">
        <v>0</v>
      </c>
      <c r="DD43" t="s">
        <v>105</v>
      </c>
      <c r="DE43">
        <v>200</v>
      </c>
      <c r="DM43" t="s">
        <v>112</v>
      </c>
      <c r="DN43">
        <v>2</v>
      </c>
      <c r="DO43">
        <v>0</v>
      </c>
      <c r="DP43">
        <v>0</v>
      </c>
      <c r="DQ43">
        <v>9</v>
      </c>
      <c r="DR43">
        <v>0</v>
      </c>
    </row>
    <row r="44" spans="1:122" x14ac:dyDescent="0.25">
      <c r="A44" t="s">
        <v>148</v>
      </c>
      <c r="B44">
        <v>0</v>
      </c>
      <c r="C44">
        <v>-1</v>
      </c>
      <c r="DC44">
        <v>0</v>
      </c>
      <c r="DD44" t="s">
        <v>105</v>
      </c>
      <c r="DE44">
        <v>200</v>
      </c>
      <c r="DM44" t="s">
        <v>112</v>
      </c>
      <c r="DN44">
        <v>0</v>
      </c>
      <c r="DO44">
        <v>300</v>
      </c>
      <c r="DP44">
        <v>0</v>
      </c>
      <c r="DQ44">
        <v>0</v>
      </c>
      <c r="DR44">
        <v>0</v>
      </c>
    </row>
    <row r="45" spans="1:122" x14ac:dyDescent="0.25">
      <c r="A45" t="s">
        <v>149</v>
      </c>
      <c r="B45">
        <v>0</v>
      </c>
      <c r="C45">
        <v>-1</v>
      </c>
      <c r="DC45">
        <v>0</v>
      </c>
      <c r="DD45" t="s">
        <v>144</v>
      </c>
      <c r="DE45">
        <v>0</v>
      </c>
      <c r="DM45" t="s">
        <v>112</v>
      </c>
      <c r="DN45">
        <v>0</v>
      </c>
      <c r="DO45">
        <v>4500</v>
      </c>
      <c r="DP45">
        <v>0</v>
      </c>
      <c r="DQ45">
        <v>0</v>
      </c>
      <c r="DR45">
        <v>0</v>
      </c>
    </row>
    <row r="46" spans="1:122" x14ac:dyDescent="0.25">
      <c r="A46" t="s">
        <v>150</v>
      </c>
      <c r="B46">
        <v>0</v>
      </c>
      <c r="C46">
        <v>-1</v>
      </c>
      <c r="DC46">
        <v>0</v>
      </c>
      <c r="DD46" t="s">
        <v>144</v>
      </c>
      <c r="DE46">
        <v>0</v>
      </c>
      <c r="DM46" t="s">
        <v>112</v>
      </c>
      <c r="DN46">
        <v>0</v>
      </c>
      <c r="DO46">
        <v>4500</v>
      </c>
      <c r="DP46">
        <v>0</v>
      </c>
      <c r="DQ46">
        <v>0</v>
      </c>
      <c r="DR46">
        <v>0</v>
      </c>
    </row>
    <row r="47" spans="1:122" x14ac:dyDescent="0.25">
      <c r="A47" t="s">
        <v>151</v>
      </c>
      <c r="B47">
        <v>0</v>
      </c>
      <c r="C47">
        <v>0</v>
      </c>
      <c r="DC47">
        <v>0</v>
      </c>
      <c r="DD47" t="s">
        <v>105</v>
      </c>
      <c r="DE47">
        <v>100</v>
      </c>
      <c r="DM47" t="s">
        <v>112</v>
      </c>
      <c r="DN47">
        <v>0</v>
      </c>
      <c r="DO47">
        <v>250</v>
      </c>
      <c r="DP47">
        <v>0</v>
      </c>
      <c r="DQ47">
        <v>0</v>
      </c>
      <c r="DR47">
        <v>0</v>
      </c>
    </row>
    <row r="48" spans="1:122" x14ac:dyDescent="0.25">
      <c r="A48" t="s">
        <v>152</v>
      </c>
      <c r="B48">
        <v>0</v>
      </c>
      <c r="C48">
        <v>-1</v>
      </c>
      <c r="DC48">
        <v>0</v>
      </c>
      <c r="DD48" t="s">
        <v>153</v>
      </c>
      <c r="DE48">
        <v>0</v>
      </c>
      <c r="DM48" t="s">
        <v>112</v>
      </c>
      <c r="DN48">
        <v>0</v>
      </c>
      <c r="DO48">
        <v>4500</v>
      </c>
      <c r="DP48">
        <v>0</v>
      </c>
      <c r="DQ48">
        <v>0</v>
      </c>
      <c r="DR48">
        <v>0</v>
      </c>
    </row>
    <row r="49" spans="1:122" x14ac:dyDescent="0.25">
      <c r="A49" t="s">
        <v>154</v>
      </c>
      <c r="B49">
        <v>0</v>
      </c>
      <c r="C49">
        <v>-1</v>
      </c>
      <c r="CW49">
        <v>0</v>
      </c>
      <c r="CX49">
        <v>932</v>
      </c>
      <c r="CY49">
        <v>0</v>
      </c>
      <c r="CZ49">
        <v>0</v>
      </c>
      <c r="DA49">
        <v>0</v>
      </c>
      <c r="DB49">
        <v>0</v>
      </c>
      <c r="DC49">
        <v>2</v>
      </c>
      <c r="DD49" t="s">
        <v>155</v>
      </c>
      <c r="DE49">
        <v>60</v>
      </c>
      <c r="DG49">
        <v>33</v>
      </c>
      <c r="DH49">
        <v>1406</v>
      </c>
      <c r="DI49">
        <v>0</v>
      </c>
      <c r="DJ49">
        <v>192</v>
      </c>
      <c r="DK49">
        <v>0</v>
      </c>
      <c r="DL49">
        <v>0</v>
      </c>
      <c r="DM49" t="s">
        <v>106</v>
      </c>
      <c r="DN49">
        <v>0</v>
      </c>
      <c r="DO49">
        <v>1000</v>
      </c>
      <c r="DP49">
        <v>53</v>
      </c>
      <c r="DQ49">
        <v>0</v>
      </c>
      <c r="DR49">
        <v>1116</v>
      </c>
    </row>
    <row r="50" spans="1:122" x14ac:dyDescent="0.25">
      <c r="A50" t="s">
        <v>156</v>
      </c>
      <c r="B50">
        <v>0</v>
      </c>
      <c r="C50">
        <v>-1</v>
      </c>
      <c r="DC50">
        <v>0</v>
      </c>
      <c r="DD50" t="s">
        <v>105</v>
      </c>
      <c r="DE50">
        <v>200</v>
      </c>
      <c r="DM50" t="s">
        <v>106</v>
      </c>
      <c r="DN50">
        <v>0</v>
      </c>
      <c r="DO50">
        <v>200</v>
      </c>
      <c r="DP50">
        <v>0</v>
      </c>
      <c r="DQ50">
        <v>0</v>
      </c>
      <c r="DR50">
        <v>0</v>
      </c>
    </row>
    <row r="51" spans="1:122" x14ac:dyDescent="0.25">
      <c r="A51" t="s">
        <v>39</v>
      </c>
      <c r="B51">
        <v>0</v>
      </c>
      <c r="C51">
        <v>-1</v>
      </c>
      <c r="AZ51">
        <v>0</v>
      </c>
      <c r="BA51">
        <v>0</v>
      </c>
      <c r="BB51">
        <v>0</v>
      </c>
      <c r="BC51">
        <v>0</v>
      </c>
      <c r="BD51">
        <v>0</v>
      </c>
      <c r="BE51">
        <v>2</v>
      </c>
      <c r="BG51">
        <v>0</v>
      </c>
      <c r="BH51">
        <v>0</v>
      </c>
      <c r="BI51">
        <v>0</v>
      </c>
      <c r="BJ51">
        <v>0</v>
      </c>
      <c r="BK51">
        <v>0</v>
      </c>
      <c r="BL51">
        <v>9</v>
      </c>
      <c r="CI51">
        <v>0</v>
      </c>
      <c r="CJ51">
        <v>0</v>
      </c>
      <c r="CK51">
        <v>0</v>
      </c>
      <c r="CL51">
        <v>0</v>
      </c>
      <c r="CM51">
        <v>0</v>
      </c>
      <c r="CN51">
        <v>39</v>
      </c>
      <c r="CP51">
        <v>0</v>
      </c>
      <c r="CQ51">
        <v>0</v>
      </c>
      <c r="CR51">
        <v>0</v>
      </c>
      <c r="CS51">
        <v>0</v>
      </c>
      <c r="CT51">
        <v>0</v>
      </c>
      <c r="CU51">
        <v>26</v>
      </c>
      <c r="DC51">
        <v>0</v>
      </c>
      <c r="DD51" t="s">
        <v>105</v>
      </c>
      <c r="DE51">
        <v>174</v>
      </c>
      <c r="DM51" t="s">
        <v>112</v>
      </c>
      <c r="DN51">
        <v>14</v>
      </c>
      <c r="DO51">
        <v>0</v>
      </c>
      <c r="DP51">
        <v>0</v>
      </c>
      <c r="DQ51">
        <v>75</v>
      </c>
      <c r="DR51">
        <v>0</v>
      </c>
    </row>
    <row r="52" spans="1:122" x14ac:dyDescent="0.25">
      <c r="A52" t="s">
        <v>40</v>
      </c>
      <c r="B52">
        <v>0</v>
      </c>
      <c r="C52">
        <v>-1</v>
      </c>
      <c r="AZ52">
        <v>0</v>
      </c>
      <c r="BA52">
        <v>0</v>
      </c>
      <c r="BB52">
        <v>0</v>
      </c>
      <c r="BC52">
        <v>0</v>
      </c>
      <c r="BD52">
        <v>0</v>
      </c>
      <c r="BE52">
        <v>6</v>
      </c>
      <c r="BG52">
        <v>0</v>
      </c>
      <c r="BH52">
        <v>0</v>
      </c>
      <c r="BI52">
        <v>0</v>
      </c>
      <c r="BJ52">
        <v>0</v>
      </c>
      <c r="BK52">
        <v>0</v>
      </c>
      <c r="BL52">
        <v>11</v>
      </c>
      <c r="CI52">
        <v>0</v>
      </c>
      <c r="CJ52">
        <v>0</v>
      </c>
      <c r="CK52">
        <v>0</v>
      </c>
      <c r="CL52">
        <v>0</v>
      </c>
      <c r="CM52">
        <v>0</v>
      </c>
      <c r="CN52">
        <v>220</v>
      </c>
      <c r="CP52">
        <v>0</v>
      </c>
      <c r="CQ52">
        <v>0</v>
      </c>
      <c r="CR52">
        <v>0</v>
      </c>
      <c r="CS52">
        <v>0</v>
      </c>
      <c r="CT52">
        <v>0</v>
      </c>
      <c r="CU52">
        <v>56</v>
      </c>
      <c r="DC52">
        <v>0</v>
      </c>
      <c r="DD52" t="s">
        <v>105</v>
      </c>
      <c r="DE52">
        <v>186</v>
      </c>
      <c r="DM52" t="s">
        <v>112</v>
      </c>
      <c r="DN52">
        <v>34</v>
      </c>
      <c r="DO52">
        <v>0</v>
      </c>
      <c r="DP52">
        <v>0</v>
      </c>
      <c r="DQ52">
        <v>292</v>
      </c>
      <c r="DR52">
        <v>0</v>
      </c>
    </row>
    <row r="53" spans="1:122" x14ac:dyDescent="0.25">
      <c r="A53" t="s">
        <v>157</v>
      </c>
      <c r="B53">
        <v>0</v>
      </c>
      <c r="C53">
        <v>-1</v>
      </c>
      <c r="CW53">
        <v>0</v>
      </c>
      <c r="CX53">
        <v>0</v>
      </c>
      <c r="CY53">
        <v>0</v>
      </c>
      <c r="CZ53">
        <v>0</v>
      </c>
      <c r="DA53">
        <v>0</v>
      </c>
      <c r="DB53">
        <v>0</v>
      </c>
      <c r="DC53">
        <v>0</v>
      </c>
      <c r="DD53" t="s">
        <v>158</v>
      </c>
      <c r="DE53">
        <v>100</v>
      </c>
      <c r="DG53">
        <v>120</v>
      </c>
      <c r="DH53">
        <v>172</v>
      </c>
      <c r="DI53">
        <v>0</v>
      </c>
      <c r="DJ53">
        <v>0</v>
      </c>
      <c r="DK53">
        <v>0</v>
      </c>
      <c r="DL53">
        <v>0</v>
      </c>
      <c r="DM53" t="s">
        <v>106</v>
      </c>
      <c r="DN53">
        <v>0</v>
      </c>
      <c r="DO53">
        <v>10000</v>
      </c>
      <c r="DP53">
        <v>0</v>
      </c>
      <c r="DQ53">
        <v>0</v>
      </c>
      <c r="DR53">
        <v>0</v>
      </c>
    </row>
    <row r="54" spans="1:122" x14ac:dyDescent="0.25">
      <c r="A54" t="s">
        <v>159</v>
      </c>
      <c r="B54">
        <v>0</v>
      </c>
      <c r="C54">
        <v>0</v>
      </c>
      <c r="DC54">
        <v>0</v>
      </c>
      <c r="DD54" t="s">
        <v>160</v>
      </c>
      <c r="DE54">
        <v>150</v>
      </c>
      <c r="DM54" t="s">
        <v>112</v>
      </c>
      <c r="DN54">
        <v>0</v>
      </c>
      <c r="DO54">
        <v>3000</v>
      </c>
      <c r="DP54">
        <v>0</v>
      </c>
      <c r="DQ54">
        <v>0</v>
      </c>
      <c r="DR54">
        <v>0</v>
      </c>
    </row>
    <row r="55" spans="1:122" x14ac:dyDescent="0.25">
      <c r="A55" t="s">
        <v>161</v>
      </c>
      <c r="B55">
        <v>0</v>
      </c>
      <c r="C55">
        <v>-1</v>
      </c>
      <c r="DC55">
        <v>0</v>
      </c>
      <c r="DD55" t="s">
        <v>105</v>
      </c>
      <c r="DE55">
        <v>401</v>
      </c>
      <c r="DM55" t="s">
        <v>112</v>
      </c>
      <c r="DN55">
        <v>0</v>
      </c>
      <c r="DO55">
        <v>0</v>
      </c>
      <c r="DP55">
        <v>0</v>
      </c>
      <c r="DQ55">
        <v>0</v>
      </c>
      <c r="DR55">
        <v>0</v>
      </c>
    </row>
    <row r="56" spans="1:122" x14ac:dyDescent="0.25">
      <c r="A56" t="s">
        <v>162</v>
      </c>
      <c r="B56">
        <v>0</v>
      </c>
      <c r="C56">
        <v>-1</v>
      </c>
      <c r="DC56">
        <v>0</v>
      </c>
      <c r="DD56" t="s">
        <v>105</v>
      </c>
      <c r="DE56">
        <v>270</v>
      </c>
      <c r="DM56" t="s">
        <v>112</v>
      </c>
      <c r="DN56">
        <v>0</v>
      </c>
      <c r="DO56">
        <v>0</v>
      </c>
      <c r="DP56">
        <v>0</v>
      </c>
      <c r="DQ56">
        <v>0</v>
      </c>
      <c r="DR56">
        <v>0</v>
      </c>
    </row>
    <row r="57" spans="1:122" x14ac:dyDescent="0.25">
      <c r="A57" t="s">
        <v>163</v>
      </c>
      <c r="B57">
        <v>0</v>
      </c>
      <c r="C57">
        <v>-1</v>
      </c>
      <c r="DC57">
        <v>0</v>
      </c>
      <c r="DD57" t="s">
        <v>105</v>
      </c>
      <c r="DE57">
        <v>200</v>
      </c>
      <c r="DM57" t="s">
        <v>112</v>
      </c>
      <c r="DN57">
        <v>0</v>
      </c>
      <c r="DO57">
        <v>0</v>
      </c>
      <c r="DP57">
        <v>0</v>
      </c>
      <c r="DQ57">
        <v>0</v>
      </c>
      <c r="DR57">
        <v>0</v>
      </c>
    </row>
    <row r="58" spans="1:122" x14ac:dyDescent="0.25">
      <c r="A58" t="s">
        <v>164</v>
      </c>
      <c r="B58">
        <v>0</v>
      </c>
      <c r="C58">
        <v>-1</v>
      </c>
      <c r="DC58">
        <v>0</v>
      </c>
      <c r="DD58" t="s">
        <v>105</v>
      </c>
      <c r="DE58">
        <v>126</v>
      </c>
      <c r="DM58" t="s">
        <v>112</v>
      </c>
      <c r="DN58">
        <v>0</v>
      </c>
      <c r="DO58">
        <v>1000</v>
      </c>
      <c r="DP58">
        <v>0</v>
      </c>
      <c r="DQ58">
        <v>0</v>
      </c>
      <c r="DR58">
        <v>0</v>
      </c>
    </row>
    <row r="59" spans="1:122" x14ac:dyDescent="0.25">
      <c r="A59" t="s">
        <v>165</v>
      </c>
      <c r="B59">
        <v>0</v>
      </c>
      <c r="C59">
        <v>-1</v>
      </c>
      <c r="DC59">
        <v>0</v>
      </c>
      <c r="DD59" t="s">
        <v>166</v>
      </c>
      <c r="DE59">
        <v>250</v>
      </c>
      <c r="DM59" t="s">
        <v>112</v>
      </c>
      <c r="DN59">
        <v>0</v>
      </c>
      <c r="DO59">
        <v>0</v>
      </c>
      <c r="DP59">
        <v>0</v>
      </c>
      <c r="DQ59">
        <v>0</v>
      </c>
      <c r="DR59">
        <v>0</v>
      </c>
    </row>
    <row r="60" spans="1:122" x14ac:dyDescent="0.25">
      <c r="A60" t="s">
        <v>167</v>
      </c>
      <c r="B60">
        <v>0</v>
      </c>
      <c r="C60">
        <v>-1</v>
      </c>
      <c r="DC60">
        <v>0</v>
      </c>
      <c r="DD60" t="s">
        <v>105</v>
      </c>
      <c r="DE60">
        <v>200</v>
      </c>
      <c r="DM60" t="s">
        <v>112</v>
      </c>
      <c r="DN60">
        <v>0</v>
      </c>
      <c r="DO60">
        <v>400</v>
      </c>
      <c r="DP60">
        <v>0</v>
      </c>
      <c r="DQ60">
        <v>0</v>
      </c>
      <c r="DR60">
        <v>0</v>
      </c>
    </row>
    <row r="61" spans="1:122" x14ac:dyDescent="0.25">
      <c r="A61" t="s">
        <v>57</v>
      </c>
      <c r="B61">
        <v>0</v>
      </c>
      <c r="C61">
        <v>-1</v>
      </c>
      <c r="DC61">
        <v>0</v>
      </c>
      <c r="DD61" t="s">
        <v>105</v>
      </c>
      <c r="DE61">
        <v>132</v>
      </c>
      <c r="DM61" t="s">
        <v>112</v>
      </c>
      <c r="DN61">
        <v>0</v>
      </c>
      <c r="DO61">
        <v>0</v>
      </c>
      <c r="DP61">
        <v>0</v>
      </c>
      <c r="DQ61">
        <v>0</v>
      </c>
      <c r="DR61">
        <v>0</v>
      </c>
    </row>
    <row r="62" spans="1:122" x14ac:dyDescent="0.25">
      <c r="A62" t="s">
        <v>1</v>
      </c>
      <c r="B62">
        <v>0</v>
      </c>
      <c r="C62">
        <v>-1</v>
      </c>
      <c r="AS62">
        <v>20</v>
      </c>
      <c r="AT62">
        <v>0</v>
      </c>
      <c r="AU62">
        <v>0</v>
      </c>
      <c r="AV62">
        <v>0</v>
      </c>
      <c r="AW62">
        <v>0</v>
      </c>
      <c r="AX62">
        <v>0</v>
      </c>
      <c r="AZ62">
        <v>17</v>
      </c>
      <c r="BA62">
        <v>0</v>
      </c>
      <c r="BB62">
        <v>0</v>
      </c>
      <c r="BC62">
        <v>0</v>
      </c>
      <c r="BD62">
        <v>0</v>
      </c>
      <c r="BE62">
        <v>0</v>
      </c>
      <c r="BG62">
        <v>21</v>
      </c>
      <c r="BH62">
        <v>0</v>
      </c>
      <c r="BI62">
        <v>0</v>
      </c>
      <c r="BJ62">
        <v>0</v>
      </c>
      <c r="BK62">
        <v>2</v>
      </c>
      <c r="BL62">
        <v>0</v>
      </c>
      <c r="BN62">
        <v>405</v>
      </c>
      <c r="BO62">
        <v>0</v>
      </c>
      <c r="BP62">
        <v>0</v>
      </c>
      <c r="BQ62">
        <v>2</v>
      </c>
      <c r="BR62">
        <v>0</v>
      </c>
      <c r="BS62">
        <v>0</v>
      </c>
      <c r="BU62">
        <v>343</v>
      </c>
      <c r="BV62">
        <v>0</v>
      </c>
      <c r="BW62">
        <v>2</v>
      </c>
      <c r="BX62">
        <v>30</v>
      </c>
      <c r="BY62">
        <v>0</v>
      </c>
      <c r="BZ62">
        <v>0</v>
      </c>
      <c r="CB62">
        <v>773</v>
      </c>
      <c r="CC62">
        <v>0</v>
      </c>
      <c r="CD62">
        <v>19</v>
      </c>
      <c r="CE62">
        <v>107</v>
      </c>
      <c r="CF62">
        <v>0</v>
      </c>
      <c r="CG62">
        <v>3</v>
      </c>
      <c r="CI62">
        <v>3</v>
      </c>
      <c r="CJ62">
        <v>0</v>
      </c>
      <c r="CK62">
        <v>0</v>
      </c>
      <c r="CL62">
        <v>0</v>
      </c>
      <c r="CM62">
        <v>0</v>
      </c>
      <c r="CN62">
        <v>0</v>
      </c>
      <c r="CW62">
        <v>1569</v>
      </c>
      <c r="CX62">
        <v>0</v>
      </c>
      <c r="CY62">
        <v>9</v>
      </c>
      <c r="CZ62">
        <v>133</v>
      </c>
      <c r="DA62">
        <v>26</v>
      </c>
      <c r="DB62">
        <v>131</v>
      </c>
      <c r="DC62">
        <v>126</v>
      </c>
      <c r="DD62" t="s">
        <v>105</v>
      </c>
      <c r="DE62">
        <v>240</v>
      </c>
      <c r="DG62">
        <v>5229</v>
      </c>
      <c r="DH62">
        <v>0</v>
      </c>
      <c r="DI62">
        <v>50</v>
      </c>
      <c r="DJ62">
        <v>326</v>
      </c>
      <c r="DK62">
        <v>37</v>
      </c>
      <c r="DL62">
        <v>80</v>
      </c>
      <c r="DM62" t="s">
        <v>106</v>
      </c>
      <c r="DN62">
        <v>161</v>
      </c>
      <c r="DO62">
        <v>4403</v>
      </c>
      <c r="DP62">
        <v>532</v>
      </c>
      <c r="DQ62">
        <v>1116</v>
      </c>
      <c r="DR62">
        <v>3072</v>
      </c>
    </row>
    <row r="63" spans="1:122" x14ac:dyDescent="0.25">
      <c r="A63" t="s">
        <v>168</v>
      </c>
      <c r="B63">
        <v>0</v>
      </c>
      <c r="C63">
        <v>-1</v>
      </c>
      <c r="DC63">
        <v>0</v>
      </c>
      <c r="DD63" t="s">
        <v>105</v>
      </c>
      <c r="DE63">
        <v>200</v>
      </c>
      <c r="DM63" t="s">
        <v>112</v>
      </c>
      <c r="DN63">
        <v>0</v>
      </c>
      <c r="DO63">
        <v>1000</v>
      </c>
      <c r="DP63">
        <v>0</v>
      </c>
      <c r="DQ63">
        <v>0</v>
      </c>
      <c r="DR63">
        <v>0</v>
      </c>
    </row>
    <row r="64" spans="1:122" x14ac:dyDescent="0.25">
      <c r="A64" t="s">
        <v>38</v>
      </c>
      <c r="B64">
        <v>0</v>
      </c>
      <c r="C64">
        <v>-1</v>
      </c>
      <c r="AS64">
        <v>7</v>
      </c>
      <c r="AT64">
        <v>0</v>
      </c>
      <c r="AU64">
        <v>0</v>
      </c>
      <c r="AV64">
        <v>1</v>
      </c>
      <c r="AW64">
        <v>0</v>
      </c>
      <c r="AX64">
        <v>0</v>
      </c>
      <c r="AZ64">
        <v>1</v>
      </c>
      <c r="BA64">
        <v>0</v>
      </c>
      <c r="BB64">
        <v>0</v>
      </c>
      <c r="BC64">
        <v>0</v>
      </c>
      <c r="BD64">
        <v>0</v>
      </c>
      <c r="BE64">
        <v>0</v>
      </c>
      <c r="BG64">
        <v>5</v>
      </c>
      <c r="BH64">
        <v>0</v>
      </c>
      <c r="BI64">
        <v>0</v>
      </c>
      <c r="BJ64">
        <v>0</v>
      </c>
      <c r="BK64">
        <v>0</v>
      </c>
      <c r="BL64">
        <v>0</v>
      </c>
      <c r="BN64">
        <v>10</v>
      </c>
      <c r="BO64">
        <v>0</v>
      </c>
      <c r="BP64">
        <v>0</v>
      </c>
      <c r="BQ64">
        <v>0</v>
      </c>
      <c r="BR64">
        <v>0</v>
      </c>
      <c r="BS64">
        <v>0</v>
      </c>
      <c r="BU64">
        <v>8</v>
      </c>
      <c r="BV64">
        <v>0</v>
      </c>
      <c r="BW64">
        <v>0</v>
      </c>
      <c r="BX64">
        <v>1</v>
      </c>
      <c r="BY64">
        <v>0</v>
      </c>
      <c r="BZ64">
        <v>0</v>
      </c>
      <c r="CB64">
        <v>57</v>
      </c>
      <c r="CC64">
        <v>0</v>
      </c>
      <c r="CD64">
        <v>0</v>
      </c>
      <c r="CE64">
        <v>13</v>
      </c>
      <c r="CF64">
        <v>0</v>
      </c>
      <c r="CG64">
        <v>0</v>
      </c>
      <c r="CI64">
        <v>3</v>
      </c>
      <c r="CJ64">
        <v>0</v>
      </c>
      <c r="CK64">
        <v>0</v>
      </c>
      <c r="CL64">
        <v>0</v>
      </c>
      <c r="CM64">
        <v>0</v>
      </c>
      <c r="CN64">
        <v>0</v>
      </c>
      <c r="CW64">
        <v>64</v>
      </c>
      <c r="CX64">
        <v>0</v>
      </c>
      <c r="CY64">
        <v>0</v>
      </c>
      <c r="CZ64">
        <v>1</v>
      </c>
      <c r="DA64">
        <v>0</v>
      </c>
      <c r="DB64">
        <v>0</v>
      </c>
      <c r="DC64">
        <v>4</v>
      </c>
      <c r="DD64" t="s">
        <v>105</v>
      </c>
      <c r="DE64">
        <v>219</v>
      </c>
      <c r="DG64">
        <v>7</v>
      </c>
      <c r="DH64">
        <v>0</v>
      </c>
      <c r="DI64">
        <v>0</v>
      </c>
      <c r="DJ64">
        <v>0</v>
      </c>
      <c r="DK64">
        <v>0</v>
      </c>
      <c r="DL64">
        <v>0</v>
      </c>
      <c r="DM64" t="s">
        <v>106</v>
      </c>
      <c r="DN64">
        <v>9</v>
      </c>
      <c r="DO64">
        <v>79</v>
      </c>
      <c r="DP64">
        <v>16</v>
      </c>
      <c r="DQ64">
        <v>43</v>
      </c>
      <c r="DR64">
        <v>150</v>
      </c>
    </row>
    <row r="65" spans="1:122" x14ac:dyDescent="0.25">
      <c r="A65" t="s">
        <v>0</v>
      </c>
      <c r="B65">
        <v>0</v>
      </c>
      <c r="C65">
        <v>-1</v>
      </c>
      <c r="AS65">
        <v>192</v>
      </c>
      <c r="AT65">
        <v>0</v>
      </c>
      <c r="AU65">
        <v>0</v>
      </c>
      <c r="AV65">
        <v>4</v>
      </c>
      <c r="AW65">
        <v>0</v>
      </c>
      <c r="AX65">
        <v>0</v>
      </c>
      <c r="AZ65">
        <v>30</v>
      </c>
      <c r="BA65">
        <v>0</v>
      </c>
      <c r="BB65">
        <v>0</v>
      </c>
      <c r="BC65">
        <v>0</v>
      </c>
      <c r="BD65">
        <v>1</v>
      </c>
      <c r="BE65">
        <v>0</v>
      </c>
      <c r="BG65">
        <v>40</v>
      </c>
      <c r="BH65">
        <v>0</v>
      </c>
      <c r="BI65">
        <v>4</v>
      </c>
      <c r="BJ65">
        <v>0</v>
      </c>
      <c r="BK65">
        <v>2</v>
      </c>
      <c r="BL65">
        <v>2</v>
      </c>
      <c r="BN65">
        <v>800</v>
      </c>
      <c r="BO65">
        <v>0</v>
      </c>
      <c r="BP65">
        <v>1</v>
      </c>
      <c r="BQ65">
        <v>4</v>
      </c>
      <c r="BR65">
        <v>0</v>
      </c>
      <c r="BS65">
        <v>1</v>
      </c>
      <c r="BU65">
        <v>566</v>
      </c>
      <c r="BV65">
        <v>0</v>
      </c>
      <c r="BW65">
        <v>1</v>
      </c>
      <c r="BX65">
        <v>81</v>
      </c>
      <c r="BY65">
        <v>0</v>
      </c>
      <c r="BZ65">
        <v>1</v>
      </c>
      <c r="CB65">
        <v>1404</v>
      </c>
      <c r="CC65">
        <v>0</v>
      </c>
      <c r="CD65">
        <v>28</v>
      </c>
      <c r="CE65">
        <v>172</v>
      </c>
      <c r="CF65">
        <v>0</v>
      </c>
      <c r="CG65">
        <v>0</v>
      </c>
      <c r="CI65">
        <v>3</v>
      </c>
      <c r="CJ65">
        <v>0</v>
      </c>
      <c r="CK65">
        <v>0</v>
      </c>
      <c r="CL65">
        <v>0</v>
      </c>
      <c r="CM65">
        <v>0</v>
      </c>
      <c r="CN65">
        <v>0</v>
      </c>
      <c r="CW65">
        <v>1691</v>
      </c>
      <c r="CX65">
        <v>0</v>
      </c>
      <c r="CY65">
        <v>18</v>
      </c>
      <c r="CZ65">
        <v>188</v>
      </c>
      <c r="DA65">
        <v>47</v>
      </c>
      <c r="DB65">
        <v>156</v>
      </c>
      <c r="DC65">
        <v>55</v>
      </c>
      <c r="DD65" t="s">
        <v>105</v>
      </c>
      <c r="DE65">
        <v>227</v>
      </c>
      <c r="DG65">
        <v>3817</v>
      </c>
      <c r="DH65">
        <v>0</v>
      </c>
      <c r="DI65">
        <v>52</v>
      </c>
      <c r="DJ65">
        <v>185</v>
      </c>
      <c r="DK65">
        <v>1</v>
      </c>
      <c r="DL65">
        <v>5</v>
      </c>
      <c r="DM65" t="s">
        <v>106</v>
      </c>
      <c r="DN65">
        <v>88</v>
      </c>
      <c r="DO65">
        <v>2092</v>
      </c>
      <c r="DP65">
        <v>323</v>
      </c>
      <c r="DQ65">
        <v>2184</v>
      </c>
      <c r="DR65">
        <v>2880</v>
      </c>
    </row>
    <row r="66" spans="1:122" x14ac:dyDescent="0.25">
      <c r="A66" t="s">
        <v>169</v>
      </c>
      <c r="B66">
        <v>0</v>
      </c>
      <c r="C66">
        <v>-1</v>
      </c>
      <c r="DC66">
        <v>0</v>
      </c>
      <c r="DD66" t="s">
        <v>105</v>
      </c>
      <c r="DE66">
        <v>200</v>
      </c>
      <c r="DM66" t="s">
        <v>112</v>
      </c>
      <c r="DN66">
        <v>0</v>
      </c>
      <c r="DO66">
        <v>0</v>
      </c>
      <c r="DP66">
        <v>0</v>
      </c>
      <c r="DQ66">
        <v>0</v>
      </c>
      <c r="DR66">
        <v>0</v>
      </c>
    </row>
    <row r="67" spans="1:122" x14ac:dyDescent="0.25">
      <c r="A67" t="s">
        <v>20</v>
      </c>
      <c r="B67">
        <v>0</v>
      </c>
      <c r="C67">
        <v>-1</v>
      </c>
      <c r="AS67">
        <v>149</v>
      </c>
      <c r="AT67">
        <v>0</v>
      </c>
      <c r="AU67">
        <v>0</v>
      </c>
      <c r="AV67">
        <v>7</v>
      </c>
      <c r="AW67">
        <v>0</v>
      </c>
      <c r="AX67">
        <v>0</v>
      </c>
      <c r="AZ67">
        <v>6</v>
      </c>
      <c r="BA67">
        <v>0</v>
      </c>
      <c r="BB67">
        <v>0</v>
      </c>
      <c r="BC67">
        <v>0</v>
      </c>
      <c r="BD67">
        <v>0</v>
      </c>
      <c r="BE67">
        <v>0</v>
      </c>
      <c r="BG67">
        <v>8</v>
      </c>
      <c r="BH67">
        <v>0</v>
      </c>
      <c r="BI67">
        <v>0</v>
      </c>
      <c r="BJ67">
        <v>0</v>
      </c>
      <c r="BK67">
        <v>1</v>
      </c>
      <c r="BL67">
        <v>0</v>
      </c>
      <c r="BN67">
        <v>608</v>
      </c>
      <c r="BO67">
        <v>0</v>
      </c>
      <c r="BP67">
        <v>0</v>
      </c>
      <c r="BQ67">
        <v>2</v>
      </c>
      <c r="BR67">
        <v>0</v>
      </c>
      <c r="BS67">
        <v>1</v>
      </c>
      <c r="BU67">
        <v>334</v>
      </c>
      <c r="BV67">
        <v>0</v>
      </c>
      <c r="BW67">
        <v>0</v>
      </c>
      <c r="BX67">
        <v>34</v>
      </c>
      <c r="BY67">
        <v>0</v>
      </c>
      <c r="BZ67">
        <v>0</v>
      </c>
      <c r="CB67">
        <v>873</v>
      </c>
      <c r="CC67">
        <v>0</v>
      </c>
      <c r="CD67">
        <v>12</v>
      </c>
      <c r="CE67">
        <v>133</v>
      </c>
      <c r="CF67">
        <v>0</v>
      </c>
      <c r="CG67">
        <v>1</v>
      </c>
      <c r="CW67">
        <v>543</v>
      </c>
      <c r="CX67">
        <v>0</v>
      </c>
      <c r="CY67">
        <v>1</v>
      </c>
      <c r="CZ67">
        <v>51</v>
      </c>
      <c r="DA67">
        <v>7</v>
      </c>
      <c r="DB67">
        <v>47</v>
      </c>
      <c r="DC67">
        <v>35</v>
      </c>
      <c r="DD67" t="s">
        <v>105</v>
      </c>
      <c r="DE67">
        <v>276</v>
      </c>
      <c r="DG67">
        <v>4065</v>
      </c>
      <c r="DH67">
        <v>0</v>
      </c>
      <c r="DI67">
        <v>42</v>
      </c>
      <c r="DJ67">
        <v>306</v>
      </c>
      <c r="DK67">
        <v>13</v>
      </c>
      <c r="DL67">
        <v>36</v>
      </c>
      <c r="DM67" t="s">
        <v>106</v>
      </c>
      <c r="DN67">
        <v>71</v>
      </c>
      <c r="DO67">
        <v>3026</v>
      </c>
      <c r="DP67">
        <v>298</v>
      </c>
      <c r="DQ67">
        <v>1730</v>
      </c>
      <c r="DR67">
        <v>1656</v>
      </c>
    </row>
    <row r="68" spans="1:122" x14ac:dyDescent="0.25">
      <c r="A68" t="s">
        <v>170</v>
      </c>
      <c r="B68">
        <v>0</v>
      </c>
      <c r="C68">
        <v>0</v>
      </c>
      <c r="DC68">
        <v>0</v>
      </c>
      <c r="DD68" t="s">
        <v>171</v>
      </c>
      <c r="DE68">
        <v>1000</v>
      </c>
      <c r="DM68" t="s">
        <v>112</v>
      </c>
      <c r="DN68">
        <v>0</v>
      </c>
      <c r="DO68">
        <v>1000</v>
      </c>
      <c r="DP68">
        <v>0</v>
      </c>
      <c r="DQ68">
        <v>0</v>
      </c>
      <c r="DR68">
        <v>0</v>
      </c>
    </row>
    <row r="69" spans="1:122" x14ac:dyDescent="0.25">
      <c r="A69" t="s">
        <v>172</v>
      </c>
      <c r="B69">
        <v>0</v>
      </c>
      <c r="C69">
        <v>-1</v>
      </c>
      <c r="DC69">
        <v>0</v>
      </c>
      <c r="DD69" t="s">
        <v>173</v>
      </c>
      <c r="DE69">
        <v>500</v>
      </c>
      <c r="DM69" t="s">
        <v>112</v>
      </c>
      <c r="DN69">
        <v>0</v>
      </c>
      <c r="DO69">
        <v>5</v>
      </c>
      <c r="DP69">
        <v>0</v>
      </c>
      <c r="DQ69">
        <v>0</v>
      </c>
      <c r="DR69">
        <v>0</v>
      </c>
    </row>
    <row r="70" spans="1:122" x14ac:dyDescent="0.25">
      <c r="A70" t="s">
        <v>174</v>
      </c>
      <c r="B70">
        <v>0</v>
      </c>
      <c r="C70">
        <v>-1</v>
      </c>
      <c r="DC70">
        <v>0</v>
      </c>
      <c r="DD70" t="s">
        <v>105</v>
      </c>
      <c r="DE70">
        <v>0</v>
      </c>
      <c r="DM70" t="s">
        <v>112</v>
      </c>
      <c r="DN70">
        <v>4</v>
      </c>
      <c r="DO70">
        <v>4500</v>
      </c>
      <c r="DP70">
        <v>0</v>
      </c>
      <c r="DQ70">
        <v>7</v>
      </c>
      <c r="DR70">
        <v>0</v>
      </c>
    </row>
    <row r="71" spans="1:122" x14ac:dyDescent="0.25">
      <c r="A71" t="s">
        <v>175</v>
      </c>
      <c r="B71">
        <v>0</v>
      </c>
      <c r="C71">
        <v>-1</v>
      </c>
      <c r="DC71">
        <v>0</v>
      </c>
      <c r="DD71" t="s">
        <v>105</v>
      </c>
      <c r="DE71">
        <v>200</v>
      </c>
      <c r="DM71" t="s">
        <v>112</v>
      </c>
      <c r="DN71">
        <v>0</v>
      </c>
      <c r="DO71">
        <v>0</v>
      </c>
      <c r="DP71">
        <v>0</v>
      </c>
      <c r="DQ71">
        <v>0</v>
      </c>
      <c r="DR71">
        <v>0</v>
      </c>
    </row>
    <row r="72" spans="1:122" x14ac:dyDescent="0.25">
      <c r="A72" t="s">
        <v>94</v>
      </c>
      <c r="B72">
        <v>0</v>
      </c>
      <c r="C72">
        <v>-1</v>
      </c>
      <c r="AD72">
        <v>0</v>
      </c>
      <c r="AE72">
        <v>0</v>
      </c>
      <c r="AF72">
        <v>0</v>
      </c>
      <c r="AG72">
        <v>0</v>
      </c>
      <c r="AH72">
        <v>0</v>
      </c>
      <c r="AI72">
        <v>116</v>
      </c>
      <c r="CP72">
        <v>0</v>
      </c>
      <c r="CQ72">
        <v>0</v>
      </c>
      <c r="CR72">
        <v>0</v>
      </c>
      <c r="CS72">
        <v>0</v>
      </c>
      <c r="CT72">
        <v>0</v>
      </c>
      <c r="CU72">
        <v>6</v>
      </c>
      <c r="DC72">
        <v>0</v>
      </c>
      <c r="DD72" t="s">
        <v>105</v>
      </c>
      <c r="DE72">
        <v>200</v>
      </c>
      <c r="DM72" t="s">
        <v>112</v>
      </c>
      <c r="DN72">
        <v>0</v>
      </c>
      <c r="DO72">
        <v>0</v>
      </c>
      <c r="DP72">
        <v>0</v>
      </c>
      <c r="DQ72">
        <v>0</v>
      </c>
      <c r="DR72">
        <v>0</v>
      </c>
    </row>
    <row r="73" spans="1:122" x14ac:dyDescent="0.25">
      <c r="A73" t="s">
        <v>103</v>
      </c>
      <c r="B73">
        <v>0</v>
      </c>
      <c r="C73">
        <v>-1</v>
      </c>
      <c r="AD73">
        <v>0</v>
      </c>
      <c r="AE73">
        <v>0</v>
      </c>
      <c r="AF73">
        <v>0</v>
      </c>
      <c r="AG73">
        <v>0</v>
      </c>
      <c r="AH73">
        <v>0</v>
      </c>
      <c r="AI73">
        <v>202</v>
      </c>
      <c r="DC73">
        <v>0</v>
      </c>
      <c r="DD73" t="s">
        <v>105</v>
      </c>
      <c r="DE73">
        <v>200</v>
      </c>
      <c r="DM73" t="s">
        <v>112</v>
      </c>
      <c r="DN73">
        <v>0</v>
      </c>
      <c r="DO73">
        <v>0</v>
      </c>
      <c r="DP73">
        <v>0</v>
      </c>
      <c r="DQ73">
        <v>0</v>
      </c>
      <c r="DR73">
        <v>0</v>
      </c>
    </row>
    <row r="74" spans="1:122" x14ac:dyDescent="0.25">
      <c r="A74" t="s">
        <v>104</v>
      </c>
      <c r="B74">
        <v>0</v>
      </c>
      <c r="C74">
        <v>-1</v>
      </c>
      <c r="AD74">
        <v>0</v>
      </c>
      <c r="AE74">
        <v>0</v>
      </c>
      <c r="AF74">
        <v>0</v>
      </c>
      <c r="AG74">
        <v>0</v>
      </c>
      <c r="AH74">
        <v>0</v>
      </c>
      <c r="AI74">
        <v>2973</v>
      </c>
      <c r="DC74">
        <v>0</v>
      </c>
      <c r="DD74" t="s">
        <v>105</v>
      </c>
      <c r="DE74">
        <v>200</v>
      </c>
      <c r="DM74" t="s">
        <v>112</v>
      </c>
      <c r="DN74">
        <v>0</v>
      </c>
      <c r="DO74">
        <v>0</v>
      </c>
      <c r="DP74">
        <v>0</v>
      </c>
      <c r="DQ74">
        <v>0</v>
      </c>
      <c r="DR74">
        <v>0</v>
      </c>
    </row>
    <row r="75" spans="1:122" x14ac:dyDescent="0.25">
      <c r="A75" t="s">
        <v>102</v>
      </c>
      <c r="B75">
        <v>0</v>
      </c>
      <c r="C75">
        <v>-1</v>
      </c>
      <c r="AD75">
        <v>0</v>
      </c>
      <c r="AE75">
        <v>0</v>
      </c>
      <c r="AF75">
        <v>0</v>
      </c>
      <c r="AG75">
        <v>0</v>
      </c>
      <c r="AH75">
        <v>0</v>
      </c>
      <c r="AI75">
        <v>37</v>
      </c>
      <c r="DC75">
        <v>0</v>
      </c>
      <c r="DD75" t="s">
        <v>105</v>
      </c>
      <c r="DE75">
        <v>200</v>
      </c>
      <c r="DM75" t="s">
        <v>112</v>
      </c>
      <c r="DN75">
        <v>0</v>
      </c>
      <c r="DO75">
        <v>0</v>
      </c>
      <c r="DP75">
        <v>0</v>
      </c>
      <c r="DQ75">
        <v>0</v>
      </c>
      <c r="DR75">
        <v>0</v>
      </c>
    </row>
    <row r="76" spans="1:122" x14ac:dyDescent="0.25">
      <c r="A76" t="s">
        <v>28</v>
      </c>
      <c r="B76">
        <v>14</v>
      </c>
      <c r="C76">
        <v>-1</v>
      </c>
      <c r="G76">
        <v>4666</v>
      </c>
      <c r="H76">
        <v>0</v>
      </c>
      <c r="I76">
        <v>1178</v>
      </c>
      <c r="J76">
        <v>0</v>
      </c>
      <c r="K76">
        <v>0</v>
      </c>
      <c r="L76">
        <v>0</v>
      </c>
      <c r="N76">
        <v>0</v>
      </c>
      <c r="O76">
        <v>0</v>
      </c>
      <c r="P76">
        <v>44</v>
      </c>
      <c r="Q76">
        <v>0</v>
      </c>
      <c r="R76">
        <v>0</v>
      </c>
      <c r="S76">
        <v>0</v>
      </c>
      <c r="AD76">
        <v>0</v>
      </c>
      <c r="AE76">
        <v>0</v>
      </c>
      <c r="AF76">
        <v>1</v>
      </c>
      <c r="AG76">
        <v>0</v>
      </c>
      <c r="AH76">
        <v>0</v>
      </c>
      <c r="AI76">
        <v>0</v>
      </c>
      <c r="AS76">
        <v>50</v>
      </c>
      <c r="AT76">
        <v>0</v>
      </c>
      <c r="AU76">
        <v>64</v>
      </c>
      <c r="AV76">
        <v>0</v>
      </c>
      <c r="AW76">
        <v>0</v>
      </c>
      <c r="AX76">
        <v>0</v>
      </c>
      <c r="CP76">
        <v>8</v>
      </c>
      <c r="CQ76">
        <v>0</v>
      </c>
      <c r="CR76">
        <v>3</v>
      </c>
      <c r="CS76">
        <v>0</v>
      </c>
      <c r="CT76">
        <v>0</v>
      </c>
      <c r="CU76">
        <v>0</v>
      </c>
      <c r="DC76">
        <v>0</v>
      </c>
      <c r="DD76" t="s">
        <v>105</v>
      </c>
      <c r="DE76">
        <v>183</v>
      </c>
      <c r="DM76" t="s">
        <v>112</v>
      </c>
      <c r="DN76">
        <v>31</v>
      </c>
      <c r="DO76">
        <v>0</v>
      </c>
      <c r="DP76">
        <v>0</v>
      </c>
      <c r="DQ76">
        <v>117</v>
      </c>
      <c r="DR76">
        <v>0</v>
      </c>
    </row>
    <row r="77" spans="1:122" x14ac:dyDescent="0.25">
      <c r="A77" t="s">
        <v>176</v>
      </c>
      <c r="B77">
        <v>0</v>
      </c>
      <c r="C77">
        <v>-1</v>
      </c>
      <c r="DC77">
        <v>0</v>
      </c>
      <c r="DD77" t="s">
        <v>105</v>
      </c>
      <c r="DE77">
        <v>200</v>
      </c>
      <c r="DM77" t="s">
        <v>112</v>
      </c>
      <c r="DN77">
        <v>0</v>
      </c>
      <c r="DO77">
        <v>0</v>
      </c>
      <c r="DP77">
        <v>0</v>
      </c>
      <c r="DQ77">
        <v>0</v>
      </c>
      <c r="DR77">
        <v>0</v>
      </c>
    </row>
    <row r="78" spans="1:122" x14ac:dyDescent="0.25">
      <c r="A78" t="s">
        <v>30</v>
      </c>
      <c r="B78">
        <v>173</v>
      </c>
      <c r="C78">
        <v>-1</v>
      </c>
      <c r="N78">
        <v>8089</v>
      </c>
      <c r="O78">
        <v>0</v>
      </c>
      <c r="P78">
        <v>3220</v>
      </c>
      <c r="Q78">
        <v>0</v>
      </c>
      <c r="R78">
        <v>0</v>
      </c>
      <c r="S78">
        <v>0</v>
      </c>
      <c r="AD78">
        <v>0</v>
      </c>
      <c r="AE78">
        <v>0</v>
      </c>
      <c r="AF78">
        <v>93</v>
      </c>
      <c r="AG78">
        <v>0</v>
      </c>
      <c r="AH78">
        <v>0</v>
      </c>
      <c r="AI78">
        <v>0</v>
      </c>
      <c r="AS78">
        <v>3188</v>
      </c>
      <c r="AT78">
        <v>0</v>
      </c>
      <c r="AU78">
        <v>804</v>
      </c>
      <c r="AV78">
        <v>0</v>
      </c>
      <c r="AW78">
        <v>0</v>
      </c>
      <c r="AX78">
        <v>0</v>
      </c>
      <c r="CP78">
        <v>43</v>
      </c>
      <c r="CQ78">
        <v>0</v>
      </c>
      <c r="CR78">
        <v>40</v>
      </c>
      <c r="CS78">
        <v>0</v>
      </c>
      <c r="CT78">
        <v>0</v>
      </c>
      <c r="CU78">
        <v>0</v>
      </c>
      <c r="CW78">
        <v>0</v>
      </c>
      <c r="CX78">
        <v>0</v>
      </c>
      <c r="CY78">
        <v>18</v>
      </c>
      <c r="CZ78">
        <v>0</v>
      </c>
      <c r="DA78">
        <v>0</v>
      </c>
      <c r="DB78">
        <v>0</v>
      </c>
      <c r="DC78">
        <v>168</v>
      </c>
      <c r="DD78" t="s">
        <v>105</v>
      </c>
      <c r="DE78">
        <v>272</v>
      </c>
      <c r="DG78">
        <v>8326</v>
      </c>
      <c r="DH78">
        <v>0</v>
      </c>
      <c r="DI78">
        <v>13373</v>
      </c>
      <c r="DJ78">
        <v>0</v>
      </c>
      <c r="DK78">
        <v>0</v>
      </c>
      <c r="DL78">
        <v>0</v>
      </c>
      <c r="DM78" t="s">
        <v>106</v>
      </c>
      <c r="DN78">
        <v>347</v>
      </c>
      <c r="DO78">
        <v>7963</v>
      </c>
      <c r="DP78">
        <v>1181</v>
      </c>
      <c r="DQ78">
        <v>3101</v>
      </c>
      <c r="DR78">
        <v>8076</v>
      </c>
    </row>
    <row r="79" spans="1:122" x14ac:dyDescent="0.25">
      <c r="A79" t="s">
        <v>177</v>
      </c>
      <c r="B79">
        <v>0</v>
      </c>
      <c r="C79">
        <v>-1</v>
      </c>
      <c r="DC79">
        <v>0</v>
      </c>
      <c r="DD79" t="s">
        <v>105</v>
      </c>
      <c r="DE79">
        <v>250</v>
      </c>
      <c r="DM79" t="s">
        <v>112</v>
      </c>
      <c r="DN79">
        <v>0</v>
      </c>
      <c r="DO79">
        <v>400</v>
      </c>
      <c r="DP79">
        <v>0</v>
      </c>
      <c r="DQ79">
        <v>0</v>
      </c>
      <c r="DR79">
        <v>0</v>
      </c>
    </row>
    <row r="80" spans="1:122" x14ac:dyDescent="0.25">
      <c r="A80" t="s">
        <v>178</v>
      </c>
      <c r="B80">
        <v>0</v>
      </c>
      <c r="C80">
        <v>-1</v>
      </c>
      <c r="DC80">
        <v>0</v>
      </c>
      <c r="DD80" t="s">
        <v>105</v>
      </c>
      <c r="DE80">
        <v>0</v>
      </c>
      <c r="DM80" t="s">
        <v>112</v>
      </c>
      <c r="DN80">
        <v>0</v>
      </c>
      <c r="DO80">
        <v>4500</v>
      </c>
      <c r="DP80">
        <v>0</v>
      </c>
      <c r="DQ80">
        <v>0</v>
      </c>
      <c r="DR80">
        <v>0</v>
      </c>
    </row>
    <row r="81" spans="1:122" x14ac:dyDescent="0.25">
      <c r="A81" t="s">
        <v>179</v>
      </c>
      <c r="B81">
        <v>0</v>
      </c>
      <c r="C81">
        <v>-1</v>
      </c>
      <c r="DC81">
        <v>0</v>
      </c>
      <c r="DD81" t="s">
        <v>105</v>
      </c>
      <c r="DE81">
        <v>0</v>
      </c>
      <c r="DM81" t="s">
        <v>112</v>
      </c>
      <c r="DN81">
        <v>0</v>
      </c>
      <c r="DO81">
        <v>4500</v>
      </c>
      <c r="DP81">
        <v>0</v>
      </c>
      <c r="DQ81">
        <v>0</v>
      </c>
      <c r="DR81">
        <v>0</v>
      </c>
    </row>
    <row r="82" spans="1:122" x14ac:dyDescent="0.25">
      <c r="A82" t="s">
        <v>180</v>
      </c>
      <c r="B82">
        <v>0</v>
      </c>
      <c r="C82">
        <v>-1</v>
      </c>
      <c r="DC82">
        <v>0</v>
      </c>
      <c r="DD82" t="s">
        <v>105</v>
      </c>
      <c r="DE82">
        <v>200</v>
      </c>
      <c r="DM82" t="s">
        <v>112</v>
      </c>
      <c r="DN82">
        <v>0</v>
      </c>
      <c r="DO82">
        <v>0</v>
      </c>
      <c r="DP82">
        <v>0</v>
      </c>
      <c r="DQ82">
        <v>0</v>
      </c>
      <c r="DR82">
        <v>0</v>
      </c>
    </row>
    <row r="83" spans="1:122" x14ac:dyDescent="0.25">
      <c r="A83" t="s">
        <v>26</v>
      </c>
      <c r="B83">
        <v>0</v>
      </c>
      <c r="C83">
        <v>1700</v>
      </c>
      <c r="G83">
        <v>5087</v>
      </c>
      <c r="H83">
        <v>0</v>
      </c>
      <c r="I83">
        <v>907</v>
      </c>
      <c r="J83">
        <v>0</v>
      </c>
      <c r="K83">
        <v>0</v>
      </c>
      <c r="L83">
        <v>0</v>
      </c>
      <c r="N83">
        <v>0</v>
      </c>
      <c r="O83">
        <v>0</v>
      </c>
      <c r="P83">
        <v>40</v>
      </c>
      <c r="Q83">
        <v>0</v>
      </c>
      <c r="R83">
        <v>0</v>
      </c>
      <c r="S83">
        <v>0</v>
      </c>
      <c r="CP83">
        <v>32</v>
      </c>
      <c r="CQ83">
        <v>0</v>
      </c>
      <c r="CR83">
        <v>9</v>
      </c>
      <c r="CS83">
        <v>0</v>
      </c>
      <c r="CT83">
        <v>0</v>
      </c>
      <c r="CU83">
        <v>0</v>
      </c>
      <c r="DC83">
        <v>0</v>
      </c>
      <c r="DD83" t="s">
        <v>105</v>
      </c>
      <c r="DE83">
        <v>261</v>
      </c>
      <c r="DM83" t="s">
        <v>112</v>
      </c>
      <c r="DN83">
        <v>17</v>
      </c>
      <c r="DO83">
        <v>0</v>
      </c>
      <c r="DP83">
        <v>0</v>
      </c>
      <c r="DQ83">
        <v>41</v>
      </c>
      <c r="DR83">
        <v>0</v>
      </c>
    </row>
    <row r="84" spans="1:122" x14ac:dyDescent="0.25">
      <c r="A84" t="s">
        <v>181</v>
      </c>
      <c r="B84">
        <v>0</v>
      </c>
      <c r="C84">
        <v>-1</v>
      </c>
      <c r="DC84">
        <v>0</v>
      </c>
      <c r="DD84" t="s">
        <v>105</v>
      </c>
      <c r="DE84">
        <v>200</v>
      </c>
      <c r="DM84" t="s">
        <v>112</v>
      </c>
      <c r="DN84">
        <v>0</v>
      </c>
      <c r="DO84">
        <v>0</v>
      </c>
      <c r="DP84">
        <v>0</v>
      </c>
      <c r="DQ84">
        <v>0</v>
      </c>
      <c r="DR84">
        <v>0</v>
      </c>
    </row>
    <row r="85" spans="1:122" x14ac:dyDescent="0.25">
      <c r="A85" t="s">
        <v>182</v>
      </c>
      <c r="B85">
        <v>0</v>
      </c>
      <c r="C85">
        <v>-1</v>
      </c>
      <c r="DC85">
        <v>0</v>
      </c>
      <c r="DD85" t="s">
        <v>105</v>
      </c>
      <c r="DE85">
        <v>250</v>
      </c>
      <c r="DM85" t="s">
        <v>112</v>
      </c>
      <c r="DN85">
        <v>0</v>
      </c>
      <c r="DO85">
        <v>0</v>
      </c>
      <c r="DP85">
        <v>0</v>
      </c>
      <c r="DQ85">
        <v>0</v>
      </c>
      <c r="DR85">
        <v>0</v>
      </c>
    </row>
    <row r="86" spans="1:122" x14ac:dyDescent="0.25">
      <c r="A86" t="s">
        <v>183</v>
      </c>
      <c r="B86">
        <v>0</v>
      </c>
      <c r="C86">
        <v>-1</v>
      </c>
      <c r="DC86">
        <v>0</v>
      </c>
      <c r="DD86" t="s">
        <v>105</v>
      </c>
      <c r="DE86">
        <v>250</v>
      </c>
      <c r="DM86" t="s">
        <v>112</v>
      </c>
      <c r="DN86">
        <v>0</v>
      </c>
      <c r="DO86">
        <v>0</v>
      </c>
      <c r="DP86">
        <v>0</v>
      </c>
      <c r="DQ86">
        <v>0</v>
      </c>
      <c r="DR86">
        <v>0</v>
      </c>
    </row>
    <row r="87" spans="1:122" x14ac:dyDescent="0.25">
      <c r="A87" t="s">
        <v>27</v>
      </c>
      <c r="B87">
        <v>0</v>
      </c>
      <c r="C87">
        <v>-1</v>
      </c>
      <c r="CP87">
        <v>0</v>
      </c>
      <c r="CQ87">
        <v>0</v>
      </c>
      <c r="CR87">
        <v>21</v>
      </c>
      <c r="CS87">
        <v>0</v>
      </c>
      <c r="CT87">
        <v>0</v>
      </c>
      <c r="CU87">
        <v>0</v>
      </c>
      <c r="DC87">
        <v>0</v>
      </c>
      <c r="DD87" t="s">
        <v>105</v>
      </c>
      <c r="DE87">
        <v>288</v>
      </c>
      <c r="DM87" t="s">
        <v>112</v>
      </c>
      <c r="DN87">
        <v>6</v>
      </c>
      <c r="DO87">
        <v>0</v>
      </c>
      <c r="DP87">
        <v>0</v>
      </c>
      <c r="DQ87">
        <v>20</v>
      </c>
      <c r="DR87">
        <v>0</v>
      </c>
    </row>
    <row r="88" spans="1:122" x14ac:dyDescent="0.25">
      <c r="A88" t="s">
        <v>184</v>
      </c>
      <c r="B88">
        <v>0</v>
      </c>
      <c r="C88">
        <v>-1</v>
      </c>
      <c r="DC88">
        <v>0</v>
      </c>
      <c r="DD88" t="s">
        <v>105</v>
      </c>
      <c r="DE88">
        <v>200</v>
      </c>
      <c r="DM88" t="s">
        <v>112</v>
      </c>
      <c r="DN88">
        <v>0</v>
      </c>
      <c r="DO88">
        <v>0</v>
      </c>
      <c r="DP88">
        <v>0</v>
      </c>
      <c r="DQ88">
        <v>0</v>
      </c>
      <c r="DR88">
        <v>0</v>
      </c>
    </row>
    <row r="89" spans="1:122" x14ac:dyDescent="0.25">
      <c r="A89" t="s">
        <v>24</v>
      </c>
      <c r="B89">
        <v>139</v>
      </c>
      <c r="C89">
        <v>3800</v>
      </c>
      <c r="W89">
        <v>0</v>
      </c>
      <c r="X89">
        <v>0</v>
      </c>
      <c r="Y89">
        <v>1</v>
      </c>
      <c r="Z89">
        <v>0</v>
      </c>
      <c r="AA89">
        <v>0</v>
      </c>
      <c r="AB89">
        <v>0</v>
      </c>
      <c r="AD89">
        <v>12</v>
      </c>
      <c r="AE89">
        <v>0</v>
      </c>
      <c r="AF89">
        <v>1235</v>
      </c>
      <c r="AG89">
        <v>0</v>
      </c>
      <c r="AH89">
        <v>0</v>
      </c>
      <c r="AI89">
        <v>0</v>
      </c>
      <c r="CB89">
        <v>55</v>
      </c>
      <c r="CC89">
        <v>0</v>
      </c>
      <c r="CD89">
        <v>114</v>
      </c>
      <c r="CE89">
        <v>0</v>
      </c>
      <c r="CF89">
        <v>0</v>
      </c>
      <c r="CG89">
        <v>0</v>
      </c>
      <c r="CP89">
        <v>69</v>
      </c>
      <c r="CQ89">
        <v>0</v>
      </c>
      <c r="CR89">
        <v>34</v>
      </c>
      <c r="CS89">
        <v>0</v>
      </c>
      <c r="CT89">
        <v>0</v>
      </c>
      <c r="CU89">
        <v>0</v>
      </c>
      <c r="DC89">
        <v>0</v>
      </c>
      <c r="DD89" t="s">
        <v>105</v>
      </c>
      <c r="DE89">
        <v>243</v>
      </c>
      <c r="DM89" t="s">
        <v>185</v>
      </c>
      <c r="DN89">
        <v>38</v>
      </c>
      <c r="DO89">
        <v>36</v>
      </c>
      <c r="DP89">
        <v>0</v>
      </c>
      <c r="DQ89">
        <v>236</v>
      </c>
      <c r="DR89">
        <v>0</v>
      </c>
    </row>
    <row r="90" spans="1:122" x14ac:dyDescent="0.25">
      <c r="A90" t="s">
        <v>186</v>
      </c>
      <c r="B90">
        <v>0</v>
      </c>
      <c r="C90">
        <v>-1</v>
      </c>
      <c r="DC90">
        <v>0</v>
      </c>
      <c r="DD90" t="s">
        <v>105</v>
      </c>
      <c r="DE90">
        <v>250</v>
      </c>
      <c r="DM90" t="s">
        <v>112</v>
      </c>
      <c r="DN90">
        <v>0</v>
      </c>
      <c r="DO90">
        <v>200</v>
      </c>
      <c r="DP90">
        <v>0</v>
      </c>
      <c r="DQ90">
        <v>0</v>
      </c>
      <c r="DR90">
        <v>0</v>
      </c>
    </row>
    <row r="91" spans="1:122" x14ac:dyDescent="0.25">
      <c r="A91" t="s">
        <v>65</v>
      </c>
      <c r="B91">
        <v>0</v>
      </c>
      <c r="C91">
        <v>-1</v>
      </c>
      <c r="CP91">
        <v>0</v>
      </c>
      <c r="CQ91">
        <v>0</v>
      </c>
      <c r="CR91">
        <v>0</v>
      </c>
      <c r="CS91">
        <v>0</v>
      </c>
      <c r="CT91">
        <v>0</v>
      </c>
      <c r="CU91">
        <v>57</v>
      </c>
      <c r="DC91">
        <v>0</v>
      </c>
      <c r="DD91" t="s">
        <v>105</v>
      </c>
      <c r="DE91">
        <v>200</v>
      </c>
      <c r="DM91" t="s">
        <v>112</v>
      </c>
      <c r="DN91">
        <v>14</v>
      </c>
      <c r="DO91">
        <v>0</v>
      </c>
      <c r="DP91">
        <v>0</v>
      </c>
      <c r="DQ91">
        <v>19</v>
      </c>
      <c r="DR91">
        <v>0</v>
      </c>
    </row>
    <row r="92" spans="1:122" x14ac:dyDescent="0.25">
      <c r="A92" t="s">
        <v>187</v>
      </c>
      <c r="B92">
        <v>0</v>
      </c>
      <c r="C92">
        <v>-1</v>
      </c>
      <c r="DC92">
        <v>0</v>
      </c>
      <c r="DD92" t="s">
        <v>105</v>
      </c>
      <c r="DE92">
        <v>200</v>
      </c>
      <c r="DM92" t="s">
        <v>112</v>
      </c>
      <c r="DN92">
        <v>0</v>
      </c>
      <c r="DO92">
        <v>0</v>
      </c>
      <c r="DP92">
        <v>0</v>
      </c>
      <c r="DQ92">
        <v>0</v>
      </c>
      <c r="DR92">
        <v>0</v>
      </c>
    </row>
    <row r="93" spans="1:122" x14ac:dyDescent="0.25">
      <c r="A93" t="s">
        <v>188</v>
      </c>
      <c r="B93">
        <v>0</v>
      </c>
      <c r="C93">
        <v>-1</v>
      </c>
      <c r="DC93">
        <v>0</v>
      </c>
      <c r="DD93" t="s">
        <v>105</v>
      </c>
      <c r="DE93">
        <v>200</v>
      </c>
      <c r="DM93" t="s">
        <v>112</v>
      </c>
      <c r="DN93">
        <v>0</v>
      </c>
      <c r="DO93">
        <v>0</v>
      </c>
      <c r="DP93">
        <v>0</v>
      </c>
      <c r="DQ93">
        <v>0</v>
      </c>
      <c r="DR93">
        <v>0</v>
      </c>
    </row>
    <row r="94" spans="1:122" x14ac:dyDescent="0.25">
      <c r="A94" t="s">
        <v>25</v>
      </c>
      <c r="B94">
        <v>104</v>
      </c>
      <c r="C94">
        <v>1900</v>
      </c>
      <c r="N94">
        <v>0</v>
      </c>
      <c r="O94">
        <v>0</v>
      </c>
      <c r="P94">
        <v>91</v>
      </c>
      <c r="Q94">
        <v>0</v>
      </c>
      <c r="R94">
        <v>0</v>
      </c>
      <c r="S94">
        <v>0</v>
      </c>
      <c r="W94">
        <v>556</v>
      </c>
      <c r="X94">
        <v>0</v>
      </c>
      <c r="Y94">
        <v>92</v>
      </c>
      <c r="Z94">
        <v>0</v>
      </c>
      <c r="AA94">
        <v>0</v>
      </c>
      <c r="AB94">
        <v>0</v>
      </c>
      <c r="AD94">
        <v>0</v>
      </c>
      <c r="AE94">
        <v>0</v>
      </c>
      <c r="AF94">
        <v>6</v>
      </c>
      <c r="AG94">
        <v>0</v>
      </c>
      <c r="AH94">
        <v>0</v>
      </c>
      <c r="AI94">
        <v>0</v>
      </c>
      <c r="CB94">
        <v>8</v>
      </c>
      <c r="CC94">
        <v>0</v>
      </c>
      <c r="CD94">
        <v>3</v>
      </c>
      <c r="CE94">
        <v>0</v>
      </c>
      <c r="CF94">
        <v>0</v>
      </c>
      <c r="CG94">
        <v>0</v>
      </c>
      <c r="CP94">
        <v>41</v>
      </c>
      <c r="CQ94">
        <v>0</v>
      </c>
      <c r="CR94">
        <v>9</v>
      </c>
      <c r="CS94">
        <v>0</v>
      </c>
      <c r="CT94">
        <v>0</v>
      </c>
      <c r="CU94">
        <v>0</v>
      </c>
      <c r="DC94">
        <v>0</v>
      </c>
      <c r="DD94" t="s">
        <v>105</v>
      </c>
      <c r="DE94">
        <v>205</v>
      </c>
      <c r="DM94" t="s">
        <v>112</v>
      </c>
      <c r="DN94">
        <v>19</v>
      </c>
      <c r="DO94">
        <v>0</v>
      </c>
      <c r="DP94">
        <v>0</v>
      </c>
      <c r="DQ94">
        <v>44</v>
      </c>
      <c r="DR94">
        <v>0</v>
      </c>
    </row>
    <row r="95" spans="1:122" x14ac:dyDescent="0.25">
      <c r="A95" t="s">
        <v>189</v>
      </c>
      <c r="B95">
        <v>0</v>
      </c>
      <c r="C95">
        <v>-1</v>
      </c>
      <c r="DC95">
        <v>0</v>
      </c>
      <c r="DD95" t="s">
        <v>105</v>
      </c>
      <c r="DE95">
        <v>246</v>
      </c>
      <c r="DM95" t="s">
        <v>112</v>
      </c>
      <c r="DN95">
        <v>0</v>
      </c>
      <c r="DO95">
        <v>0</v>
      </c>
      <c r="DP95">
        <v>0</v>
      </c>
      <c r="DQ95">
        <v>0</v>
      </c>
      <c r="DR95">
        <v>0</v>
      </c>
    </row>
    <row r="96" spans="1:122" x14ac:dyDescent="0.25">
      <c r="A96" t="s">
        <v>16</v>
      </c>
      <c r="B96">
        <v>0</v>
      </c>
      <c r="C96">
        <v>-1</v>
      </c>
      <c r="DC96">
        <v>0</v>
      </c>
      <c r="DD96" t="s">
        <v>105</v>
      </c>
      <c r="DE96">
        <v>200</v>
      </c>
      <c r="DM96" t="s">
        <v>112</v>
      </c>
      <c r="DN96">
        <v>0</v>
      </c>
      <c r="DO96">
        <v>0</v>
      </c>
      <c r="DP96">
        <v>0</v>
      </c>
      <c r="DQ96">
        <v>0</v>
      </c>
      <c r="DR96">
        <v>0</v>
      </c>
    </row>
    <row r="97" spans="1:122" x14ac:dyDescent="0.25">
      <c r="A97" t="s">
        <v>190</v>
      </c>
      <c r="B97">
        <v>0</v>
      </c>
      <c r="C97">
        <v>-1</v>
      </c>
      <c r="DC97">
        <v>0</v>
      </c>
      <c r="DD97" t="s">
        <v>105</v>
      </c>
      <c r="DE97">
        <v>200</v>
      </c>
      <c r="DM97" t="s">
        <v>112</v>
      </c>
      <c r="DN97">
        <v>0</v>
      </c>
      <c r="DO97">
        <v>0</v>
      </c>
      <c r="DP97">
        <v>0</v>
      </c>
      <c r="DQ97">
        <v>0</v>
      </c>
      <c r="DR97">
        <v>0</v>
      </c>
    </row>
    <row r="98" spans="1:122" x14ac:dyDescent="0.25">
      <c r="A98" t="s">
        <v>191</v>
      </c>
      <c r="B98">
        <v>0</v>
      </c>
      <c r="C98">
        <v>-1</v>
      </c>
      <c r="DC98">
        <v>0</v>
      </c>
      <c r="DD98" t="s">
        <v>105</v>
      </c>
      <c r="DE98">
        <v>200</v>
      </c>
      <c r="DM98" t="s">
        <v>112</v>
      </c>
      <c r="DN98">
        <v>0</v>
      </c>
      <c r="DO98">
        <v>0</v>
      </c>
      <c r="DP98">
        <v>0</v>
      </c>
      <c r="DQ98">
        <v>0</v>
      </c>
      <c r="DR98">
        <v>0</v>
      </c>
    </row>
    <row r="99" spans="1:122" x14ac:dyDescent="0.25">
      <c r="A99" t="s">
        <v>61</v>
      </c>
      <c r="B99">
        <v>0</v>
      </c>
      <c r="C99">
        <v>-1</v>
      </c>
      <c r="CP99">
        <v>0</v>
      </c>
      <c r="CQ99">
        <v>0</v>
      </c>
      <c r="CR99">
        <v>1</v>
      </c>
      <c r="CS99">
        <v>0</v>
      </c>
      <c r="CT99">
        <v>0</v>
      </c>
      <c r="CU99">
        <v>94</v>
      </c>
      <c r="DC99">
        <v>0</v>
      </c>
      <c r="DD99" t="s">
        <v>105</v>
      </c>
      <c r="DE99">
        <v>289</v>
      </c>
      <c r="DM99" t="s">
        <v>112</v>
      </c>
      <c r="DN99">
        <v>19</v>
      </c>
      <c r="DO99">
        <v>0</v>
      </c>
      <c r="DP99">
        <v>0</v>
      </c>
      <c r="DQ99">
        <v>31</v>
      </c>
      <c r="DR99">
        <v>0</v>
      </c>
    </row>
    <row r="100" spans="1:122" x14ac:dyDescent="0.25">
      <c r="A100" t="s">
        <v>192</v>
      </c>
      <c r="B100">
        <v>0</v>
      </c>
      <c r="C100">
        <v>-1</v>
      </c>
      <c r="DC100">
        <v>0</v>
      </c>
      <c r="DD100" t="s">
        <v>105</v>
      </c>
      <c r="DE100">
        <v>251</v>
      </c>
      <c r="DM100" t="s">
        <v>112</v>
      </c>
      <c r="DN100">
        <v>0</v>
      </c>
      <c r="DO100">
        <v>0</v>
      </c>
      <c r="DP100">
        <v>0</v>
      </c>
      <c r="DQ100">
        <v>0</v>
      </c>
      <c r="DR100">
        <v>0</v>
      </c>
    </row>
    <row r="101" spans="1:122" x14ac:dyDescent="0.25">
      <c r="A101" t="s">
        <v>67</v>
      </c>
      <c r="B101">
        <v>0</v>
      </c>
      <c r="C101">
        <v>-1</v>
      </c>
      <c r="DC101">
        <v>0</v>
      </c>
      <c r="DD101" t="s">
        <v>105</v>
      </c>
      <c r="DE101">
        <v>200</v>
      </c>
      <c r="DM101" t="s">
        <v>112</v>
      </c>
      <c r="DN101">
        <v>0</v>
      </c>
      <c r="DO101">
        <v>0</v>
      </c>
      <c r="DP101">
        <v>0</v>
      </c>
      <c r="DQ101">
        <v>0</v>
      </c>
      <c r="DR101">
        <v>0</v>
      </c>
    </row>
    <row r="102" spans="1:122" x14ac:dyDescent="0.25">
      <c r="A102" t="s">
        <v>66</v>
      </c>
      <c r="B102">
        <v>0</v>
      </c>
      <c r="C102">
        <v>-1</v>
      </c>
      <c r="DC102">
        <v>0</v>
      </c>
      <c r="DD102" t="s">
        <v>105</v>
      </c>
      <c r="DE102">
        <v>200</v>
      </c>
      <c r="DM102" t="s">
        <v>112</v>
      </c>
      <c r="DN102">
        <v>0</v>
      </c>
      <c r="DO102">
        <v>0</v>
      </c>
      <c r="DP102">
        <v>0</v>
      </c>
      <c r="DQ102">
        <v>0</v>
      </c>
      <c r="DR102">
        <v>0</v>
      </c>
    </row>
    <row r="103" spans="1:122" x14ac:dyDescent="0.25">
      <c r="A103" t="s">
        <v>193</v>
      </c>
      <c r="B103">
        <v>0</v>
      </c>
      <c r="C103">
        <v>-1</v>
      </c>
      <c r="DC103">
        <v>0</v>
      </c>
      <c r="DD103" t="s">
        <v>105</v>
      </c>
      <c r="DE103">
        <v>0</v>
      </c>
      <c r="DM103" t="s">
        <v>112</v>
      </c>
      <c r="DN103">
        <v>0</v>
      </c>
      <c r="DO103">
        <v>4500</v>
      </c>
      <c r="DP103">
        <v>0</v>
      </c>
      <c r="DQ103">
        <v>0</v>
      </c>
      <c r="DR103">
        <v>0</v>
      </c>
    </row>
    <row r="104" spans="1:122" x14ac:dyDescent="0.25">
      <c r="A104" t="s">
        <v>194</v>
      </c>
      <c r="B104">
        <v>0</v>
      </c>
      <c r="C104">
        <v>-1</v>
      </c>
      <c r="DC104">
        <v>0</v>
      </c>
      <c r="DD104" t="s">
        <v>105</v>
      </c>
      <c r="DE104">
        <v>220</v>
      </c>
      <c r="DM104" t="s">
        <v>112</v>
      </c>
      <c r="DN104">
        <v>0</v>
      </c>
      <c r="DO104">
        <v>0</v>
      </c>
      <c r="DP104">
        <v>0</v>
      </c>
      <c r="DQ104">
        <v>0</v>
      </c>
      <c r="DR104">
        <v>0</v>
      </c>
    </row>
    <row r="105" spans="1:122" x14ac:dyDescent="0.25">
      <c r="A105" t="s">
        <v>31</v>
      </c>
      <c r="B105">
        <v>0</v>
      </c>
      <c r="C105">
        <v>-1</v>
      </c>
      <c r="DC105">
        <v>0</v>
      </c>
      <c r="DD105" t="s">
        <v>105</v>
      </c>
      <c r="DE105">
        <v>200</v>
      </c>
      <c r="DM105" t="s">
        <v>112</v>
      </c>
      <c r="DN105">
        <v>0</v>
      </c>
      <c r="DO105">
        <v>0</v>
      </c>
      <c r="DP105">
        <v>0</v>
      </c>
      <c r="DQ105">
        <v>0</v>
      </c>
      <c r="DR105">
        <v>0</v>
      </c>
    </row>
    <row r="106" spans="1:122" x14ac:dyDescent="0.25">
      <c r="A106" t="s">
        <v>195</v>
      </c>
      <c r="B106">
        <v>0</v>
      </c>
      <c r="C106">
        <v>-1</v>
      </c>
      <c r="DC106">
        <v>0</v>
      </c>
      <c r="DD106" t="s">
        <v>105</v>
      </c>
      <c r="DE106">
        <v>200</v>
      </c>
      <c r="DM106" t="s">
        <v>112</v>
      </c>
      <c r="DN106">
        <v>0</v>
      </c>
      <c r="DO106">
        <v>0</v>
      </c>
      <c r="DP106">
        <v>0</v>
      </c>
      <c r="DQ106">
        <v>0</v>
      </c>
      <c r="DR106">
        <v>0</v>
      </c>
    </row>
    <row r="107" spans="1:122" x14ac:dyDescent="0.25">
      <c r="A107" t="s">
        <v>29</v>
      </c>
      <c r="B107">
        <v>0</v>
      </c>
      <c r="C107">
        <v>-1</v>
      </c>
      <c r="DC107">
        <v>0</v>
      </c>
      <c r="DD107" t="s">
        <v>105</v>
      </c>
      <c r="DE107">
        <v>200</v>
      </c>
      <c r="DM107" t="s">
        <v>112</v>
      </c>
      <c r="DN107">
        <v>0</v>
      </c>
      <c r="DO107">
        <v>0</v>
      </c>
      <c r="DP107">
        <v>0</v>
      </c>
      <c r="DQ107">
        <v>0</v>
      </c>
      <c r="DR107">
        <v>0</v>
      </c>
    </row>
    <row r="108" spans="1:122" x14ac:dyDescent="0.25">
      <c r="A108" t="s">
        <v>59</v>
      </c>
      <c r="B108">
        <v>0</v>
      </c>
      <c r="C108">
        <v>400</v>
      </c>
      <c r="G108">
        <v>60</v>
      </c>
      <c r="H108">
        <v>0</v>
      </c>
      <c r="I108">
        <v>440</v>
      </c>
      <c r="J108">
        <v>0</v>
      </c>
      <c r="K108">
        <v>0</v>
      </c>
      <c r="L108">
        <v>0</v>
      </c>
      <c r="N108">
        <v>0</v>
      </c>
      <c r="O108">
        <v>0</v>
      </c>
      <c r="P108">
        <v>34</v>
      </c>
      <c r="Q108">
        <v>0</v>
      </c>
      <c r="R108">
        <v>0</v>
      </c>
      <c r="S108">
        <v>0</v>
      </c>
      <c r="CP108">
        <v>0</v>
      </c>
      <c r="CQ108">
        <v>0</v>
      </c>
      <c r="CR108">
        <v>7</v>
      </c>
      <c r="CS108">
        <v>0</v>
      </c>
      <c r="CT108">
        <v>0</v>
      </c>
      <c r="CU108">
        <v>0</v>
      </c>
      <c r="DC108">
        <v>0</v>
      </c>
      <c r="DD108" t="s">
        <v>105</v>
      </c>
      <c r="DE108">
        <v>335</v>
      </c>
      <c r="DM108" t="s">
        <v>112</v>
      </c>
      <c r="DN108">
        <v>4</v>
      </c>
      <c r="DO108">
        <v>0</v>
      </c>
      <c r="DP108">
        <v>0</v>
      </c>
      <c r="DQ108">
        <v>7</v>
      </c>
      <c r="DR108">
        <v>0</v>
      </c>
    </row>
    <row r="109" spans="1:122" x14ac:dyDescent="0.25">
      <c r="A109" t="s">
        <v>64</v>
      </c>
      <c r="B109">
        <v>29</v>
      </c>
      <c r="C109">
        <v>-1</v>
      </c>
      <c r="CP109">
        <v>0</v>
      </c>
      <c r="CQ109">
        <v>0</v>
      </c>
      <c r="CR109">
        <v>80</v>
      </c>
      <c r="CS109">
        <v>0</v>
      </c>
      <c r="CT109">
        <v>0</v>
      </c>
      <c r="CU109">
        <v>0</v>
      </c>
      <c r="DC109">
        <v>0</v>
      </c>
      <c r="DD109" t="s">
        <v>105</v>
      </c>
      <c r="DE109">
        <v>210</v>
      </c>
      <c r="DM109" t="s">
        <v>112</v>
      </c>
      <c r="DN109">
        <v>12</v>
      </c>
      <c r="DO109">
        <v>0</v>
      </c>
      <c r="DP109">
        <v>0</v>
      </c>
      <c r="DQ109">
        <v>70</v>
      </c>
      <c r="DR109">
        <v>0</v>
      </c>
    </row>
    <row r="110" spans="1:122" x14ac:dyDescent="0.25">
      <c r="A110" t="s">
        <v>54</v>
      </c>
      <c r="B110">
        <v>0</v>
      </c>
      <c r="C110">
        <v>-1</v>
      </c>
      <c r="CP110">
        <v>0</v>
      </c>
      <c r="CQ110">
        <v>0</v>
      </c>
      <c r="CR110">
        <v>135</v>
      </c>
      <c r="CS110">
        <v>0</v>
      </c>
      <c r="CT110">
        <v>0</v>
      </c>
      <c r="CU110">
        <v>0</v>
      </c>
      <c r="DC110">
        <v>0</v>
      </c>
      <c r="DD110" t="s">
        <v>105</v>
      </c>
      <c r="DE110">
        <v>267</v>
      </c>
      <c r="DM110" t="s">
        <v>112</v>
      </c>
      <c r="DN110">
        <v>35</v>
      </c>
      <c r="DO110">
        <v>0</v>
      </c>
      <c r="DP110">
        <v>0</v>
      </c>
      <c r="DQ110">
        <v>127</v>
      </c>
      <c r="DR110">
        <v>0</v>
      </c>
    </row>
    <row r="111" spans="1:122" x14ac:dyDescent="0.25">
      <c r="A111" t="s">
        <v>52</v>
      </c>
      <c r="B111">
        <v>0</v>
      </c>
      <c r="C111">
        <v>-1</v>
      </c>
      <c r="CP111">
        <v>0</v>
      </c>
      <c r="CQ111">
        <v>0</v>
      </c>
      <c r="CR111">
        <v>28</v>
      </c>
      <c r="CS111">
        <v>0</v>
      </c>
      <c r="CT111">
        <v>0</v>
      </c>
      <c r="CU111">
        <v>0</v>
      </c>
      <c r="DC111">
        <v>0</v>
      </c>
      <c r="DD111" t="s">
        <v>105</v>
      </c>
      <c r="DE111">
        <v>83</v>
      </c>
      <c r="DM111" t="s">
        <v>112</v>
      </c>
      <c r="DN111">
        <v>11</v>
      </c>
      <c r="DO111">
        <v>0</v>
      </c>
      <c r="DP111">
        <v>0</v>
      </c>
      <c r="DQ111">
        <v>24</v>
      </c>
      <c r="DR111">
        <v>0</v>
      </c>
    </row>
    <row r="112" spans="1:122" x14ac:dyDescent="0.25">
      <c r="A112" t="s">
        <v>44</v>
      </c>
      <c r="B112">
        <v>0</v>
      </c>
      <c r="C112">
        <v>-1</v>
      </c>
      <c r="CP112">
        <v>0</v>
      </c>
      <c r="CQ112">
        <v>0</v>
      </c>
      <c r="CR112">
        <v>160</v>
      </c>
      <c r="CS112">
        <v>0</v>
      </c>
      <c r="CT112">
        <v>0</v>
      </c>
      <c r="CU112">
        <v>0</v>
      </c>
      <c r="DC112">
        <v>0</v>
      </c>
      <c r="DD112" t="s">
        <v>105</v>
      </c>
      <c r="DE112">
        <v>96</v>
      </c>
      <c r="DM112" t="s">
        <v>112</v>
      </c>
      <c r="DN112">
        <v>26</v>
      </c>
      <c r="DO112">
        <v>0</v>
      </c>
      <c r="DP112">
        <v>0</v>
      </c>
      <c r="DQ112">
        <v>150</v>
      </c>
      <c r="DR112">
        <v>0</v>
      </c>
    </row>
    <row r="113" spans="1:122" x14ac:dyDescent="0.25">
      <c r="A113" t="s">
        <v>196</v>
      </c>
      <c r="B113">
        <v>0</v>
      </c>
      <c r="C113">
        <v>-1</v>
      </c>
      <c r="DC113">
        <v>0</v>
      </c>
      <c r="DD113" t="s">
        <v>105</v>
      </c>
      <c r="DE113">
        <v>0</v>
      </c>
      <c r="DM113" t="s">
        <v>112</v>
      </c>
      <c r="DN113">
        <v>0</v>
      </c>
      <c r="DO113">
        <v>4500</v>
      </c>
      <c r="DP113">
        <v>0</v>
      </c>
      <c r="DQ113">
        <v>0</v>
      </c>
      <c r="DR113">
        <v>0</v>
      </c>
    </row>
    <row r="114" spans="1:122" x14ac:dyDescent="0.25">
      <c r="A114" t="s">
        <v>50</v>
      </c>
      <c r="B114">
        <v>0</v>
      </c>
      <c r="C114">
        <v>1200</v>
      </c>
      <c r="G114">
        <v>3898</v>
      </c>
      <c r="H114">
        <v>0</v>
      </c>
      <c r="I114">
        <v>464</v>
      </c>
      <c r="J114">
        <v>0</v>
      </c>
      <c r="K114">
        <v>0</v>
      </c>
      <c r="L114">
        <v>0</v>
      </c>
      <c r="N114">
        <v>0</v>
      </c>
      <c r="O114">
        <v>0</v>
      </c>
      <c r="P114">
        <v>38</v>
      </c>
      <c r="Q114">
        <v>0</v>
      </c>
      <c r="R114">
        <v>0</v>
      </c>
      <c r="S114">
        <v>0</v>
      </c>
      <c r="AD114">
        <v>0</v>
      </c>
      <c r="AE114">
        <v>0</v>
      </c>
      <c r="AF114">
        <v>2</v>
      </c>
      <c r="AG114">
        <v>0</v>
      </c>
      <c r="AH114">
        <v>0</v>
      </c>
      <c r="AI114">
        <v>0</v>
      </c>
      <c r="CP114">
        <v>40</v>
      </c>
      <c r="CQ114">
        <v>0</v>
      </c>
      <c r="CR114">
        <v>2</v>
      </c>
      <c r="CS114">
        <v>0</v>
      </c>
      <c r="CT114">
        <v>0</v>
      </c>
      <c r="CU114">
        <v>0</v>
      </c>
      <c r="DC114">
        <v>0</v>
      </c>
      <c r="DD114" t="s">
        <v>105</v>
      </c>
      <c r="DE114">
        <v>231</v>
      </c>
      <c r="DM114" t="s">
        <v>112</v>
      </c>
      <c r="DN114">
        <v>12</v>
      </c>
      <c r="DO114">
        <v>0</v>
      </c>
      <c r="DP114">
        <v>0</v>
      </c>
      <c r="DQ114">
        <v>37</v>
      </c>
      <c r="DR114">
        <v>0</v>
      </c>
    </row>
    <row r="115" spans="1:122" x14ac:dyDescent="0.25">
      <c r="A115" t="s">
        <v>197</v>
      </c>
      <c r="B115">
        <v>0</v>
      </c>
      <c r="C115">
        <v>-1</v>
      </c>
      <c r="DC115">
        <v>0</v>
      </c>
      <c r="DD115" t="s">
        <v>105</v>
      </c>
      <c r="DE115">
        <v>200</v>
      </c>
      <c r="DM115" t="s">
        <v>112</v>
      </c>
      <c r="DN115">
        <v>0</v>
      </c>
      <c r="DO115">
        <v>0</v>
      </c>
      <c r="DP115">
        <v>0</v>
      </c>
      <c r="DQ115">
        <v>0</v>
      </c>
      <c r="DR115">
        <v>0</v>
      </c>
    </row>
    <row r="116" spans="1:122" x14ac:dyDescent="0.25">
      <c r="A116" t="s">
        <v>198</v>
      </c>
      <c r="B116">
        <v>0</v>
      </c>
      <c r="C116">
        <v>-1</v>
      </c>
      <c r="DC116">
        <v>0</v>
      </c>
      <c r="DD116" t="s">
        <v>105</v>
      </c>
      <c r="DE116">
        <v>200</v>
      </c>
      <c r="DM116" t="s">
        <v>112</v>
      </c>
      <c r="DN116">
        <v>0</v>
      </c>
      <c r="DO116">
        <v>0</v>
      </c>
      <c r="DP116">
        <v>0</v>
      </c>
      <c r="DQ116">
        <v>0</v>
      </c>
      <c r="DR116">
        <v>0</v>
      </c>
    </row>
    <row r="117" spans="1:122" x14ac:dyDescent="0.25">
      <c r="A117" t="s">
        <v>199</v>
      </c>
      <c r="B117">
        <v>0</v>
      </c>
      <c r="C117">
        <v>-1</v>
      </c>
      <c r="DC117">
        <v>0</v>
      </c>
      <c r="DD117" t="s">
        <v>105</v>
      </c>
      <c r="DE117">
        <v>200</v>
      </c>
      <c r="DM117" t="s">
        <v>112</v>
      </c>
      <c r="DN117">
        <v>0</v>
      </c>
      <c r="DO117">
        <v>0</v>
      </c>
      <c r="DP117">
        <v>0</v>
      </c>
      <c r="DQ117">
        <v>0</v>
      </c>
      <c r="DR117">
        <v>0</v>
      </c>
    </row>
    <row r="118" spans="1:122" x14ac:dyDescent="0.25">
      <c r="A118" t="s">
        <v>200</v>
      </c>
      <c r="B118">
        <v>0</v>
      </c>
      <c r="C118">
        <v>-1</v>
      </c>
      <c r="DC118">
        <v>0</v>
      </c>
      <c r="DD118" t="s">
        <v>105</v>
      </c>
      <c r="DE118">
        <v>0</v>
      </c>
      <c r="DM118" t="s">
        <v>112</v>
      </c>
      <c r="DN118">
        <v>0</v>
      </c>
      <c r="DO118">
        <v>4500</v>
      </c>
      <c r="DP118">
        <v>0</v>
      </c>
      <c r="DQ118">
        <v>0</v>
      </c>
      <c r="DR118">
        <v>0</v>
      </c>
    </row>
    <row r="119" spans="1:122" x14ac:dyDescent="0.25">
      <c r="A119" t="s">
        <v>201</v>
      </c>
      <c r="B119">
        <v>0</v>
      </c>
      <c r="C119">
        <v>-1</v>
      </c>
      <c r="DC119">
        <v>0</v>
      </c>
      <c r="DD119" t="s">
        <v>105</v>
      </c>
      <c r="DE119">
        <v>250</v>
      </c>
      <c r="DM119" t="s">
        <v>112</v>
      </c>
      <c r="DN119">
        <v>0</v>
      </c>
      <c r="DO119">
        <v>16</v>
      </c>
      <c r="DP119">
        <v>0</v>
      </c>
      <c r="DQ119">
        <v>0</v>
      </c>
      <c r="DR119">
        <v>0</v>
      </c>
    </row>
    <row r="120" spans="1:122" x14ac:dyDescent="0.25">
      <c r="A120" t="s">
        <v>202</v>
      </c>
      <c r="B120">
        <v>0</v>
      </c>
      <c r="C120">
        <v>-1</v>
      </c>
      <c r="DC120">
        <v>0</v>
      </c>
      <c r="DD120" t="s">
        <v>105</v>
      </c>
      <c r="DE120">
        <v>200</v>
      </c>
      <c r="DM120" t="s">
        <v>112</v>
      </c>
      <c r="DN120">
        <v>0</v>
      </c>
      <c r="DO120">
        <v>0</v>
      </c>
      <c r="DP120">
        <v>0</v>
      </c>
      <c r="DQ120">
        <v>0</v>
      </c>
      <c r="DR120">
        <v>0</v>
      </c>
    </row>
    <row r="121" spans="1:122" x14ac:dyDescent="0.25">
      <c r="A121" t="s">
        <v>203</v>
      </c>
      <c r="B121">
        <v>0</v>
      </c>
      <c r="C121">
        <v>-1</v>
      </c>
      <c r="DC121">
        <v>0</v>
      </c>
      <c r="DD121" t="s">
        <v>105</v>
      </c>
      <c r="DE121">
        <v>250</v>
      </c>
      <c r="DM121" t="s">
        <v>112</v>
      </c>
      <c r="DN121">
        <v>0</v>
      </c>
      <c r="DO121">
        <v>0</v>
      </c>
      <c r="DP121">
        <v>0</v>
      </c>
      <c r="DQ121">
        <v>0</v>
      </c>
      <c r="DR121">
        <v>0</v>
      </c>
    </row>
    <row r="122" spans="1:122" x14ac:dyDescent="0.25">
      <c r="A122" t="s">
        <v>204</v>
      </c>
      <c r="B122">
        <v>0</v>
      </c>
      <c r="C122">
        <v>-1</v>
      </c>
      <c r="DC122">
        <v>0</v>
      </c>
      <c r="DD122" t="s">
        <v>105</v>
      </c>
      <c r="DE122">
        <v>250</v>
      </c>
      <c r="DM122" t="s">
        <v>112</v>
      </c>
      <c r="DN122">
        <v>0</v>
      </c>
      <c r="DO122">
        <v>0</v>
      </c>
      <c r="DP122">
        <v>0</v>
      </c>
      <c r="DQ122">
        <v>0</v>
      </c>
      <c r="DR122">
        <v>0</v>
      </c>
    </row>
    <row r="123" spans="1:122" x14ac:dyDescent="0.25">
      <c r="A123" t="s">
        <v>205</v>
      </c>
      <c r="B123">
        <v>0</v>
      </c>
      <c r="C123">
        <v>-1</v>
      </c>
      <c r="DC123">
        <v>0</v>
      </c>
      <c r="DD123" t="s">
        <v>105</v>
      </c>
      <c r="DE123">
        <v>0</v>
      </c>
      <c r="DM123" t="s">
        <v>112</v>
      </c>
      <c r="DN123">
        <v>0</v>
      </c>
      <c r="DO123">
        <v>4500</v>
      </c>
      <c r="DP123">
        <v>0</v>
      </c>
      <c r="DQ123">
        <v>0</v>
      </c>
      <c r="DR123">
        <v>0</v>
      </c>
    </row>
    <row r="124" spans="1:122" x14ac:dyDescent="0.25">
      <c r="A124" t="s">
        <v>206</v>
      </c>
      <c r="B124">
        <v>0</v>
      </c>
      <c r="C124">
        <v>-1</v>
      </c>
      <c r="DC124">
        <v>0</v>
      </c>
      <c r="DD124" t="s">
        <v>105</v>
      </c>
      <c r="DE124">
        <v>0</v>
      </c>
      <c r="DM124" t="s">
        <v>112</v>
      </c>
      <c r="DN124">
        <v>0</v>
      </c>
      <c r="DO124">
        <v>4500</v>
      </c>
      <c r="DP124">
        <v>0</v>
      </c>
      <c r="DQ124">
        <v>0</v>
      </c>
      <c r="DR124">
        <v>0</v>
      </c>
    </row>
    <row r="125" spans="1:122" x14ac:dyDescent="0.25">
      <c r="A125" t="s">
        <v>207</v>
      </c>
      <c r="B125">
        <v>0</v>
      </c>
      <c r="C125">
        <v>-1</v>
      </c>
      <c r="DC125">
        <v>0</v>
      </c>
      <c r="DD125" t="s">
        <v>105</v>
      </c>
      <c r="DE125">
        <v>0</v>
      </c>
      <c r="DM125" t="s">
        <v>112</v>
      </c>
      <c r="DN125">
        <v>0</v>
      </c>
      <c r="DO125">
        <v>4500</v>
      </c>
      <c r="DP125">
        <v>0</v>
      </c>
      <c r="DQ125">
        <v>0</v>
      </c>
      <c r="DR125">
        <v>0</v>
      </c>
    </row>
    <row r="126" spans="1:122" x14ac:dyDescent="0.25">
      <c r="A126" t="s">
        <v>208</v>
      </c>
      <c r="B126">
        <v>0</v>
      </c>
      <c r="C126">
        <v>-1</v>
      </c>
      <c r="DC126">
        <v>0</v>
      </c>
      <c r="DD126" t="s">
        <v>105</v>
      </c>
      <c r="DE126">
        <v>0</v>
      </c>
      <c r="DM126" t="s">
        <v>112</v>
      </c>
      <c r="DN126">
        <v>0</v>
      </c>
      <c r="DO126">
        <v>4500</v>
      </c>
      <c r="DP126">
        <v>0</v>
      </c>
      <c r="DQ126">
        <v>0</v>
      </c>
      <c r="DR126">
        <v>0</v>
      </c>
    </row>
    <row r="127" spans="1:122" x14ac:dyDescent="0.25">
      <c r="A127" t="s">
        <v>209</v>
      </c>
      <c r="B127">
        <v>0</v>
      </c>
      <c r="C127">
        <v>-1</v>
      </c>
      <c r="DC127">
        <v>0</v>
      </c>
      <c r="DD127" t="s">
        <v>105</v>
      </c>
      <c r="DE127">
        <v>200</v>
      </c>
      <c r="DM127" t="s">
        <v>112</v>
      </c>
      <c r="DN127">
        <v>0</v>
      </c>
      <c r="DO127">
        <v>0</v>
      </c>
      <c r="DP127">
        <v>0</v>
      </c>
      <c r="DQ127">
        <v>0</v>
      </c>
      <c r="DR127">
        <v>0</v>
      </c>
    </row>
    <row r="128" spans="1:122" x14ac:dyDescent="0.25">
      <c r="A128" t="s">
        <v>210</v>
      </c>
      <c r="B128">
        <v>0</v>
      </c>
      <c r="C128">
        <v>-1</v>
      </c>
      <c r="DC128">
        <v>0</v>
      </c>
      <c r="DD128" t="s">
        <v>105</v>
      </c>
      <c r="DE128">
        <v>200</v>
      </c>
      <c r="DM128" t="s">
        <v>112</v>
      </c>
      <c r="DN128">
        <v>0</v>
      </c>
      <c r="DO128">
        <v>0</v>
      </c>
      <c r="DP128">
        <v>0</v>
      </c>
      <c r="DQ128">
        <v>0</v>
      </c>
      <c r="DR128">
        <v>0</v>
      </c>
    </row>
    <row r="129" spans="1:122" x14ac:dyDescent="0.25">
      <c r="A129" t="s">
        <v>211</v>
      </c>
      <c r="B129">
        <v>0</v>
      </c>
      <c r="C129">
        <v>-1</v>
      </c>
      <c r="DC129">
        <v>0</v>
      </c>
      <c r="DD129" t="s">
        <v>105</v>
      </c>
      <c r="DE129">
        <v>200</v>
      </c>
      <c r="DM129" t="s">
        <v>112</v>
      </c>
      <c r="DN129">
        <v>0</v>
      </c>
      <c r="DO129">
        <v>0</v>
      </c>
      <c r="DP129">
        <v>0</v>
      </c>
      <c r="DQ129">
        <v>0</v>
      </c>
      <c r="DR129">
        <v>0</v>
      </c>
    </row>
    <row r="130" spans="1:122" x14ac:dyDescent="0.25">
      <c r="A130" t="s">
        <v>212</v>
      </c>
      <c r="B130">
        <v>0</v>
      </c>
      <c r="C130">
        <v>-1</v>
      </c>
      <c r="DC130">
        <v>0</v>
      </c>
      <c r="DD130" t="s">
        <v>105</v>
      </c>
      <c r="DE130">
        <v>200</v>
      </c>
      <c r="DM130" t="s">
        <v>112</v>
      </c>
      <c r="DN130">
        <v>0</v>
      </c>
      <c r="DO130">
        <v>0</v>
      </c>
      <c r="DP130">
        <v>0</v>
      </c>
      <c r="DQ130">
        <v>0</v>
      </c>
      <c r="DR130">
        <v>0</v>
      </c>
    </row>
    <row r="131" spans="1:122" x14ac:dyDescent="0.25">
      <c r="A131" t="s">
        <v>213</v>
      </c>
      <c r="B131">
        <v>0</v>
      </c>
      <c r="C131">
        <v>-1</v>
      </c>
      <c r="DC131">
        <v>0</v>
      </c>
      <c r="DD131" t="s">
        <v>105</v>
      </c>
      <c r="DE131">
        <v>200</v>
      </c>
      <c r="DM131" t="s">
        <v>112</v>
      </c>
      <c r="DN131">
        <v>0</v>
      </c>
      <c r="DO131">
        <v>0</v>
      </c>
      <c r="DP131">
        <v>0</v>
      </c>
      <c r="DQ131">
        <v>0</v>
      </c>
      <c r="DR131">
        <v>0</v>
      </c>
    </row>
    <row r="132" spans="1:122" x14ac:dyDescent="0.25">
      <c r="A132" t="s">
        <v>214</v>
      </c>
      <c r="B132">
        <v>0</v>
      </c>
      <c r="C132">
        <v>-1</v>
      </c>
      <c r="DC132">
        <v>0</v>
      </c>
      <c r="DD132" t="s">
        <v>105</v>
      </c>
      <c r="DE132">
        <v>200</v>
      </c>
      <c r="DM132" t="s">
        <v>112</v>
      </c>
      <c r="DN132">
        <v>0</v>
      </c>
      <c r="DO132">
        <v>0</v>
      </c>
      <c r="DP132">
        <v>0</v>
      </c>
      <c r="DQ132">
        <v>0</v>
      </c>
      <c r="DR132">
        <v>0</v>
      </c>
    </row>
    <row r="133" spans="1:122" x14ac:dyDescent="0.25">
      <c r="A133" t="s">
        <v>215</v>
      </c>
      <c r="B133">
        <v>0</v>
      </c>
      <c r="C133">
        <v>-1</v>
      </c>
      <c r="DC133">
        <v>0</v>
      </c>
      <c r="DD133" t="s">
        <v>105</v>
      </c>
      <c r="DE133">
        <v>200</v>
      </c>
      <c r="DM133" t="s">
        <v>112</v>
      </c>
      <c r="DN133">
        <v>0</v>
      </c>
      <c r="DO133">
        <v>0</v>
      </c>
      <c r="DP133">
        <v>0</v>
      </c>
      <c r="DQ133">
        <v>0</v>
      </c>
      <c r="DR133">
        <v>0</v>
      </c>
    </row>
    <row r="134" spans="1:122" x14ac:dyDescent="0.25">
      <c r="A134" t="s">
        <v>216</v>
      </c>
      <c r="B134">
        <v>0</v>
      </c>
      <c r="C134">
        <v>-1</v>
      </c>
      <c r="DC134">
        <v>0</v>
      </c>
      <c r="DD134" t="s">
        <v>105</v>
      </c>
      <c r="DE134">
        <v>200</v>
      </c>
      <c r="DM134" t="s">
        <v>112</v>
      </c>
      <c r="DN134">
        <v>0</v>
      </c>
      <c r="DO134">
        <v>0</v>
      </c>
      <c r="DP134">
        <v>0</v>
      </c>
      <c r="DQ134">
        <v>0</v>
      </c>
      <c r="DR134">
        <v>0</v>
      </c>
    </row>
    <row r="135" spans="1:122" x14ac:dyDescent="0.25">
      <c r="A135" t="s">
        <v>217</v>
      </c>
      <c r="B135">
        <v>0</v>
      </c>
      <c r="C135">
        <v>-1</v>
      </c>
      <c r="DC135">
        <v>0</v>
      </c>
      <c r="DD135" t="s">
        <v>105</v>
      </c>
      <c r="DE135">
        <v>250</v>
      </c>
      <c r="DM135" t="s">
        <v>112</v>
      </c>
      <c r="DN135">
        <v>0</v>
      </c>
      <c r="DO135">
        <v>0</v>
      </c>
      <c r="DP135">
        <v>0</v>
      </c>
      <c r="DQ135">
        <v>0</v>
      </c>
      <c r="DR135">
        <v>0</v>
      </c>
    </row>
    <row r="136" spans="1:122" x14ac:dyDescent="0.25">
      <c r="A136" t="s">
        <v>218</v>
      </c>
      <c r="B136">
        <v>0</v>
      </c>
      <c r="C136">
        <v>-1</v>
      </c>
      <c r="DC136">
        <v>0</v>
      </c>
      <c r="DD136" t="s">
        <v>105</v>
      </c>
      <c r="DE136">
        <v>0</v>
      </c>
      <c r="DM136" t="s">
        <v>112</v>
      </c>
      <c r="DN136">
        <v>0</v>
      </c>
      <c r="DO136">
        <v>4500</v>
      </c>
      <c r="DP136">
        <v>0</v>
      </c>
      <c r="DQ136">
        <v>0</v>
      </c>
      <c r="DR136">
        <v>0</v>
      </c>
    </row>
    <row r="137" spans="1:122" x14ac:dyDescent="0.25">
      <c r="A137" t="s">
        <v>219</v>
      </c>
      <c r="B137">
        <v>0</v>
      </c>
      <c r="C137">
        <v>-1</v>
      </c>
      <c r="DC137">
        <v>0</v>
      </c>
      <c r="DD137" t="s">
        <v>105</v>
      </c>
      <c r="DE137">
        <v>200</v>
      </c>
      <c r="DM137" t="s">
        <v>112</v>
      </c>
      <c r="DN137">
        <v>0</v>
      </c>
      <c r="DO137">
        <v>0</v>
      </c>
      <c r="DP137">
        <v>0</v>
      </c>
      <c r="DQ137">
        <v>0</v>
      </c>
      <c r="DR137">
        <v>0</v>
      </c>
    </row>
    <row r="138" spans="1:122" x14ac:dyDescent="0.25">
      <c r="A138" t="s">
        <v>220</v>
      </c>
      <c r="B138">
        <v>0</v>
      </c>
      <c r="C138">
        <v>-1</v>
      </c>
      <c r="DC138">
        <v>0</v>
      </c>
      <c r="DD138" t="s">
        <v>105</v>
      </c>
      <c r="DE138">
        <v>200</v>
      </c>
      <c r="DM138" t="s">
        <v>112</v>
      </c>
      <c r="DN138">
        <v>0</v>
      </c>
      <c r="DO138">
        <v>0</v>
      </c>
      <c r="DP138">
        <v>0</v>
      </c>
      <c r="DQ138">
        <v>0</v>
      </c>
      <c r="DR138">
        <v>0</v>
      </c>
    </row>
    <row r="139" spans="1:122" x14ac:dyDescent="0.25">
      <c r="A139" t="s">
        <v>221</v>
      </c>
      <c r="B139">
        <v>0</v>
      </c>
      <c r="C139">
        <v>-1</v>
      </c>
      <c r="DC139">
        <v>0</v>
      </c>
      <c r="DD139" t="s">
        <v>105</v>
      </c>
      <c r="DE139">
        <v>200</v>
      </c>
      <c r="DM139" t="s">
        <v>112</v>
      </c>
      <c r="DN139">
        <v>0</v>
      </c>
      <c r="DO139">
        <v>0</v>
      </c>
      <c r="DP139">
        <v>0</v>
      </c>
      <c r="DQ139">
        <v>0</v>
      </c>
      <c r="DR139">
        <v>0</v>
      </c>
    </row>
    <row r="140" spans="1:122" x14ac:dyDescent="0.25">
      <c r="A140" t="s">
        <v>222</v>
      </c>
      <c r="B140">
        <v>0</v>
      </c>
      <c r="C140">
        <v>-1</v>
      </c>
      <c r="DC140">
        <v>0</v>
      </c>
      <c r="DD140" t="s">
        <v>105</v>
      </c>
      <c r="DE140">
        <v>200</v>
      </c>
      <c r="DM140" t="s">
        <v>112</v>
      </c>
      <c r="DN140">
        <v>0</v>
      </c>
      <c r="DO140">
        <v>0</v>
      </c>
      <c r="DP140">
        <v>0</v>
      </c>
      <c r="DQ140">
        <v>0</v>
      </c>
      <c r="DR140">
        <v>0</v>
      </c>
    </row>
    <row r="141" spans="1:122" x14ac:dyDescent="0.25">
      <c r="A141" t="s">
        <v>223</v>
      </c>
      <c r="B141">
        <v>0</v>
      </c>
      <c r="C141">
        <v>-1</v>
      </c>
      <c r="DC141">
        <v>0</v>
      </c>
      <c r="DD141" t="s">
        <v>105</v>
      </c>
      <c r="DE141">
        <v>27</v>
      </c>
      <c r="DM141" t="s">
        <v>112</v>
      </c>
      <c r="DN141">
        <v>0</v>
      </c>
      <c r="DO141">
        <v>0</v>
      </c>
      <c r="DP141">
        <v>0</v>
      </c>
      <c r="DQ141">
        <v>0</v>
      </c>
      <c r="DR141">
        <v>0</v>
      </c>
    </row>
    <row r="142" spans="1:122" x14ac:dyDescent="0.25">
      <c r="A142" t="s">
        <v>224</v>
      </c>
      <c r="B142">
        <v>0</v>
      </c>
      <c r="C142">
        <v>-1</v>
      </c>
      <c r="DC142">
        <v>0</v>
      </c>
      <c r="DD142" t="s">
        <v>105</v>
      </c>
      <c r="DE142">
        <v>27</v>
      </c>
      <c r="DM142" t="s">
        <v>112</v>
      </c>
      <c r="DN142">
        <v>0</v>
      </c>
      <c r="DO142">
        <v>0</v>
      </c>
      <c r="DP142">
        <v>0</v>
      </c>
      <c r="DQ142">
        <v>0</v>
      </c>
      <c r="DR142">
        <v>0</v>
      </c>
    </row>
    <row r="143" spans="1:122" x14ac:dyDescent="0.25">
      <c r="A143" t="s">
        <v>225</v>
      </c>
      <c r="B143">
        <v>0</v>
      </c>
      <c r="C143">
        <v>-1</v>
      </c>
      <c r="DC143">
        <v>0</v>
      </c>
      <c r="DD143" t="s">
        <v>105</v>
      </c>
      <c r="DE143">
        <v>300</v>
      </c>
      <c r="DM143" t="s">
        <v>112</v>
      </c>
      <c r="DN143">
        <v>0</v>
      </c>
      <c r="DO143">
        <v>100</v>
      </c>
      <c r="DP143">
        <v>0</v>
      </c>
      <c r="DQ143">
        <v>0</v>
      </c>
      <c r="DR143">
        <v>0</v>
      </c>
    </row>
    <row r="144" spans="1:122" x14ac:dyDescent="0.25">
      <c r="A144" t="s">
        <v>226</v>
      </c>
      <c r="B144">
        <v>0</v>
      </c>
      <c r="C144">
        <v>-1</v>
      </c>
      <c r="DC144">
        <v>0</v>
      </c>
      <c r="DD144" t="s">
        <v>105</v>
      </c>
      <c r="DE144">
        <v>300</v>
      </c>
      <c r="DM144" t="s">
        <v>112</v>
      </c>
      <c r="DN144">
        <v>0</v>
      </c>
      <c r="DO144">
        <v>100</v>
      </c>
      <c r="DP144">
        <v>0</v>
      </c>
      <c r="DQ144">
        <v>0</v>
      </c>
      <c r="DR144">
        <v>0</v>
      </c>
    </row>
    <row r="145" spans="1:122" x14ac:dyDescent="0.25">
      <c r="A145" t="s">
        <v>227</v>
      </c>
      <c r="B145">
        <v>0</v>
      </c>
      <c r="C145">
        <v>-1</v>
      </c>
      <c r="DC145">
        <v>0</v>
      </c>
      <c r="DD145" t="s">
        <v>105</v>
      </c>
      <c r="DE145">
        <v>26</v>
      </c>
      <c r="DM145" t="s">
        <v>112</v>
      </c>
      <c r="DN145">
        <v>0</v>
      </c>
      <c r="DO145">
        <v>0</v>
      </c>
      <c r="DP145">
        <v>0</v>
      </c>
      <c r="DQ145">
        <v>0</v>
      </c>
      <c r="DR145">
        <v>0</v>
      </c>
    </row>
    <row r="146" spans="1:122" x14ac:dyDescent="0.25">
      <c r="A146" t="s">
        <v>228</v>
      </c>
      <c r="B146">
        <v>0</v>
      </c>
      <c r="C146">
        <v>-1</v>
      </c>
      <c r="DC146">
        <v>0</v>
      </c>
      <c r="DD146" t="s">
        <v>105</v>
      </c>
      <c r="DE146">
        <v>300</v>
      </c>
      <c r="DM146" t="s">
        <v>112</v>
      </c>
      <c r="DN146">
        <v>0</v>
      </c>
      <c r="DO146">
        <v>100</v>
      </c>
      <c r="DP146">
        <v>0</v>
      </c>
      <c r="DQ146">
        <v>0</v>
      </c>
      <c r="DR146">
        <v>0</v>
      </c>
    </row>
    <row r="147" spans="1:122" x14ac:dyDescent="0.25">
      <c r="A147" t="s">
        <v>229</v>
      </c>
      <c r="B147">
        <v>0</v>
      </c>
      <c r="C147">
        <v>-1</v>
      </c>
      <c r="DC147">
        <v>0</v>
      </c>
      <c r="DD147" t="s">
        <v>105</v>
      </c>
      <c r="DE147">
        <v>300</v>
      </c>
      <c r="DM147" t="s">
        <v>112</v>
      </c>
      <c r="DN147">
        <v>0</v>
      </c>
      <c r="DO147">
        <v>140</v>
      </c>
      <c r="DP147">
        <v>0</v>
      </c>
      <c r="DQ147">
        <v>0</v>
      </c>
      <c r="DR147">
        <v>0</v>
      </c>
    </row>
    <row r="148" spans="1:122" x14ac:dyDescent="0.25">
      <c r="A148" t="s">
        <v>230</v>
      </c>
      <c r="B148">
        <v>0</v>
      </c>
      <c r="C148">
        <v>-1</v>
      </c>
      <c r="DC148">
        <v>0</v>
      </c>
      <c r="DD148" t="s">
        <v>105</v>
      </c>
      <c r="DE148">
        <v>300</v>
      </c>
      <c r="DM148" t="s">
        <v>112</v>
      </c>
      <c r="DN148">
        <v>0</v>
      </c>
      <c r="DO148">
        <v>100</v>
      </c>
      <c r="DP148">
        <v>0</v>
      </c>
      <c r="DQ148">
        <v>0</v>
      </c>
      <c r="DR148">
        <v>0</v>
      </c>
    </row>
    <row r="149" spans="1:122" x14ac:dyDescent="0.25">
      <c r="A149" t="s">
        <v>231</v>
      </c>
      <c r="B149">
        <v>0</v>
      </c>
      <c r="C149">
        <v>-1</v>
      </c>
      <c r="DC149">
        <v>0</v>
      </c>
      <c r="DD149" t="s">
        <v>105</v>
      </c>
      <c r="DE149">
        <v>300</v>
      </c>
      <c r="DM149" t="s">
        <v>112</v>
      </c>
      <c r="DN149">
        <v>0</v>
      </c>
      <c r="DO149">
        <v>100</v>
      </c>
      <c r="DP149">
        <v>0</v>
      </c>
      <c r="DQ149">
        <v>0</v>
      </c>
      <c r="DR149">
        <v>0</v>
      </c>
    </row>
    <row r="150" spans="1:122" x14ac:dyDescent="0.25">
      <c r="A150" t="s">
        <v>232</v>
      </c>
      <c r="B150">
        <v>0</v>
      </c>
      <c r="C150">
        <v>0</v>
      </c>
      <c r="DC150">
        <v>0</v>
      </c>
      <c r="DD150" t="s">
        <v>105</v>
      </c>
      <c r="DE150">
        <v>200</v>
      </c>
      <c r="DM150" t="s">
        <v>112</v>
      </c>
      <c r="DN150">
        <v>0</v>
      </c>
      <c r="DO150">
        <v>0</v>
      </c>
      <c r="DP150">
        <v>0</v>
      </c>
      <c r="DQ150">
        <v>0</v>
      </c>
      <c r="DR150">
        <v>0</v>
      </c>
    </row>
  </sheetData>
  <sortState xmlns:xlrd2="http://schemas.microsoft.com/office/spreadsheetml/2017/richdata2" ref="A2:A150">
    <sortCondition ref="A2"/>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6FF5A-3357-43E5-8358-873613DD58A5}">
  <sheetPr codeName="Sheet7"/>
  <dimension ref="A1:J11"/>
  <sheetViews>
    <sheetView workbookViewId="0">
      <selection activeCell="I4" sqref="I4"/>
    </sheetView>
  </sheetViews>
  <sheetFormatPr defaultRowHeight="15" x14ac:dyDescent="0.25"/>
  <cols>
    <col min="2" max="2" width="13" customWidth="1"/>
    <col min="4" max="4" width="9.5703125" customWidth="1"/>
    <col min="5" max="5" width="9.140625" hidden="1" customWidth="1"/>
    <col min="6" max="6" width="26.5703125" customWidth="1"/>
    <col min="7" max="7" width="8.42578125" customWidth="1"/>
  </cols>
  <sheetData>
    <row r="1" spans="1:10" ht="15.75" thickBot="1" x14ac:dyDescent="0.3">
      <c r="A1" s="62"/>
    </row>
    <row r="2" spans="1:10" x14ac:dyDescent="0.25">
      <c r="F2" s="231" t="s">
        <v>69</v>
      </c>
      <c r="G2" s="232"/>
      <c r="H2" s="232"/>
      <c r="I2" s="232"/>
      <c r="J2" s="233"/>
    </row>
    <row r="3" spans="1:10" ht="15.75" thickBot="1" x14ac:dyDescent="0.3">
      <c r="F3" s="58" t="s">
        <v>6</v>
      </c>
      <c r="G3" s="58" t="s">
        <v>70</v>
      </c>
      <c r="H3" s="59" t="s">
        <v>71</v>
      </c>
      <c r="I3" s="59" t="s">
        <v>3</v>
      </c>
      <c r="J3" s="59" t="s">
        <v>47</v>
      </c>
    </row>
    <row r="4" spans="1:10" x14ac:dyDescent="0.25">
      <c r="B4" t="s">
        <v>8</v>
      </c>
      <c r="C4" t="s">
        <v>48</v>
      </c>
      <c r="D4" t="s">
        <v>72</v>
      </c>
      <c r="F4" s="60" t="str">
        <f>IF(B4="","",IF(COUNTIF(B4,"*PickToRebin*"),B4&amp;"P2R_PICK.",IF(D4="Multis",B4&amp;"INDUCT.",B4&amp;"PACK.")))</f>
        <v>PPAFE1INDUCT.</v>
      </c>
      <c r="G4" s="60" t="str">
        <f t="shared" ref="G4:H11" si="0">IF($F4="","","processPathToBufferSizeLimits"&amp;$F4&amp;G$3)</f>
        <v>processPathToBufferSizeLimitsPPAFE1INDUCT.minimumSize.quantity</v>
      </c>
      <c r="H4" s="60" t="str">
        <f t="shared" si="0"/>
        <v>processPathToBufferSizeLimitsPPAFE1INDUCT.maximumSize.quantity</v>
      </c>
      <c r="I4" s="60">
        <v>286</v>
      </c>
      <c r="J4" s="61">
        <v>383</v>
      </c>
    </row>
    <row r="5" spans="1:10" x14ac:dyDescent="0.25">
      <c r="B5" t="s">
        <v>19</v>
      </c>
      <c r="C5" t="s">
        <v>48</v>
      </c>
      <c r="D5" t="s">
        <v>72</v>
      </c>
      <c r="F5" s="60" t="str">
        <f>IF(B5="","",IF(COUNTIF(B5,"*PickToRebin*"),B5&amp;"P2R_PICK.",IF(D5="Multis",B5&amp;"INDUCT.",B5&amp;"PACK.")))</f>
        <v>PPAFE2INDUCT.</v>
      </c>
      <c r="G5" s="60" t="str">
        <f t="shared" si="0"/>
        <v>processPathToBufferSizeLimitsPPAFE2INDUCT.minimumSize.quantity</v>
      </c>
      <c r="H5" s="60" t="str">
        <f t="shared" si="0"/>
        <v>processPathToBufferSizeLimitsPPAFE2INDUCT.maximumSize.quantity</v>
      </c>
      <c r="I5" s="60">
        <v>412</v>
      </c>
      <c r="J5" s="61">
        <v>533</v>
      </c>
    </row>
    <row r="6" spans="1:10" x14ac:dyDescent="0.25">
      <c r="B6" t="s">
        <v>2</v>
      </c>
      <c r="C6" t="s">
        <v>48</v>
      </c>
      <c r="F6" s="60" t="str">
        <f>IF(B6="","",IF(COUNTIF(B6,"*PickToRebin*"),B6&amp;"P2R_PICK.",IF(D6="Multis",B6&amp;"INDUCT.",B6&amp;"PACK.")))</f>
        <v>PPMixPACK.</v>
      </c>
      <c r="G6" s="60" t="str">
        <f t="shared" si="0"/>
        <v>processPathToBufferSizeLimitsPPMixPACK.minimumSize.quantity</v>
      </c>
      <c r="H6" s="60" t="str">
        <f t="shared" si="0"/>
        <v>processPathToBufferSizeLimitsPPMixPACK.maximumSize.quantity</v>
      </c>
      <c r="I6" s="60">
        <v>37</v>
      </c>
      <c r="J6" s="61">
        <v>48</v>
      </c>
    </row>
    <row r="7" spans="1:10" x14ac:dyDescent="0.25">
      <c r="B7" t="s">
        <v>1</v>
      </c>
      <c r="C7" t="s">
        <v>48</v>
      </c>
      <c r="F7" s="60" t="str">
        <f>IF(B7="","",IF(COUNTIF(B7,"*PickToRebin*"),B7&amp;"P2R_PICK.",IF(D7="Multis",B7&amp;"INDUCT.",B7&amp;"PACK.")))</f>
        <v>PPSingleSmallPACK.</v>
      </c>
      <c r="G7" s="60" t="str">
        <f t="shared" si="0"/>
        <v>processPathToBufferSizeLimitsPPSingleSmallPACK.minimumSize.quantity</v>
      </c>
      <c r="H7" s="60" t="str">
        <f t="shared" si="0"/>
        <v>processPathToBufferSizeLimitsPPSingleSmallPACK.maximumSize.quantity</v>
      </c>
      <c r="I7" s="60">
        <v>80</v>
      </c>
      <c r="J7" s="61">
        <v>105</v>
      </c>
    </row>
    <row r="8" spans="1:10" x14ac:dyDescent="0.25">
      <c r="B8" t="s">
        <v>0</v>
      </c>
      <c r="C8" t="s">
        <v>48</v>
      </c>
      <c r="F8" s="60" t="str">
        <f>IF(B8="","",IF(COUNTIF(B8,"*PickToRebin*"),B8&amp;"P2R_PICK.",IF(D8="Multis",B8&amp;"INDUCT.",B8&amp;"PACK.")))</f>
        <v>PPSmartPacPACK.</v>
      </c>
      <c r="G8" s="60" t="str">
        <f t="shared" si="0"/>
        <v>processPathToBufferSizeLimitsPPSmartPacPACK.minimumSize.quantity</v>
      </c>
      <c r="H8" s="60" t="str">
        <f t="shared" si="0"/>
        <v>processPathToBufferSizeLimitsPPSmartPacPACK.maximumSize.quantity</v>
      </c>
      <c r="I8" s="60">
        <v>506</v>
      </c>
      <c r="J8" s="61">
        <v>658</v>
      </c>
    </row>
    <row r="9" spans="1:10" x14ac:dyDescent="0.25">
      <c r="B9" t="s">
        <v>20</v>
      </c>
      <c r="C9" t="s">
        <v>48</v>
      </c>
      <c r="F9" s="60" t="str">
        <f t="shared" ref="F9" si="1">IF(B9="","",IF(COUNTIF(B9,"*PickToRebin*"),B9&amp;"P2R_PICK.",IF(D9="Multis",B9&amp;"INDUCT.",B9&amp;"PACK.")))</f>
        <v>PPSmartPacPolyPACK.</v>
      </c>
      <c r="G9" s="60" t="str">
        <f t="shared" si="0"/>
        <v>processPathToBufferSizeLimitsPPSmartPacPolyPACK.minimumSize.quantity</v>
      </c>
      <c r="H9" s="60" t="str">
        <f t="shared" si="0"/>
        <v>processPathToBufferSizeLimitsPPSmartPacPolyPACK.maximumSize.quantity</v>
      </c>
      <c r="I9" s="60">
        <v>454</v>
      </c>
      <c r="J9" s="61">
        <v>591</v>
      </c>
    </row>
    <row r="10" spans="1:10" x14ac:dyDescent="0.25">
      <c r="B10" t="s">
        <v>57</v>
      </c>
      <c r="C10" t="s">
        <v>48</v>
      </c>
      <c r="D10" t="s">
        <v>73</v>
      </c>
      <c r="F10" s="60" t="str">
        <f>IF(B10="","",IF(COUNTIF(B10,"*PickToRebin*"),B10&amp;"P2R_PICK.",IF(D10="Multis",B10&amp;"INDUCT.",B10&amp;"PACK.")))</f>
        <v>PPSingleSIOCPACK.</v>
      </c>
      <c r="G10" s="60" t="str">
        <f t="shared" si="0"/>
        <v>processPathToBufferSizeLimitsPPSingleSIOCPACK.minimumSize.quantity</v>
      </c>
      <c r="H10" s="60" t="str">
        <f t="shared" si="0"/>
        <v>processPathToBufferSizeLimitsPPSingleSIOCPACK.maximumSize.quantity</v>
      </c>
      <c r="I10" s="60">
        <v>193</v>
      </c>
      <c r="J10" s="61">
        <v>227</v>
      </c>
    </row>
    <row r="11" spans="1:10" x14ac:dyDescent="0.25">
      <c r="B11" t="s">
        <v>38</v>
      </c>
      <c r="C11" t="s">
        <v>48</v>
      </c>
      <c r="D11" t="s">
        <v>73</v>
      </c>
      <c r="F11" s="60" t="str">
        <f>IF(B11="","",IF(COUNTIF(B11,"*PickToRebin*"),B11&amp;"P2R_PICK.",IF(D11="Multis",B11&amp;"INDUCT.",B11&amp;"PACK.")))</f>
        <v>PPSingleWrapPACK.</v>
      </c>
      <c r="G11" s="60" t="str">
        <f t="shared" si="0"/>
        <v>processPathToBufferSizeLimitsPPSingleWrapPACK.minimumSize.quantity</v>
      </c>
      <c r="H11" s="60" t="str">
        <f t="shared" si="0"/>
        <v>processPathToBufferSizeLimitsPPSingleWrapPACK.maximumSize.quantity</v>
      </c>
      <c r="I11" s="60">
        <v>15</v>
      </c>
      <c r="J11" s="61">
        <v>35</v>
      </c>
    </row>
  </sheetData>
  <mergeCells count="1">
    <mergeCell ref="F2:J2"/>
  </mergeCells>
  <conditionalFormatting sqref="F3:G3 F1:J1">
    <cfRule type="containsBlanks" dxfId="3" priority="4">
      <formula>LEN(TRIM(F1))=0</formula>
    </cfRule>
  </conditionalFormatting>
  <conditionalFormatting sqref="F2">
    <cfRule type="containsBlanks" dxfId="2" priority="3">
      <formula>LEN(TRIM(F2))=0</formula>
    </cfRule>
  </conditionalFormatting>
  <conditionalFormatting sqref="H3">
    <cfRule type="containsBlanks" dxfId="1" priority="2">
      <formula>LEN(TRIM(H3))=0</formula>
    </cfRule>
  </conditionalFormatting>
  <conditionalFormatting sqref="I3:J3">
    <cfRule type="containsBlanks" dxfId="0" priority="1">
      <formula>LEN(TRIM(I3))=0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6B778-2F28-458C-A21B-BF533C94421D}">
  <sheetPr codeName="Sheet1"/>
  <dimension ref="A1:C27"/>
  <sheetViews>
    <sheetView workbookViewId="0">
      <selection activeCell="C18" sqref="C18"/>
    </sheetView>
  </sheetViews>
  <sheetFormatPr defaultRowHeight="15" x14ac:dyDescent="0.25"/>
  <cols>
    <col min="1" max="1" width="35.42578125" style="57" customWidth="1"/>
    <col min="2" max="2" width="20.7109375" style="57" customWidth="1"/>
    <col min="3" max="16384" width="9.140625" style="57"/>
  </cols>
  <sheetData>
    <row r="1" spans="1:3" x14ac:dyDescent="0.25">
      <c r="A1" s="57" t="s">
        <v>68</v>
      </c>
      <c r="B1" s="57" t="s">
        <v>6</v>
      </c>
      <c r="C1" s="57" t="s">
        <v>22</v>
      </c>
    </row>
    <row r="2" spans="1:3" x14ac:dyDescent="0.25">
      <c r="A2" s="57" t="s">
        <v>269</v>
      </c>
      <c r="B2" s="57" t="s">
        <v>2</v>
      </c>
      <c r="C2" s="57">
        <v>33</v>
      </c>
    </row>
    <row r="3" spans="1:3" x14ac:dyDescent="0.25">
      <c r="A3" s="57" t="s">
        <v>270</v>
      </c>
      <c r="C3" s="57">
        <v>0</v>
      </c>
    </row>
    <row r="4" spans="1:3" x14ac:dyDescent="0.25">
      <c r="A4" s="57" t="s">
        <v>275</v>
      </c>
      <c r="C4" s="57">
        <v>33</v>
      </c>
    </row>
    <row r="5" spans="1:3" x14ac:dyDescent="0.25">
      <c r="A5" s="57" t="s">
        <v>276</v>
      </c>
      <c r="B5" s="57" t="s">
        <v>41</v>
      </c>
      <c r="C5" s="57">
        <v>1</v>
      </c>
    </row>
    <row r="6" spans="1:3" x14ac:dyDescent="0.25">
      <c r="A6" s="57" t="s">
        <v>277</v>
      </c>
      <c r="C6" s="57">
        <v>0</v>
      </c>
    </row>
    <row r="7" spans="1:3" x14ac:dyDescent="0.25">
      <c r="A7" s="57" t="s">
        <v>280</v>
      </c>
      <c r="B7" s="57" t="s">
        <v>40</v>
      </c>
      <c r="C7" s="57">
        <v>1</v>
      </c>
    </row>
    <row r="8" spans="1:3" x14ac:dyDescent="0.25">
      <c r="A8" s="57" t="s">
        <v>295</v>
      </c>
      <c r="B8" s="57" t="s">
        <v>294</v>
      </c>
      <c r="C8" s="57">
        <v>0</v>
      </c>
    </row>
    <row r="9" spans="1:3" x14ac:dyDescent="0.25">
      <c r="A9" s="57" t="s">
        <v>282</v>
      </c>
      <c r="B9" s="57" t="s">
        <v>19</v>
      </c>
      <c r="C9" s="57">
        <v>7</v>
      </c>
    </row>
    <row r="10" spans="1:3" x14ac:dyDescent="0.25">
      <c r="A10" s="57" t="s">
        <v>283</v>
      </c>
      <c r="C10" s="57">
        <v>43</v>
      </c>
    </row>
    <row r="11" spans="1:3" x14ac:dyDescent="0.25">
      <c r="A11" s="57" t="s">
        <v>285</v>
      </c>
      <c r="B11" s="57" t="s">
        <v>4</v>
      </c>
      <c r="C11" s="57">
        <v>2</v>
      </c>
    </row>
    <row r="12" spans="1:3" x14ac:dyDescent="0.25">
      <c r="A12" s="57" t="s">
        <v>288</v>
      </c>
      <c r="B12" s="57" t="s">
        <v>20</v>
      </c>
      <c r="C12" s="57">
        <v>3</v>
      </c>
    </row>
    <row r="13" spans="1:3" x14ac:dyDescent="0.25">
      <c r="A13" s="57" t="s">
        <v>289</v>
      </c>
      <c r="B13" s="57" t="s">
        <v>42</v>
      </c>
      <c r="C13" s="57">
        <v>0</v>
      </c>
    </row>
    <row r="14" spans="1:3" x14ac:dyDescent="0.25">
      <c r="A14" s="57" t="s">
        <v>290</v>
      </c>
      <c r="B14" s="57" t="s">
        <v>8</v>
      </c>
      <c r="C14" s="57">
        <v>7</v>
      </c>
    </row>
    <row r="15" spans="1:3" x14ac:dyDescent="0.25">
      <c r="A15" s="57" t="s">
        <v>268</v>
      </c>
      <c r="B15" s="57" t="s">
        <v>39</v>
      </c>
      <c r="C15" s="57">
        <v>1</v>
      </c>
    </row>
    <row r="16" spans="1:3" x14ac:dyDescent="0.25">
      <c r="A16" s="57" t="s">
        <v>271</v>
      </c>
      <c r="B16" s="57" t="s">
        <v>1</v>
      </c>
      <c r="C16" s="57">
        <v>8</v>
      </c>
    </row>
    <row r="17" spans="1:3" x14ac:dyDescent="0.25">
      <c r="A17" s="57" t="s">
        <v>272</v>
      </c>
      <c r="B17" s="57" t="s">
        <v>60</v>
      </c>
      <c r="C17" s="57">
        <v>0</v>
      </c>
    </row>
    <row r="18" spans="1:3" x14ac:dyDescent="0.25">
      <c r="A18" s="57" t="s">
        <v>273</v>
      </c>
      <c r="B18" s="57" t="s">
        <v>4</v>
      </c>
      <c r="C18" s="57">
        <v>1</v>
      </c>
    </row>
    <row r="19" spans="1:3" x14ac:dyDescent="0.25">
      <c r="A19" s="57" t="s">
        <v>274</v>
      </c>
      <c r="C19" s="57">
        <v>1</v>
      </c>
    </row>
    <row r="20" spans="1:3" x14ac:dyDescent="0.25">
      <c r="A20" s="57" t="s">
        <v>278</v>
      </c>
      <c r="C20" s="57">
        <v>99</v>
      </c>
    </row>
    <row r="21" spans="1:3" x14ac:dyDescent="0.25">
      <c r="A21" s="57" t="s">
        <v>279</v>
      </c>
      <c r="B21" s="57" t="s">
        <v>53</v>
      </c>
      <c r="C21" s="57">
        <v>1</v>
      </c>
    </row>
    <row r="22" spans="1:3" x14ac:dyDescent="0.25">
      <c r="A22" s="57" t="s">
        <v>340</v>
      </c>
      <c r="B22" s="57" t="s">
        <v>57</v>
      </c>
      <c r="C22" s="57">
        <v>5</v>
      </c>
    </row>
    <row r="23" spans="1:3" x14ac:dyDescent="0.25">
      <c r="A23" s="57" t="s">
        <v>341</v>
      </c>
      <c r="B23" s="57" t="s">
        <v>232</v>
      </c>
      <c r="C23" s="57">
        <v>0</v>
      </c>
    </row>
    <row r="24" spans="1:3" x14ac:dyDescent="0.25">
      <c r="A24" s="57" t="s">
        <v>281</v>
      </c>
      <c r="C24" s="57">
        <v>14</v>
      </c>
    </row>
    <row r="25" spans="1:3" x14ac:dyDescent="0.25">
      <c r="A25" s="57" t="s">
        <v>284</v>
      </c>
      <c r="C25" s="57">
        <v>14</v>
      </c>
    </row>
    <row r="26" spans="1:3" x14ac:dyDescent="0.25">
      <c r="A26" s="57" t="s">
        <v>286</v>
      </c>
      <c r="B26" s="57" t="s">
        <v>0</v>
      </c>
      <c r="C26" s="57">
        <v>4</v>
      </c>
    </row>
    <row r="27" spans="1:3" x14ac:dyDescent="0.25">
      <c r="A27" s="57" t="s">
        <v>287</v>
      </c>
      <c r="B27" s="57" t="s">
        <v>51</v>
      </c>
      <c r="C27" s="57">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AEA7B-973D-4621-951C-6173BDFD881C}">
  <sheetPr codeName="Sheet6"/>
  <dimension ref="A1:G190"/>
  <sheetViews>
    <sheetView workbookViewId="0">
      <selection activeCell="F1" sqref="F1"/>
    </sheetView>
  </sheetViews>
  <sheetFormatPr defaultRowHeight="15" x14ac:dyDescent="0.25"/>
  <cols>
    <col min="1" max="1" width="21.140625" customWidth="1"/>
  </cols>
  <sheetData>
    <row r="1" spans="1:7" x14ac:dyDescent="0.25">
      <c r="A1" t="s">
        <v>6</v>
      </c>
      <c r="B1" t="s">
        <v>263</v>
      </c>
      <c r="C1" t="s">
        <v>307</v>
      </c>
      <c r="D1" t="s">
        <v>264</v>
      </c>
      <c r="E1" t="s">
        <v>257</v>
      </c>
      <c r="F1" t="s">
        <v>265</v>
      </c>
      <c r="G1" t="s">
        <v>266</v>
      </c>
    </row>
    <row r="2" spans="1:7" x14ac:dyDescent="0.25">
      <c r="A2" t="s">
        <v>8</v>
      </c>
      <c r="B2">
        <v>0</v>
      </c>
      <c r="C2">
        <v>6778</v>
      </c>
      <c r="D2">
        <v>45</v>
      </c>
      <c r="E2" t="s">
        <v>106</v>
      </c>
      <c r="F2">
        <v>7122</v>
      </c>
      <c r="G2">
        <v>310</v>
      </c>
    </row>
    <row r="3" spans="1:7" x14ac:dyDescent="0.25">
      <c r="A3" t="s">
        <v>19</v>
      </c>
      <c r="B3">
        <v>0</v>
      </c>
      <c r="C3">
        <v>5730</v>
      </c>
      <c r="D3">
        <v>42</v>
      </c>
      <c r="E3" t="s">
        <v>106</v>
      </c>
      <c r="F3">
        <v>4458</v>
      </c>
      <c r="G3">
        <v>310</v>
      </c>
    </row>
    <row r="4" spans="1:7" x14ac:dyDescent="0.25">
      <c r="A4" t="s">
        <v>107</v>
      </c>
      <c r="B4">
        <v>0</v>
      </c>
      <c r="C4">
        <v>3000</v>
      </c>
      <c r="D4">
        <v>0</v>
      </c>
      <c r="E4" t="s">
        <v>106</v>
      </c>
      <c r="F4">
        <v>6</v>
      </c>
      <c r="G4">
        <v>500</v>
      </c>
    </row>
    <row r="5" spans="1:7" x14ac:dyDescent="0.25">
      <c r="A5" t="s">
        <v>292</v>
      </c>
      <c r="B5">
        <v>0</v>
      </c>
      <c r="C5">
        <v>4500</v>
      </c>
      <c r="D5">
        <v>0</v>
      </c>
      <c r="E5" t="s">
        <v>112</v>
      </c>
      <c r="F5">
        <v>0</v>
      </c>
      <c r="G5">
        <v>0</v>
      </c>
    </row>
    <row r="6" spans="1:7" x14ac:dyDescent="0.25">
      <c r="A6" t="s">
        <v>293</v>
      </c>
      <c r="B6">
        <v>0</v>
      </c>
      <c r="C6">
        <v>4500</v>
      </c>
      <c r="D6">
        <v>0</v>
      </c>
      <c r="E6" t="s">
        <v>112</v>
      </c>
      <c r="F6">
        <v>0</v>
      </c>
      <c r="G6">
        <v>0</v>
      </c>
    </row>
    <row r="7" spans="1:7" x14ac:dyDescent="0.25">
      <c r="A7" t="s">
        <v>108</v>
      </c>
      <c r="B7">
        <v>0</v>
      </c>
      <c r="C7">
        <v>50</v>
      </c>
      <c r="D7">
        <v>0</v>
      </c>
      <c r="E7" t="s">
        <v>106</v>
      </c>
      <c r="F7">
        <v>0</v>
      </c>
      <c r="G7">
        <v>150</v>
      </c>
    </row>
    <row r="8" spans="1:7" x14ac:dyDescent="0.25">
      <c r="A8" t="s">
        <v>110</v>
      </c>
      <c r="B8">
        <v>0</v>
      </c>
      <c r="C8">
        <v>3000</v>
      </c>
      <c r="D8">
        <v>0</v>
      </c>
      <c r="E8" t="s">
        <v>112</v>
      </c>
      <c r="F8">
        <v>0</v>
      </c>
      <c r="G8">
        <v>150</v>
      </c>
    </row>
    <row r="9" spans="1:7" x14ac:dyDescent="0.25">
      <c r="A9" t="s">
        <v>113</v>
      </c>
      <c r="B9">
        <v>0</v>
      </c>
      <c r="C9">
        <v>6000</v>
      </c>
      <c r="D9">
        <v>0</v>
      </c>
      <c r="E9" t="s">
        <v>106</v>
      </c>
      <c r="F9">
        <v>0</v>
      </c>
      <c r="G9">
        <v>250</v>
      </c>
    </row>
    <row r="10" spans="1:7" x14ac:dyDescent="0.25">
      <c r="A10" t="s">
        <v>115</v>
      </c>
      <c r="B10">
        <v>0</v>
      </c>
      <c r="C10">
        <v>4500</v>
      </c>
      <c r="D10">
        <v>0</v>
      </c>
      <c r="E10" t="s">
        <v>106</v>
      </c>
      <c r="F10">
        <v>0</v>
      </c>
      <c r="G10">
        <v>300</v>
      </c>
    </row>
    <row r="11" spans="1:7" x14ac:dyDescent="0.25">
      <c r="A11" t="s">
        <v>117</v>
      </c>
      <c r="B11">
        <v>0</v>
      </c>
      <c r="C11">
        <v>3000</v>
      </c>
      <c r="D11">
        <v>0</v>
      </c>
      <c r="E11" t="s">
        <v>112</v>
      </c>
      <c r="F11">
        <v>0</v>
      </c>
      <c r="G11">
        <v>150</v>
      </c>
    </row>
    <row r="12" spans="1:7" x14ac:dyDescent="0.25">
      <c r="A12" t="s">
        <v>119</v>
      </c>
      <c r="B12">
        <v>0</v>
      </c>
      <c r="C12">
        <v>100</v>
      </c>
      <c r="D12">
        <v>0</v>
      </c>
      <c r="E12" t="s">
        <v>106</v>
      </c>
      <c r="F12">
        <v>0</v>
      </c>
      <c r="G12">
        <v>30</v>
      </c>
    </row>
    <row r="13" spans="1:7" x14ac:dyDescent="0.25">
      <c r="A13" t="s">
        <v>121</v>
      </c>
      <c r="B13">
        <v>0</v>
      </c>
      <c r="C13">
        <v>3000</v>
      </c>
      <c r="D13">
        <v>0</v>
      </c>
      <c r="E13" t="s">
        <v>112</v>
      </c>
      <c r="F13">
        <v>0</v>
      </c>
      <c r="G13">
        <v>150</v>
      </c>
    </row>
    <row r="14" spans="1:7" x14ac:dyDescent="0.25">
      <c r="A14" t="s">
        <v>123</v>
      </c>
      <c r="B14">
        <v>0</v>
      </c>
      <c r="C14">
        <v>3000</v>
      </c>
      <c r="D14">
        <v>0</v>
      </c>
      <c r="E14" t="s">
        <v>106</v>
      </c>
      <c r="F14">
        <v>0</v>
      </c>
      <c r="G14">
        <v>100</v>
      </c>
    </row>
    <row r="15" spans="1:7" x14ac:dyDescent="0.25">
      <c r="A15" t="s">
        <v>125</v>
      </c>
      <c r="B15">
        <v>0</v>
      </c>
      <c r="C15">
        <v>1500</v>
      </c>
      <c r="D15">
        <v>0</v>
      </c>
      <c r="E15" t="s">
        <v>106</v>
      </c>
      <c r="F15">
        <v>0</v>
      </c>
      <c r="G15">
        <v>300</v>
      </c>
    </row>
    <row r="16" spans="1:7" x14ac:dyDescent="0.25">
      <c r="A16" t="s">
        <v>126</v>
      </c>
      <c r="B16">
        <v>0</v>
      </c>
      <c r="C16">
        <v>65</v>
      </c>
      <c r="D16">
        <v>0</v>
      </c>
      <c r="E16" t="s">
        <v>112</v>
      </c>
      <c r="F16">
        <v>0</v>
      </c>
      <c r="G16">
        <v>186</v>
      </c>
    </row>
    <row r="17" spans="1:7" x14ac:dyDescent="0.25">
      <c r="A17" t="s">
        <v>17</v>
      </c>
      <c r="B17">
        <v>0</v>
      </c>
      <c r="C17">
        <v>400</v>
      </c>
      <c r="D17">
        <v>0</v>
      </c>
      <c r="E17" t="s">
        <v>106</v>
      </c>
      <c r="F17">
        <v>0</v>
      </c>
      <c r="G17">
        <v>300</v>
      </c>
    </row>
    <row r="18" spans="1:7" x14ac:dyDescent="0.25">
      <c r="A18" t="s">
        <v>128</v>
      </c>
      <c r="B18">
        <v>0</v>
      </c>
      <c r="C18">
        <v>0</v>
      </c>
      <c r="D18">
        <v>0</v>
      </c>
      <c r="E18" t="s">
        <v>112</v>
      </c>
      <c r="F18">
        <v>0</v>
      </c>
      <c r="G18">
        <v>200</v>
      </c>
    </row>
    <row r="19" spans="1:7" x14ac:dyDescent="0.25">
      <c r="A19" t="s">
        <v>60</v>
      </c>
      <c r="B19">
        <v>8</v>
      </c>
      <c r="C19">
        <v>0</v>
      </c>
      <c r="D19">
        <v>0</v>
      </c>
      <c r="E19" t="s">
        <v>112</v>
      </c>
      <c r="F19">
        <v>0</v>
      </c>
      <c r="G19">
        <v>176</v>
      </c>
    </row>
    <row r="20" spans="1:7" x14ac:dyDescent="0.25">
      <c r="A20" t="s">
        <v>41</v>
      </c>
      <c r="B20">
        <v>0</v>
      </c>
      <c r="C20">
        <v>17</v>
      </c>
      <c r="D20">
        <v>0</v>
      </c>
      <c r="E20" t="s">
        <v>106</v>
      </c>
      <c r="F20">
        <v>0</v>
      </c>
      <c r="G20">
        <v>280</v>
      </c>
    </row>
    <row r="21" spans="1:7" x14ac:dyDescent="0.25">
      <c r="A21" t="s">
        <v>51</v>
      </c>
      <c r="B21">
        <v>0</v>
      </c>
      <c r="C21">
        <v>0</v>
      </c>
      <c r="D21">
        <v>0</v>
      </c>
      <c r="E21" t="s">
        <v>112</v>
      </c>
      <c r="F21">
        <v>0</v>
      </c>
      <c r="G21">
        <v>176</v>
      </c>
    </row>
    <row r="22" spans="1:7" x14ac:dyDescent="0.25">
      <c r="A22" t="s">
        <v>95</v>
      </c>
      <c r="B22">
        <v>0</v>
      </c>
      <c r="C22">
        <v>50</v>
      </c>
      <c r="D22">
        <v>0</v>
      </c>
      <c r="E22" t="s">
        <v>106</v>
      </c>
      <c r="F22">
        <v>0</v>
      </c>
      <c r="G22">
        <v>0</v>
      </c>
    </row>
    <row r="23" spans="1:7" x14ac:dyDescent="0.25">
      <c r="A23" t="s">
        <v>131</v>
      </c>
      <c r="B23">
        <v>0</v>
      </c>
      <c r="C23">
        <v>200</v>
      </c>
      <c r="D23">
        <v>0</v>
      </c>
      <c r="E23" t="s">
        <v>112</v>
      </c>
      <c r="F23">
        <v>0</v>
      </c>
      <c r="G23">
        <v>250</v>
      </c>
    </row>
    <row r="24" spans="1:7" x14ac:dyDescent="0.25">
      <c r="A24" t="s">
        <v>80</v>
      </c>
      <c r="B24">
        <v>0</v>
      </c>
      <c r="C24">
        <v>4500</v>
      </c>
      <c r="D24">
        <v>0</v>
      </c>
      <c r="E24" t="s">
        <v>106</v>
      </c>
      <c r="F24">
        <v>0</v>
      </c>
      <c r="G24">
        <v>0</v>
      </c>
    </row>
    <row r="25" spans="1:7" x14ac:dyDescent="0.25">
      <c r="A25" t="s">
        <v>91</v>
      </c>
      <c r="B25">
        <v>0</v>
      </c>
      <c r="C25">
        <v>300</v>
      </c>
      <c r="D25">
        <v>0</v>
      </c>
      <c r="E25" t="s">
        <v>112</v>
      </c>
      <c r="F25">
        <v>0</v>
      </c>
      <c r="G25">
        <v>70</v>
      </c>
    </row>
    <row r="26" spans="1:7" x14ac:dyDescent="0.25">
      <c r="A26" t="s">
        <v>84</v>
      </c>
      <c r="B26">
        <v>7</v>
      </c>
      <c r="C26">
        <v>500</v>
      </c>
      <c r="D26">
        <v>0</v>
      </c>
      <c r="E26" t="s">
        <v>112</v>
      </c>
      <c r="F26">
        <v>0</v>
      </c>
      <c r="G26">
        <v>70</v>
      </c>
    </row>
    <row r="27" spans="1:7" x14ac:dyDescent="0.25">
      <c r="A27" t="s">
        <v>134</v>
      </c>
      <c r="B27">
        <v>0</v>
      </c>
      <c r="C27">
        <v>0</v>
      </c>
      <c r="D27">
        <v>0</v>
      </c>
      <c r="E27" t="s">
        <v>112</v>
      </c>
      <c r="F27">
        <v>0</v>
      </c>
      <c r="G27">
        <v>250</v>
      </c>
    </row>
    <row r="28" spans="1:7" x14ac:dyDescent="0.25">
      <c r="A28" t="s">
        <v>82</v>
      </c>
      <c r="B28">
        <v>6</v>
      </c>
      <c r="C28">
        <v>300</v>
      </c>
      <c r="D28">
        <v>0</v>
      </c>
      <c r="E28" t="s">
        <v>112</v>
      </c>
      <c r="F28">
        <v>0</v>
      </c>
      <c r="G28">
        <v>80</v>
      </c>
    </row>
    <row r="29" spans="1:7" x14ac:dyDescent="0.25">
      <c r="A29" t="s">
        <v>93</v>
      </c>
      <c r="B29">
        <v>0</v>
      </c>
      <c r="C29">
        <v>1000</v>
      </c>
      <c r="D29">
        <v>0</v>
      </c>
      <c r="E29" t="s">
        <v>112</v>
      </c>
      <c r="F29">
        <v>0</v>
      </c>
      <c r="G29">
        <v>70</v>
      </c>
    </row>
    <row r="30" spans="1:7" x14ac:dyDescent="0.25">
      <c r="A30" t="s">
        <v>138</v>
      </c>
      <c r="B30">
        <v>0</v>
      </c>
      <c r="C30">
        <v>1000</v>
      </c>
      <c r="D30">
        <v>0</v>
      </c>
      <c r="E30" t="s">
        <v>112</v>
      </c>
      <c r="F30">
        <v>0</v>
      </c>
      <c r="G30">
        <v>20</v>
      </c>
    </row>
    <row r="31" spans="1:7" x14ac:dyDescent="0.25">
      <c r="A31" t="s">
        <v>92</v>
      </c>
      <c r="B31">
        <v>0</v>
      </c>
      <c r="C31">
        <v>0</v>
      </c>
      <c r="D31">
        <v>0</v>
      </c>
      <c r="E31" t="s">
        <v>112</v>
      </c>
      <c r="F31">
        <v>0</v>
      </c>
      <c r="G31">
        <v>0</v>
      </c>
    </row>
    <row r="32" spans="1:7" x14ac:dyDescent="0.25">
      <c r="A32" t="s">
        <v>141</v>
      </c>
      <c r="B32">
        <v>0</v>
      </c>
      <c r="C32">
        <v>1000</v>
      </c>
      <c r="D32">
        <v>0</v>
      </c>
      <c r="E32" t="s">
        <v>106</v>
      </c>
      <c r="F32">
        <v>0</v>
      </c>
      <c r="G32">
        <v>100</v>
      </c>
    </row>
    <row r="33" spans="1:7" x14ac:dyDescent="0.25">
      <c r="A33" t="s">
        <v>101</v>
      </c>
      <c r="B33">
        <v>0</v>
      </c>
      <c r="C33">
        <v>250</v>
      </c>
      <c r="D33">
        <v>0</v>
      </c>
      <c r="E33" t="s">
        <v>112</v>
      </c>
      <c r="F33">
        <v>0</v>
      </c>
      <c r="G33">
        <v>250</v>
      </c>
    </row>
    <row r="34" spans="1:7" x14ac:dyDescent="0.25">
      <c r="A34" t="s">
        <v>142</v>
      </c>
      <c r="B34">
        <v>0</v>
      </c>
      <c r="C34">
        <v>500</v>
      </c>
      <c r="D34">
        <v>0</v>
      </c>
      <c r="E34" t="s">
        <v>106</v>
      </c>
      <c r="F34">
        <v>0</v>
      </c>
      <c r="G34">
        <v>300</v>
      </c>
    </row>
    <row r="35" spans="1:7" x14ac:dyDescent="0.25">
      <c r="A35" t="s">
        <v>143</v>
      </c>
      <c r="B35">
        <v>0</v>
      </c>
      <c r="C35">
        <v>4500</v>
      </c>
      <c r="D35">
        <v>0</v>
      </c>
      <c r="E35" t="s">
        <v>106</v>
      </c>
      <c r="F35">
        <v>0</v>
      </c>
      <c r="G35">
        <v>0</v>
      </c>
    </row>
    <row r="36" spans="1:7" x14ac:dyDescent="0.25">
      <c r="A36" t="s">
        <v>145</v>
      </c>
      <c r="B36">
        <v>0</v>
      </c>
      <c r="C36">
        <v>4500</v>
      </c>
      <c r="D36">
        <v>0</v>
      </c>
      <c r="E36" t="s">
        <v>106</v>
      </c>
      <c r="F36">
        <v>0</v>
      </c>
      <c r="G36">
        <v>0</v>
      </c>
    </row>
    <row r="37" spans="1:7" x14ac:dyDescent="0.25">
      <c r="A37" t="s">
        <v>5</v>
      </c>
      <c r="B37">
        <v>0</v>
      </c>
      <c r="C37">
        <v>2000</v>
      </c>
      <c r="D37">
        <v>0</v>
      </c>
      <c r="E37" t="s">
        <v>106</v>
      </c>
      <c r="F37">
        <v>0</v>
      </c>
      <c r="G37">
        <v>100</v>
      </c>
    </row>
    <row r="38" spans="1:7" x14ac:dyDescent="0.25">
      <c r="A38" t="s">
        <v>146</v>
      </c>
      <c r="B38">
        <v>0</v>
      </c>
      <c r="C38">
        <v>250</v>
      </c>
      <c r="D38">
        <v>0</v>
      </c>
      <c r="E38" t="s">
        <v>106</v>
      </c>
      <c r="F38">
        <v>0</v>
      </c>
      <c r="G38">
        <v>100</v>
      </c>
    </row>
    <row r="39" spans="1:7" x14ac:dyDescent="0.25">
      <c r="A39" t="s">
        <v>42</v>
      </c>
      <c r="B39">
        <v>0</v>
      </c>
      <c r="C39">
        <v>0</v>
      </c>
      <c r="D39">
        <v>0</v>
      </c>
      <c r="E39" t="s">
        <v>112</v>
      </c>
      <c r="F39">
        <v>0</v>
      </c>
      <c r="G39">
        <v>176</v>
      </c>
    </row>
    <row r="40" spans="1:7" x14ac:dyDescent="0.25">
      <c r="A40" t="s">
        <v>53</v>
      </c>
      <c r="B40">
        <v>0</v>
      </c>
      <c r="C40">
        <v>17</v>
      </c>
      <c r="D40">
        <v>0</v>
      </c>
      <c r="E40" t="s">
        <v>106</v>
      </c>
      <c r="F40">
        <v>0</v>
      </c>
      <c r="G40">
        <v>310</v>
      </c>
    </row>
    <row r="41" spans="1:7" x14ac:dyDescent="0.25">
      <c r="A41" t="s">
        <v>294</v>
      </c>
      <c r="B41">
        <v>0</v>
      </c>
      <c r="C41">
        <v>400</v>
      </c>
      <c r="D41">
        <v>0</v>
      </c>
      <c r="E41" t="s">
        <v>106</v>
      </c>
      <c r="F41">
        <v>0</v>
      </c>
      <c r="G41">
        <v>250</v>
      </c>
    </row>
    <row r="42" spans="1:7" x14ac:dyDescent="0.25">
      <c r="A42" t="s">
        <v>2</v>
      </c>
      <c r="B42">
        <v>0</v>
      </c>
      <c r="C42">
        <v>1652</v>
      </c>
      <c r="D42">
        <v>19</v>
      </c>
      <c r="E42" t="s">
        <v>106</v>
      </c>
      <c r="F42">
        <v>1878</v>
      </c>
      <c r="G42">
        <v>308</v>
      </c>
    </row>
    <row r="43" spans="1:7" x14ac:dyDescent="0.25">
      <c r="A43" t="s">
        <v>147</v>
      </c>
      <c r="B43">
        <v>0</v>
      </c>
      <c r="C43">
        <v>4500</v>
      </c>
      <c r="D43">
        <v>0</v>
      </c>
      <c r="E43" t="s">
        <v>112</v>
      </c>
      <c r="F43">
        <v>0</v>
      </c>
      <c r="G43">
        <v>0</v>
      </c>
    </row>
    <row r="44" spans="1:7" x14ac:dyDescent="0.25">
      <c r="A44" t="s">
        <v>4</v>
      </c>
      <c r="B44">
        <v>22</v>
      </c>
      <c r="C44">
        <v>750</v>
      </c>
      <c r="D44">
        <v>0</v>
      </c>
      <c r="E44" t="s">
        <v>106</v>
      </c>
      <c r="F44">
        <v>0</v>
      </c>
      <c r="G44">
        <v>361</v>
      </c>
    </row>
    <row r="45" spans="1:7" x14ac:dyDescent="0.25">
      <c r="A45" t="s">
        <v>148</v>
      </c>
      <c r="B45">
        <v>0</v>
      </c>
      <c r="C45">
        <v>300</v>
      </c>
      <c r="D45">
        <v>0</v>
      </c>
      <c r="E45" t="s">
        <v>112</v>
      </c>
      <c r="F45">
        <v>0</v>
      </c>
      <c r="G45">
        <v>200</v>
      </c>
    </row>
    <row r="46" spans="1:7" x14ac:dyDescent="0.25">
      <c r="A46" t="s">
        <v>149</v>
      </c>
      <c r="B46">
        <v>0</v>
      </c>
      <c r="C46">
        <v>4500</v>
      </c>
      <c r="D46">
        <v>0</v>
      </c>
      <c r="E46" t="s">
        <v>106</v>
      </c>
      <c r="F46">
        <v>0</v>
      </c>
      <c r="G46">
        <v>0</v>
      </c>
    </row>
    <row r="47" spans="1:7" x14ac:dyDescent="0.25">
      <c r="A47" t="s">
        <v>150</v>
      </c>
      <c r="B47">
        <v>0</v>
      </c>
      <c r="C47">
        <v>4500</v>
      </c>
      <c r="D47">
        <v>0</v>
      </c>
      <c r="E47" t="s">
        <v>106</v>
      </c>
      <c r="F47">
        <v>0</v>
      </c>
      <c r="G47">
        <v>0</v>
      </c>
    </row>
    <row r="48" spans="1:7" x14ac:dyDescent="0.25">
      <c r="A48" t="s">
        <v>151</v>
      </c>
      <c r="B48">
        <v>0</v>
      </c>
      <c r="C48">
        <v>250</v>
      </c>
      <c r="D48">
        <v>0</v>
      </c>
      <c r="E48" t="s">
        <v>112</v>
      </c>
      <c r="F48">
        <v>0</v>
      </c>
      <c r="G48">
        <v>100</v>
      </c>
    </row>
    <row r="49" spans="1:7" x14ac:dyDescent="0.25">
      <c r="A49" t="s">
        <v>152</v>
      </c>
      <c r="B49">
        <v>0</v>
      </c>
      <c r="C49">
        <v>4500</v>
      </c>
      <c r="D49">
        <v>0</v>
      </c>
      <c r="E49" t="s">
        <v>112</v>
      </c>
      <c r="F49">
        <v>0</v>
      </c>
      <c r="G49">
        <v>0</v>
      </c>
    </row>
    <row r="50" spans="1:7" x14ac:dyDescent="0.25">
      <c r="A50" t="s">
        <v>154</v>
      </c>
      <c r="B50">
        <v>0</v>
      </c>
      <c r="C50">
        <v>1000</v>
      </c>
      <c r="D50">
        <v>0</v>
      </c>
      <c r="E50" t="s">
        <v>106</v>
      </c>
      <c r="F50">
        <v>0</v>
      </c>
      <c r="G50">
        <v>60</v>
      </c>
    </row>
    <row r="51" spans="1:7" x14ac:dyDescent="0.25">
      <c r="A51" t="s">
        <v>600</v>
      </c>
      <c r="B51">
        <v>0</v>
      </c>
      <c r="C51">
        <v>100</v>
      </c>
      <c r="D51">
        <v>0</v>
      </c>
      <c r="E51" t="s">
        <v>106</v>
      </c>
      <c r="F51">
        <v>0</v>
      </c>
      <c r="G51">
        <v>0</v>
      </c>
    </row>
    <row r="52" spans="1:7" x14ac:dyDescent="0.25">
      <c r="A52" t="s">
        <v>39</v>
      </c>
      <c r="B52">
        <v>0</v>
      </c>
      <c r="C52">
        <v>23</v>
      </c>
      <c r="D52">
        <v>0</v>
      </c>
      <c r="E52" t="s">
        <v>106</v>
      </c>
      <c r="F52">
        <v>0</v>
      </c>
      <c r="G52">
        <v>296</v>
      </c>
    </row>
    <row r="53" spans="1:7" x14ac:dyDescent="0.25">
      <c r="A53" t="s">
        <v>40</v>
      </c>
      <c r="B53">
        <v>0</v>
      </c>
      <c r="C53">
        <v>923</v>
      </c>
      <c r="D53">
        <v>0</v>
      </c>
      <c r="E53" t="s">
        <v>106</v>
      </c>
      <c r="F53">
        <v>0</v>
      </c>
      <c r="G53">
        <v>41</v>
      </c>
    </row>
    <row r="54" spans="1:7" x14ac:dyDescent="0.25">
      <c r="A54" t="s">
        <v>157</v>
      </c>
      <c r="B54">
        <v>0</v>
      </c>
      <c r="C54">
        <v>10000</v>
      </c>
      <c r="D54">
        <v>0</v>
      </c>
      <c r="E54" t="s">
        <v>106</v>
      </c>
      <c r="F54">
        <v>0</v>
      </c>
      <c r="G54">
        <v>100</v>
      </c>
    </row>
    <row r="55" spans="1:7" x14ac:dyDescent="0.25">
      <c r="A55" t="s">
        <v>159</v>
      </c>
      <c r="B55">
        <v>0</v>
      </c>
      <c r="C55">
        <v>3000</v>
      </c>
      <c r="D55">
        <v>0</v>
      </c>
      <c r="E55" t="s">
        <v>112</v>
      </c>
      <c r="F55">
        <v>0</v>
      </c>
      <c r="G55">
        <v>150</v>
      </c>
    </row>
    <row r="56" spans="1:7" x14ac:dyDescent="0.25">
      <c r="A56" t="s">
        <v>161</v>
      </c>
      <c r="B56">
        <v>0</v>
      </c>
      <c r="C56">
        <v>0</v>
      </c>
      <c r="D56">
        <v>0</v>
      </c>
      <c r="E56" t="s">
        <v>112</v>
      </c>
      <c r="F56">
        <v>0</v>
      </c>
      <c r="G56">
        <v>401</v>
      </c>
    </row>
    <row r="57" spans="1:7" x14ac:dyDescent="0.25">
      <c r="A57" t="s">
        <v>162</v>
      </c>
      <c r="B57">
        <v>0</v>
      </c>
      <c r="C57">
        <v>0</v>
      </c>
      <c r="D57">
        <v>0</v>
      </c>
      <c r="E57" t="s">
        <v>112</v>
      </c>
      <c r="F57">
        <v>0</v>
      </c>
      <c r="G57">
        <v>270</v>
      </c>
    </row>
    <row r="58" spans="1:7" x14ac:dyDescent="0.25">
      <c r="A58" t="s">
        <v>601</v>
      </c>
      <c r="B58">
        <v>0</v>
      </c>
      <c r="C58">
        <v>4500</v>
      </c>
      <c r="D58">
        <v>0</v>
      </c>
      <c r="E58" t="s">
        <v>112</v>
      </c>
      <c r="F58">
        <v>0</v>
      </c>
      <c r="G58">
        <v>0</v>
      </c>
    </row>
    <row r="59" spans="1:7" x14ac:dyDescent="0.25">
      <c r="A59" t="s">
        <v>163</v>
      </c>
      <c r="B59">
        <v>0</v>
      </c>
      <c r="C59">
        <v>0</v>
      </c>
      <c r="D59">
        <v>0</v>
      </c>
      <c r="E59" t="s">
        <v>112</v>
      </c>
      <c r="F59">
        <v>0</v>
      </c>
      <c r="G59">
        <v>200</v>
      </c>
    </row>
    <row r="60" spans="1:7" x14ac:dyDescent="0.25">
      <c r="A60" t="s">
        <v>164</v>
      </c>
      <c r="B60">
        <v>0</v>
      </c>
      <c r="C60">
        <v>1000</v>
      </c>
      <c r="D60">
        <v>0</v>
      </c>
      <c r="E60" t="s">
        <v>112</v>
      </c>
      <c r="F60">
        <v>0</v>
      </c>
      <c r="G60">
        <v>126</v>
      </c>
    </row>
    <row r="61" spans="1:7" x14ac:dyDescent="0.25">
      <c r="A61" t="s">
        <v>165</v>
      </c>
      <c r="B61">
        <v>0</v>
      </c>
      <c r="C61">
        <v>0</v>
      </c>
      <c r="D61">
        <v>0</v>
      </c>
      <c r="E61" t="s">
        <v>112</v>
      </c>
      <c r="F61">
        <v>0</v>
      </c>
      <c r="G61">
        <v>250</v>
      </c>
    </row>
    <row r="62" spans="1:7" x14ac:dyDescent="0.25">
      <c r="A62" t="s">
        <v>167</v>
      </c>
      <c r="B62">
        <v>0</v>
      </c>
      <c r="C62">
        <v>400</v>
      </c>
      <c r="D62">
        <v>0</v>
      </c>
      <c r="E62" t="s">
        <v>112</v>
      </c>
      <c r="F62">
        <v>0</v>
      </c>
      <c r="G62">
        <v>200</v>
      </c>
    </row>
    <row r="63" spans="1:7" x14ac:dyDescent="0.25">
      <c r="A63" t="s">
        <v>57</v>
      </c>
      <c r="B63">
        <v>0</v>
      </c>
      <c r="C63">
        <v>1715</v>
      </c>
      <c r="D63">
        <v>12</v>
      </c>
      <c r="E63" t="s">
        <v>106</v>
      </c>
      <c r="F63">
        <v>1242</v>
      </c>
      <c r="G63">
        <v>310</v>
      </c>
    </row>
    <row r="64" spans="1:7" x14ac:dyDescent="0.25">
      <c r="A64" t="s">
        <v>1</v>
      </c>
      <c r="B64">
        <v>0</v>
      </c>
      <c r="C64">
        <v>1829</v>
      </c>
      <c r="D64">
        <v>9</v>
      </c>
      <c r="E64" t="s">
        <v>106</v>
      </c>
      <c r="F64">
        <v>1230</v>
      </c>
      <c r="G64">
        <v>310</v>
      </c>
    </row>
    <row r="65" spans="1:7" x14ac:dyDescent="0.25">
      <c r="A65" t="s">
        <v>168</v>
      </c>
      <c r="B65">
        <v>0</v>
      </c>
      <c r="C65">
        <v>1000</v>
      </c>
      <c r="D65">
        <v>0</v>
      </c>
      <c r="E65" t="s">
        <v>112</v>
      </c>
      <c r="F65">
        <v>0</v>
      </c>
      <c r="G65">
        <v>200</v>
      </c>
    </row>
    <row r="66" spans="1:7" x14ac:dyDescent="0.25">
      <c r="A66" t="s">
        <v>38</v>
      </c>
      <c r="B66">
        <v>0</v>
      </c>
      <c r="C66">
        <v>0</v>
      </c>
      <c r="D66">
        <v>0</v>
      </c>
      <c r="E66" t="s">
        <v>112</v>
      </c>
      <c r="F66">
        <v>0</v>
      </c>
      <c r="G66">
        <v>166</v>
      </c>
    </row>
    <row r="67" spans="1:7" x14ac:dyDescent="0.25">
      <c r="A67" t="s">
        <v>0</v>
      </c>
      <c r="B67">
        <v>0</v>
      </c>
      <c r="C67">
        <v>4082</v>
      </c>
      <c r="D67">
        <v>28</v>
      </c>
      <c r="E67" t="s">
        <v>106</v>
      </c>
      <c r="F67">
        <v>1110</v>
      </c>
      <c r="G67">
        <v>310</v>
      </c>
    </row>
    <row r="68" spans="1:7" x14ac:dyDescent="0.25">
      <c r="A68" t="s">
        <v>169</v>
      </c>
      <c r="B68">
        <v>0</v>
      </c>
      <c r="C68">
        <v>0</v>
      </c>
      <c r="D68">
        <v>0</v>
      </c>
      <c r="E68" t="s">
        <v>112</v>
      </c>
      <c r="F68">
        <v>0</v>
      </c>
      <c r="G68">
        <v>200</v>
      </c>
    </row>
    <row r="69" spans="1:7" x14ac:dyDescent="0.25">
      <c r="A69" t="s">
        <v>20</v>
      </c>
      <c r="B69">
        <v>0</v>
      </c>
      <c r="C69">
        <v>479</v>
      </c>
      <c r="D69">
        <v>6</v>
      </c>
      <c r="E69" t="s">
        <v>106</v>
      </c>
      <c r="F69">
        <v>486</v>
      </c>
      <c r="G69">
        <v>310</v>
      </c>
    </row>
    <row r="70" spans="1:7" x14ac:dyDescent="0.25">
      <c r="A70" t="s">
        <v>170</v>
      </c>
      <c r="B70">
        <v>0</v>
      </c>
      <c r="C70">
        <v>1000</v>
      </c>
      <c r="D70">
        <v>0</v>
      </c>
      <c r="E70" t="s">
        <v>112</v>
      </c>
      <c r="F70">
        <v>0</v>
      </c>
      <c r="G70">
        <v>1000</v>
      </c>
    </row>
    <row r="71" spans="1:7" x14ac:dyDescent="0.25">
      <c r="A71" t="s">
        <v>172</v>
      </c>
      <c r="B71">
        <v>0</v>
      </c>
      <c r="C71">
        <v>5</v>
      </c>
      <c r="D71">
        <v>0</v>
      </c>
      <c r="E71" t="s">
        <v>112</v>
      </c>
      <c r="F71">
        <v>0</v>
      </c>
      <c r="G71">
        <v>500</v>
      </c>
    </row>
    <row r="72" spans="1:7" x14ac:dyDescent="0.25">
      <c r="A72" t="s">
        <v>174</v>
      </c>
      <c r="B72">
        <v>0</v>
      </c>
      <c r="C72">
        <v>4500</v>
      </c>
      <c r="D72">
        <v>0</v>
      </c>
      <c r="E72" t="s">
        <v>112</v>
      </c>
      <c r="F72">
        <v>0</v>
      </c>
      <c r="G72">
        <v>0</v>
      </c>
    </row>
    <row r="73" spans="1:7" x14ac:dyDescent="0.25">
      <c r="A73" t="s">
        <v>334</v>
      </c>
      <c r="B73">
        <v>0</v>
      </c>
      <c r="C73">
        <v>0</v>
      </c>
      <c r="D73">
        <v>0</v>
      </c>
      <c r="E73" t="s">
        <v>106</v>
      </c>
      <c r="F73">
        <v>0</v>
      </c>
      <c r="G73">
        <v>310</v>
      </c>
    </row>
    <row r="74" spans="1:7" x14ac:dyDescent="0.25">
      <c r="A74" t="s">
        <v>175</v>
      </c>
      <c r="B74">
        <v>0</v>
      </c>
      <c r="C74">
        <v>0</v>
      </c>
      <c r="D74">
        <v>0</v>
      </c>
      <c r="E74" t="s">
        <v>112</v>
      </c>
      <c r="F74">
        <v>0</v>
      </c>
      <c r="G74">
        <v>200</v>
      </c>
    </row>
    <row r="75" spans="1:7" x14ac:dyDescent="0.25">
      <c r="A75" t="s">
        <v>94</v>
      </c>
      <c r="B75">
        <v>0</v>
      </c>
      <c r="C75">
        <v>0</v>
      </c>
      <c r="D75">
        <v>0</v>
      </c>
      <c r="E75" t="s">
        <v>112</v>
      </c>
      <c r="F75">
        <v>0</v>
      </c>
      <c r="G75">
        <v>198</v>
      </c>
    </row>
    <row r="76" spans="1:7" x14ac:dyDescent="0.25">
      <c r="A76" t="s">
        <v>103</v>
      </c>
      <c r="B76">
        <v>0</v>
      </c>
      <c r="C76">
        <v>0</v>
      </c>
      <c r="D76">
        <v>0</v>
      </c>
      <c r="E76" t="s">
        <v>112</v>
      </c>
      <c r="F76">
        <v>0</v>
      </c>
      <c r="G76">
        <v>198</v>
      </c>
    </row>
    <row r="77" spans="1:7" x14ac:dyDescent="0.25">
      <c r="A77" t="s">
        <v>104</v>
      </c>
      <c r="B77">
        <v>0</v>
      </c>
      <c r="C77">
        <v>0</v>
      </c>
      <c r="D77">
        <v>0</v>
      </c>
      <c r="E77" t="s">
        <v>112</v>
      </c>
      <c r="F77">
        <v>0</v>
      </c>
      <c r="G77">
        <v>198</v>
      </c>
    </row>
    <row r="78" spans="1:7" x14ac:dyDescent="0.25">
      <c r="A78" t="s">
        <v>102</v>
      </c>
      <c r="B78">
        <v>0</v>
      </c>
      <c r="C78">
        <v>0</v>
      </c>
      <c r="D78">
        <v>0</v>
      </c>
      <c r="E78" t="s">
        <v>112</v>
      </c>
      <c r="F78">
        <v>0</v>
      </c>
      <c r="G78">
        <v>416</v>
      </c>
    </row>
    <row r="79" spans="1:7" x14ac:dyDescent="0.25">
      <c r="A79" t="s">
        <v>28</v>
      </c>
      <c r="B79">
        <v>23</v>
      </c>
      <c r="C79">
        <v>0</v>
      </c>
      <c r="D79">
        <v>0</v>
      </c>
      <c r="E79" t="s">
        <v>112</v>
      </c>
      <c r="F79">
        <v>0</v>
      </c>
      <c r="G79">
        <v>310</v>
      </c>
    </row>
    <row r="80" spans="1:7" x14ac:dyDescent="0.25">
      <c r="A80" t="s">
        <v>332</v>
      </c>
      <c r="B80">
        <v>161</v>
      </c>
      <c r="C80">
        <v>9274</v>
      </c>
      <c r="D80">
        <v>27</v>
      </c>
      <c r="E80" t="s">
        <v>106</v>
      </c>
      <c r="F80">
        <v>7296</v>
      </c>
      <c r="G80">
        <v>310</v>
      </c>
    </row>
    <row r="81" spans="1:7" x14ac:dyDescent="0.25">
      <c r="A81" t="s">
        <v>176</v>
      </c>
      <c r="B81">
        <v>0</v>
      </c>
      <c r="C81">
        <v>0</v>
      </c>
      <c r="D81">
        <v>0</v>
      </c>
      <c r="E81" t="s">
        <v>112</v>
      </c>
      <c r="F81">
        <v>0</v>
      </c>
      <c r="G81">
        <v>200</v>
      </c>
    </row>
    <row r="82" spans="1:7" x14ac:dyDescent="0.25">
      <c r="A82" t="s">
        <v>30</v>
      </c>
      <c r="B82">
        <v>64</v>
      </c>
      <c r="C82">
        <v>1725</v>
      </c>
      <c r="D82">
        <v>14</v>
      </c>
      <c r="E82" t="s">
        <v>106</v>
      </c>
      <c r="F82">
        <v>798</v>
      </c>
      <c r="G82">
        <v>308</v>
      </c>
    </row>
    <row r="83" spans="1:7" x14ac:dyDescent="0.25">
      <c r="A83" t="s">
        <v>177</v>
      </c>
      <c r="B83">
        <v>0</v>
      </c>
      <c r="C83">
        <v>400</v>
      </c>
      <c r="D83">
        <v>0</v>
      </c>
      <c r="E83" t="s">
        <v>112</v>
      </c>
      <c r="F83">
        <v>0</v>
      </c>
      <c r="G83">
        <v>250</v>
      </c>
    </row>
    <row r="84" spans="1:7" x14ac:dyDescent="0.25">
      <c r="A84" t="s">
        <v>178</v>
      </c>
      <c r="B84">
        <v>0</v>
      </c>
      <c r="C84">
        <v>4500</v>
      </c>
      <c r="D84">
        <v>0</v>
      </c>
      <c r="E84" t="s">
        <v>112</v>
      </c>
      <c r="F84">
        <v>0</v>
      </c>
      <c r="G84">
        <v>0</v>
      </c>
    </row>
    <row r="85" spans="1:7" x14ac:dyDescent="0.25">
      <c r="A85" s="66" t="s">
        <v>333</v>
      </c>
      <c r="B85" s="66">
        <v>0</v>
      </c>
      <c r="C85">
        <v>0</v>
      </c>
      <c r="D85">
        <v>0</v>
      </c>
      <c r="E85" t="s">
        <v>112</v>
      </c>
      <c r="F85">
        <v>0</v>
      </c>
      <c r="G85">
        <v>176</v>
      </c>
    </row>
    <row r="86" spans="1:7" x14ac:dyDescent="0.25">
      <c r="A86" t="s">
        <v>179</v>
      </c>
      <c r="B86">
        <v>0</v>
      </c>
      <c r="C86">
        <v>4500</v>
      </c>
      <c r="D86">
        <v>0</v>
      </c>
      <c r="E86" t="s">
        <v>112</v>
      </c>
      <c r="F86">
        <v>0</v>
      </c>
      <c r="G86">
        <v>0</v>
      </c>
    </row>
    <row r="87" spans="1:7" x14ac:dyDescent="0.25">
      <c r="A87" t="s">
        <v>180</v>
      </c>
      <c r="B87">
        <v>0</v>
      </c>
      <c r="C87">
        <v>0</v>
      </c>
      <c r="D87">
        <v>0</v>
      </c>
      <c r="E87" t="s">
        <v>112</v>
      </c>
      <c r="F87">
        <v>0</v>
      </c>
      <c r="G87">
        <v>200</v>
      </c>
    </row>
    <row r="88" spans="1:7" x14ac:dyDescent="0.25">
      <c r="A88" t="s">
        <v>26</v>
      </c>
      <c r="B88">
        <v>0</v>
      </c>
      <c r="C88">
        <v>0</v>
      </c>
      <c r="D88">
        <v>0</v>
      </c>
      <c r="E88" t="s">
        <v>112</v>
      </c>
      <c r="F88">
        <v>0</v>
      </c>
      <c r="G88">
        <v>310</v>
      </c>
    </row>
    <row r="89" spans="1:7" x14ac:dyDescent="0.25">
      <c r="A89" t="s">
        <v>181</v>
      </c>
      <c r="B89">
        <v>0</v>
      </c>
      <c r="C89">
        <v>0</v>
      </c>
      <c r="D89">
        <v>0</v>
      </c>
      <c r="E89" t="s">
        <v>112</v>
      </c>
      <c r="F89">
        <v>0</v>
      </c>
      <c r="G89">
        <v>200</v>
      </c>
    </row>
    <row r="90" spans="1:7" x14ac:dyDescent="0.25">
      <c r="A90" t="s">
        <v>602</v>
      </c>
      <c r="B90">
        <v>0</v>
      </c>
      <c r="C90">
        <v>0</v>
      </c>
      <c r="D90">
        <v>0</v>
      </c>
      <c r="E90" t="s">
        <v>112</v>
      </c>
      <c r="F90">
        <v>0</v>
      </c>
      <c r="G90">
        <v>200</v>
      </c>
    </row>
    <row r="91" spans="1:7" x14ac:dyDescent="0.25">
      <c r="A91" t="s">
        <v>182</v>
      </c>
      <c r="B91">
        <v>0</v>
      </c>
      <c r="C91">
        <v>0</v>
      </c>
      <c r="D91">
        <v>0</v>
      </c>
      <c r="E91" t="s">
        <v>112</v>
      </c>
      <c r="F91">
        <v>0</v>
      </c>
      <c r="G91">
        <v>250</v>
      </c>
    </row>
    <row r="92" spans="1:7" x14ac:dyDescent="0.25">
      <c r="A92" t="s">
        <v>335</v>
      </c>
      <c r="B92">
        <v>0</v>
      </c>
      <c r="C92">
        <v>0</v>
      </c>
      <c r="D92">
        <v>0</v>
      </c>
      <c r="E92" t="s">
        <v>112</v>
      </c>
      <c r="F92">
        <v>0</v>
      </c>
      <c r="G92">
        <v>176</v>
      </c>
    </row>
    <row r="93" spans="1:7" x14ac:dyDescent="0.25">
      <c r="A93" t="s">
        <v>183</v>
      </c>
      <c r="B93">
        <v>0</v>
      </c>
      <c r="C93">
        <v>0</v>
      </c>
      <c r="D93">
        <v>0</v>
      </c>
      <c r="E93" t="s">
        <v>112</v>
      </c>
      <c r="F93">
        <v>0</v>
      </c>
      <c r="G93">
        <v>250</v>
      </c>
    </row>
    <row r="94" spans="1:7" x14ac:dyDescent="0.25">
      <c r="A94" t="s">
        <v>27</v>
      </c>
      <c r="B94">
        <v>0</v>
      </c>
      <c r="C94">
        <v>0</v>
      </c>
      <c r="D94">
        <v>0</v>
      </c>
      <c r="E94" t="s">
        <v>112</v>
      </c>
      <c r="F94">
        <v>0</v>
      </c>
      <c r="G94">
        <v>176</v>
      </c>
    </row>
    <row r="95" spans="1:7" x14ac:dyDescent="0.25">
      <c r="A95" t="s">
        <v>184</v>
      </c>
      <c r="B95">
        <v>0</v>
      </c>
      <c r="C95">
        <v>0</v>
      </c>
      <c r="D95">
        <v>0</v>
      </c>
      <c r="E95" t="s">
        <v>112</v>
      </c>
      <c r="F95">
        <v>0</v>
      </c>
      <c r="G95">
        <v>200</v>
      </c>
    </row>
    <row r="96" spans="1:7" x14ac:dyDescent="0.25">
      <c r="A96" t="s">
        <v>24</v>
      </c>
      <c r="B96">
        <v>0</v>
      </c>
      <c r="C96">
        <v>0</v>
      </c>
      <c r="D96">
        <v>0</v>
      </c>
      <c r="E96" t="s">
        <v>112</v>
      </c>
      <c r="F96">
        <v>0</v>
      </c>
      <c r="G96">
        <v>310</v>
      </c>
    </row>
    <row r="97" spans="1:7" x14ac:dyDescent="0.25">
      <c r="A97" t="s">
        <v>186</v>
      </c>
      <c r="B97">
        <v>0</v>
      </c>
      <c r="C97">
        <v>200</v>
      </c>
      <c r="D97">
        <v>0</v>
      </c>
      <c r="E97" t="s">
        <v>112</v>
      </c>
      <c r="F97">
        <v>0</v>
      </c>
      <c r="G97">
        <v>250</v>
      </c>
    </row>
    <row r="98" spans="1:7" x14ac:dyDescent="0.25">
      <c r="A98" t="s">
        <v>65</v>
      </c>
      <c r="B98">
        <v>0</v>
      </c>
      <c r="C98">
        <v>0</v>
      </c>
      <c r="D98">
        <v>0</v>
      </c>
      <c r="E98" t="s">
        <v>112</v>
      </c>
      <c r="F98">
        <v>0</v>
      </c>
      <c r="G98">
        <v>200</v>
      </c>
    </row>
    <row r="99" spans="1:7" x14ac:dyDescent="0.25">
      <c r="A99" t="s">
        <v>187</v>
      </c>
      <c r="B99">
        <v>9</v>
      </c>
      <c r="C99">
        <v>0</v>
      </c>
      <c r="D99">
        <v>0</v>
      </c>
      <c r="E99" t="s">
        <v>112</v>
      </c>
      <c r="F99">
        <v>0</v>
      </c>
      <c r="G99">
        <v>310</v>
      </c>
    </row>
    <row r="100" spans="1:7" x14ac:dyDescent="0.25">
      <c r="A100" t="s">
        <v>188</v>
      </c>
      <c r="B100">
        <v>0</v>
      </c>
      <c r="C100">
        <v>0</v>
      </c>
      <c r="D100">
        <v>0</v>
      </c>
      <c r="E100" t="s">
        <v>112</v>
      </c>
      <c r="F100">
        <v>0</v>
      </c>
      <c r="G100">
        <v>200</v>
      </c>
    </row>
    <row r="101" spans="1:7" x14ac:dyDescent="0.25">
      <c r="A101" t="s">
        <v>25</v>
      </c>
      <c r="B101">
        <v>0</v>
      </c>
      <c r="C101">
        <v>0</v>
      </c>
      <c r="D101">
        <v>0</v>
      </c>
      <c r="E101" t="s">
        <v>112</v>
      </c>
      <c r="F101">
        <v>0</v>
      </c>
      <c r="G101">
        <v>152</v>
      </c>
    </row>
    <row r="102" spans="1:7" x14ac:dyDescent="0.25">
      <c r="A102" t="s">
        <v>189</v>
      </c>
      <c r="B102">
        <v>0</v>
      </c>
      <c r="C102">
        <v>0</v>
      </c>
      <c r="D102">
        <v>0</v>
      </c>
      <c r="E102" t="s">
        <v>112</v>
      </c>
      <c r="F102">
        <v>0</v>
      </c>
      <c r="G102">
        <v>246</v>
      </c>
    </row>
    <row r="103" spans="1:7" x14ac:dyDescent="0.25">
      <c r="A103" t="s">
        <v>16</v>
      </c>
      <c r="B103">
        <v>0</v>
      </c>
      <c r="C103">
        <v>0</v>
      </c>
      <c r="D103">
        <v>0</v>
      </c>
      <c r="E103" t="s">
        <v>112</v>
      </c>
      <c r="F103">
        <v>0</v>
      </c>
      <c r="G103">
        <v>200</v>
      </c>
    </row>
    <row r="104" spans="1:7" x14ac:dyDescent="0.25">
      <c r="A104" t="s">
        <v>190</v>
      </c>
      <c r="B104">
        <v>0</v>
      </c>
      <c r="C104">
        <v>0</v>
      </c>
      <c r="D104">
        <v>0</v>
      </c>
      <c r="E104" t="s">
        <v>112</v>
      </c>
      <c r="F104">
        <v>0</v>
      </c>
      <c r="G104">
        <v>200</v>
      </c>
    </row>
    <row r="105" spans="1:7" x14ac:dyDescent="0.25">
      <c r="A105" t="s">
        <v>191</v>
      </c>
      <c r="B105">
        <v>0</v>
      </c>
      <c r="C105">
        <v>0</v>
      </c>
      <c r="D105">
        <v>0</v>
      </c>
      <c r="E105" t="s">
        <v>112</v>
      </c>
      <c r="F105">
        <v>0</v>
      </c>
      <c r="G105">
        <v>200</v>
      </c>
    </row>
    <row r="106" spans="1:7" x14ac:dyDescent="0.25">
      <c r="A106" t="s">
        <v>61</v>
      </c>
      <c r="B106">
        <v>0</v>
      </c>
      <c r="C106">
        <v>0</v>
      </c>
      <c r="D106">
        <v>0</v>
      </c>
      <c r="E106" t="s">
        <v>112</v>
      </c>
      <c r="F106">
        <v>0</v>
      </c>
      <c r="G106">
        <v>180</v>
      </c>
    </row>
    <row r="107" spans="1:7" x14ac:dyDescent="0.25">
      <c r="A107" t="s">
        <v>192</v>
      </c>
      <c r="B107">
        <v>0</v>
      </c>
      <c r="C107">
        <v>0</v>
      </c>
      <c r="D107">
        <v>0</v>
      </c>
      <c r="E107" t="s">
        <v>112</v>
      </c>
      <c r="F107">
        <v>0</v>
      </c>
      <c r="G107">
        <v>251</v>
      </c>
    </row>
    <row r="108" spans="1:7" x14ac:dyDescent="0.25">
      <c r="A108" t="s">
        <v>67</v>
      </c>
      <c r="B108">
        <v>0</v>
      </c>
      <c r="C108">
        <v>0</v>
      </c>
      <c r="D108">
        <v>0</v>
      </c>
      <c r="E108" t="s">
        <v>112</v>
      </c>
      <c r="F108">
        <v>0</v>
      </c>
      <c r="G108">
        <v>200</v>
      </c>
    </row>
    <row r="109" spans="1:7" x14ac:dyDescent="0.25">
      <c r="A109" t="s">
        <v>66</v>
      </c>
      <c r="B109">
        <v>0</v>
      </c>
      <c r="C109">
        <v>0</v>
      </c>
      <c r="D109">
        <v>0</v>
      </c>
      <c r="E109" t="s">
        <v>112</v>
      </c>
      <c r="F109">
        <v>0</v>
      </c>
      <c r="G109">
        <v>200</v>
      </c>
    </row>
    <row r="110" spans="1:7" x14ac:dyDescent="0.25">
      <c r="A110" t="s">
        <v>193</v>
      </c>
      <c r="B110">
        <v>0</v>
      </c>
      <c r="C110">
        <v>4500</v>
      </c>
      <c r="D110">
        <v>0</v>
      </c>
      <c r="E110" t="s">
        <v>112</v>
      </c>
      <c r="F110">
        <v>0</v>
      </c>
      <c r="G110">
        <v>0</v>
      </c>
    </row>
    <row r="111" spans="1:7" x14ac:dyDescent="0.25">
      <c r="A111" t="s">
        <v>194</v>
      </c>
      <c r="B111">
        <v>0</v>
      </c>
      <c r="C111">
        <v>0</v>
      </c>
      <c r="D111">
        <v>0</v>
      </c>
      <c r="E111" t="s">
        <v>106</v>
      </c>
      <c r="F111">
        <v>0</v>
      </c>
      <c r="G111">
        <v>315</v>
      </c>
    </row>
    <row r="112" spans="1:7" x14ac:dyDescent="0.25">
      <c r="A112" t="s">
        <v>31</v>
      </c>
      <c r="B112">
        <v>0</v>
      </c>
      <c r="C112">
        <v>0</v>
      </c>
      <c r="D112">
        <v>0</v>
      </c>
      <c r="E112" t="s">
        <v>112</v>
      </c>
      <c r="F112">
        <v>0</v>
      </c>
      <c r="G112">
        <v>200</v>
      </c>
    </row>
    <row r="113" spans="1:7" x14ac:dyDescent="0.25">
      <c r="A113" t="s">
        <v>195</v>
      </c>
      <c r="B113">
        <v>0</v>
      </c>
      <c r="C113">
        <v>0</v>
      </c>
      <c r="D113">
        <v>0</v>
      </c>
      <c r="E113" t="s">
        <v>112</v>
      </c>
      <c r="F113">
        <v>0</v>
      </c>
      <c r="G113">
        <v>200</v>
      </c>
    </row>
    <row r="114" spans="1:7" x14ac:dyDescent="0.25">
      <c r="A114" t="s">
        <v>29</v>
      </c>
      <c r="B114">
        <v>0</v>
      </c>
      <c r="C114">
        <v>0</v>
      </c>
      <c r="D114">
        <v>0</v>
      </c>
      <c r="E114" t="s">
        <v>112</v>
      </c>
      <c r="F114">
        <v>0</v>
      </c>
      <c r="G114">
        <v>200</v>
      </c>
    </row>
    <row r="115" spans="1:7" x14ac:dyDescent="0.25">
      <c r="A115" t="s">
        <v>59</v>
      </c>
      <c r="B115">
        <v>0</v>
      </c>
      <c r="C115">
        <v>0</v>
      </c>
      <c r="D115">
        <v>0</v>
      </c>
      <c r="E115" t="s">
        <v>112</v>
      </c>
      <c r="F115">
        <v>0</v>
      </c>
      <c r="G115">
        <v>200</v>
      </c>
    </row>
    <row r="116" spans="1:7" x14ac:dyDescent="0.25">
      <c r="A116" t="s">
        <v>64</v>
      </c>
      <c r="B116">
        <v>0</v>
      </c>
      <c r="C116">
        <v>0</v>
      </c>
      <c r="D116">
        <v>0</v>
      </c>
      <c r="E116" t="s">
        <v>112</v>
      </c>
      <c r="F116">
        <v>0</v>
      </c>
      <c r="G116">
        <v>299</v>
      </c>
    </row>
    <row r="117" spans="1:7" x14ac:dyDescent="0.25">
      <c r="A117" t="s">
        <v>54</v>
      </c>
      <c r="B117">
        <v>2</v>
      </c>
      <c r="C117">
        <v>0</v>
      </c>
      <c r="D117">
        <v>0</v>
      </c>
      <c r="E117" t="s">
        <v>112</v>
      </c>
      <c r="F117">
        <v>0</v>
      </c>
      <c r="G117">
        <v>41</v>
      </c>
    </row>
    <row r="118" spans="1:7" x14ac:dyDescent="0.25">
      <c r="A118" t="s">
        <v>52</v>
      </c>
      <c r="B118">
        <v>0</v>
      </c>
      <c r="C118">
        <v>0</v>
      </c>
      <c r="D118">
        <v>0</v>
      </c>
      <c r="E118" t="s">
        <v>112</v>
      </c>
      <c r="F118">
        <v>0</v>
      </c>
      <c r="G118">
        <v>299</v>
      </c>
    </row>
    <row r="119" spans="1:7" x14ac:dyDescent="0.25">
      <c r="A119" t="s">
        <v>44</v>
      </c>
      <c r="B119">
        <v>0</v>
      </c>
      <c r="C119">
        <v>0</v>
      </c>
      <c r="D119">
        <v>0</v>
      </c>
      <c r="E119" t="s">
        <v>112</v>
      </c>
      <c r="F119">
        <v>0</v>
      </c>
      <c r="G119">
        <v>200</v>
      </c>
    </row>
    <row r="120" spans="1:7" x14ac:dyDescent="0.25">
      <c r="A120" t="s">
        <v>196</v>
      </c>
      <c r="B120">
        <v>0</v>
      </c>
      <c r="C120">
        <v>4500</v>
      </c>
      <c r="D120">
        <v>0</v>
      </c>
      <c r="E120" t="s">
        <v>112</v>
      </c>
      <c r="F120">
        <v>0</v>
      </c>
      <c r="G120">
        <v>0</v>
      </c>
    </row>
    <row r="121" spans="1:7" x14ac:dyDescent="0.25">
      <c r="A121" t="s">
        <v>50</v>
      </c>
      <c r="B121">
        <v>14</v>
      </c>
      <c r="C121">
        <v>0</v>
      </c>
      <c r="D121">
        <v>0</v>
      </c>
      <c r="E121" t="s">
        <v>112</v>
      </c>
      <c r="F121">
        <v>0</v>
      </c>
      <c r="G121">
        <v>310</v>
      </c>
    </row>
    <row r="122" spans="1:7" x14ac:dyDescent="0.25">
      <c r="A122" t="s">
        <v>197</v>
      </c>
      <c r="B122">
        <v>0</v>
      </c>
      <c r="C122">
        <v>0</v>
      </c>
      <c r="D122">
        <v>0</v>
      </c>
      <c r="E122" t="s">
        <v>112</v>
      </c>
      <c r="F122">
        <v>0</v>
      </c>
      <c r="G122">
        <v>200</v>
      </c>
    </row>
    <row r="123" spans="1:7" x14ac:dyDescent="0.25">
      <c r="A123" t="s">
        <v>198</v>
      </c>
      <c r="B123">
        <v>0</v>
      </c>
      <c r="C123">
        <v>0</v>
      </c>
      <c r="D123">
        <v>0</v>
      </c>
      <c r="E123" t="s">
        <v>112</v>
      </c>
      <c r="F123">
        <v>0</v>
      </c>
      <c r="G123">
        <v>200</v>
      </c>
    </row>
    <row r="124" spans="1:7" x14ac:dyDescent="0.25">
      <c r="A124" t="s">
        <v>199</v>
      </c>
      <c r="B124">
        <v>0</v>
      </c>
      <c r="C124">
        <v>0</v>
      </c>
      <c r="D124">
        <v>0</v>
      </c>
      <c r="E124" t="s">
        <v>112</v>
      </c>
      <c r="F124">
        <v>0</v>
      </c>
      <c r="G124">
        <v>200</v>
      </c>
    </row>
    <row r="125" spans="1:7" x14ac:dyDescent="0.25">
      <c r="A125" t="s">
        <v>200</v>
      </c>
      <c r="B125">
        <v>0</v>
      </c>
      <c r="C125">
        <v>4500</v>
      </c>
      <c r="D125">
        <v>0</v>
      </c>
      <c r="E125" t="s">
        <v>112</v>
      </c>
      <c r="F125">
        <v>0</v>
      </c>
      <c r="G125">
        <v>0</v>
      </c>
    </row>
    <row r="126" spans="1:7" x14ac:dyDescent="0.25">
      <c r="A126" t="s">
        <v>201</v>
      </c>
      <c r="B126">
        <v>0</v>
      </c>
      <c r="C126">
        <v>16</v>
      </c>
      <c r="D126">
        <v>0</v>
      </c>
      <c r="E126" t="s">
        <v>112</v>
      </c>
      <c r="F126">
        <v>0</v>
      </c>
      <c r="G126">
        <v>250</v>
      </c>
    </row>
    <row r="127" spans="1:7" x14ac:dyDescent="0.25">
      <c r="A127" t="s">
        <v>202</v>
      </c>
      <c r="B127">
        <v>0</v>
      </c>
      <c r="C127">
        <v>0</v>
      </c>
      <c r="D127">
        <v>0</v>
      </c>
      <c r="E127" t="s">
        <v>112</v>
      </c>
      <c r="F127">
        <v>0</v>
      </c>
      <c r="G127">
        <v>200</v>
      </c>
    </row>
    <row r="128" spans="1:7" x14ac:dyDescent="0.25">
      <c r="A128" t="s">
        <v>203</v>
      </c>
      <c r="B128">
        <v>0</v>
      </c>
      <c r="C128">
        <v>0</v>
      </c>
      <c r="D128">
        <v>0</v>
      </c>
      <c r="E128" t="s">
        <v>112</v>
      </c>
      <c r="F128">
        <v>0</v>
      </c>
      <c r="G128">
        <v>250</v>
      </c>
    </row>
    <row r="129" spans="1:7" x14ac:dyDescent="0.25">
      <c r="A129" t="s">
        <v>204</v>
      </c>
      <c r="B129">
        <v>0</v>
      </c>
      <c r="C129">
        <v>0</v>
      </c>
      <c r="D129">
        <v>0</v>
      </c>
      <c r="E129" t="s">
        <v>112</v>
      </c>
      <c r="F129">
        <v>0</v>
      </c>
      <c r="G129">
        <v>250</v>
      </c>
    </row>
    <row r="130" spans="1:7" x14ac:dyDescent="0.25">
      <c r="A130" t="s">
        <v>205</v>
      </c>
      <c r="B130">
        <v>0</v>
      </c>
      <c r="C130">
        <v>4500</v>
      </c>
      <c r="D130">
        <v>0</v>
      </c>
      <c r="E130" t="s">
        <v>112</v>
      </c>
      <c r="F130">
        <v>0</v>
      </c>
      <c r="G130">
        <v>0</v>
      </c>
    </row>
    <row r="131" spans="1:7" x14ac:dyDescent="0.25">
      <c r="A131" t="s">
        <v>206</v>
      </c>
      <c r="B131">
        <v>0</v>
      </c>
      <c r="C131">
        <v>4500</v>
      </c>
      <c r="D131">
        <v>0</v>
      </c>
      <c r="E131" t="s">
        <v>112</v>
      </c>
      <c r="F131">
        <v>0</v>
      </c>
      <c r="G131">
        <v>0</v>
      </c>
    </row>
    <row r="132" spans="1:7" x14ac:dyDescent="0.25">
      <c r="A132" t="s">
        <v>207</v>
      </c>
      <c r="B132">
        <v>0</v>
      </c>
      <c r="C132">
        <v>4500</v>
      </c>
      <c r="D132">
        <v>0</v>
      </c>
      <c r="E132" t="s">
        <v>112</v>
      </c>
      <c r="F132">
        <v>0</v>
      </c>
      <c r="G132">
        <v>0</v>
      </c>
    </row>
    <row r="133" spans="1:7" x14ac:dyDescent="0.25">
      <c r="A133" t="s">
        <v>208</v>
      </c>
      <c r="B133">
        <v>0</v>
      </c>
      <c r="C133">
        <v>4500</v>
      </c>
      <c r="D133">
        <v>0</v>
      </c>
      <c r="E133" t="s">
        <v>112</v>
      </c>
      <c r="F133">
        <v>0</v>
      </c>
      <c r="G133">
        <v>0</v>
      </c>
    </row>
    <row r="134" spans="1:7" x14ac:dyDescent="0.25">
      <c r="A134" t="s">
        <v>336</v>
      </c>
      <c r="B134">
        <v>0</v>
      </c>
      <c r="C134">
        <v>0</v>
      </c>
      <c r="D134">
        <v>0</v>
      </c>
      <c r="E134" t="s">
        <v>112</v>
      </c>
      <c r="F134">
        <v>0</v>
      </c>
      <c r="G134">
        <v>176</v>
      </c>
    </row>
    <row r="135" spans="1:7" x14ac:dyDescent="0.25">
      <c r="A135" t="s">
        <v>209</v>
      </c>
      <c r="B135">
        <v>0</v>
      </c>
      <c r="C135">
        <v>0</v>
      </c>
      <c r="D135">
        <v>0</v>
      </c>
      <c r="E135" t="s">
        <v>112</v>
      </c>
      <c r="F135">
        <v>0</v>
      </c>
      <c r="G135">
        <v>200</v>
      </c>
    </row>
    <row r="136" spans="1:7" x14ac:dyDescent="0.25">
      <c r="A136" t="s">
        <v>210</v>
      </c>
      <c r="B136">
        <v>0</v>
      </c>
      <c r="C136">
        <v>0</v>
      </c>
      <c r="D136">
        <v>0</v>
      </c>
      <c r="E136" t="s">
        <v>112</v>
      </c>
      <c r="F136">
        <v>0</v>
      </c>
      <c r="G136">
        <v>200</v>
      </c>
    </row>
    <row r="137" spans="1:7" x14ac:dyDescent="0.25">
      <c r="A137" t="s">
        <v>211</v>
      </c>
      <c r="B137">
        <v>0</v>
      </c>
      <c r="C137">
        <v>0</v>
      </c>
      <c r="D137">
        <v>0</v>
      </c>
      <c r="E137" t="s">
        <v>112</v>
      </c>
      <c r="F137">
        <v>0</v>
      </c>
      <c r="G137">
        <v>200</v>
      </c>
    </row>
    <row r="138" spans="1:7" x14ac:dyDescent="0.25">
      <c r="A138" s="66" t="s">
        <v>212</v>
      </c>
      <c r="B138" s="66">
        <v>0</v>
      </c>
      <c r="C138">
        <v>0</v>
      </c>
      <c r="D138">
        <v>0</v>
      </c>
      <c r="E138" t="s">
        <v>112</v>
      </c>
      <c r="F138">
        <v>0</v>
      </c>
      <c r="G138">
        <v>200</v>
      </c>
    </row>
    <row r="139" spans="1:7" x14ac:dyDescent="0.25">
      <c r="A139" t="s">
        <v>213</v>
      </c>
      <c r="B139">
        <v>0</v>
      </c>
      <c r="C139">
        <v>0</v>
      </c>
      <c r="D139">
        <v>0</v>
      </c>
      <c r="E139" t="s">
        <v>112</v>
      </c>
      <c r="F139">
        <v>0</v>
      </c>
      <c r="G139">
        <v>200</v>
      </c>
    </row>
    <row r="140" spans="1:7" x14ac:dyDescent="0.25">
      <c r="A140" s="66" t="s">
        <v>214</v>
      </c>
      <c r="B140" s="66">
        <v>0</v>
      </c>
      <c r="C140">
        <v>0</v>
      </c>
      <c r="D140">
        <v>0</v>
      </c>
      <c r="E140" t="s">
        <v>112</v>
      </c>
      <c r="F140">
        <v>0</v>
      </c>
      <c r="G140">
        <v>200</v>
      </c>
    </row>
    <row r="141" spans="1:7" x14ac:dyDescent="0.25">
      <c r="A141" t="s">
        <v>215</v>
      </c>
      <c r="B141">
        <v>0</v>
      </c>
      <c r="C141">
        <v>0</v>
      </c>
      <c r="D141">
        <v>0</v>
      </c>
      <c r="E141" t="s">
        <v>112</v>
      </c>
      <c r="F141">
        <v>0</v>
      </c>
      <c r="G141">
        <v>200</v>
      </c>
    </row>
    <row r="142" spans="1:7" x14ac:dyDescent="0.25">
      <c r="A142" t="s">
        <v>216</v>
      </c>
      <c r="B142">
        <v>0</v>
      </c>
      <c r="C142">
        <v>0</v>
      </c>
      <c r="D142">
        <v>0</v>
      </c>
      <c r="E142" t="s">
        <v>112</v>
      </c>
      <c r="F142">
        <v>0</v>
      </c>
      <c r="G142">
        <v>200</v>
      </c>
    </row>
    <row r="143" spans="1:7" x14ac:dyDescent="0.25">
      <c r="A143" t="s">
        <v>217</v>
      </c>
      <c r="B143">
        <v>0</v>
      </c>
      <c r="C143">
        <v>0</v>
      </c>
      <c r="D143">
        <v>0</v>
      </c>
      <c r="E143" t="s">
        <v>112</v>
      </c>
      <c r="F143">
        <v>0</v>
      </c>
      <c r="G143">
        <v>250</v>
      </c>
    </row>
    <row r="144" spans="1:7" x14ac:dyDescent="0.25">
      <c r="A144" t="s">
        <v>218</v>
      </c>
      <c r="B144">
        <v>0</v>
      </c>
      <c r="C144">
        <v>4500</v>
      </c>
      <c r="D144">
        <v>0</v>
      </c>
      <c r="E144" t="s">
        <v>112</v>
      </c>
      <c r="F144">
        <v>0</v>
      </c>
      <c r="G144">
        <v>0</v>
      </c>
    </row>
    <row r="145" spans="1:7" x14ac:dyDescent="0.25">
      <c r="A145" t="s">
        <v>219</v>
      </c>
      <c r="B145">
        <v>0</v>
      </c>
      <c r="C145">
        <v>0</v>
      </c>
      <c r="D145">
        <v>0</v>
      </c>
      <c r="E145" t="s">
        <v>112</v>
      </c>
      <c r="F145">
        <v>0</v>
      </c>
      <c r="G145">
        <v>200</v>
      </c>
    </row>
    <row r="146" spans="1:7" x14ac:dyDescent="0.25">
      <c r="A146" t="s">
        <v>220</v>
      </c>
      <c r="B146">
        <v>0</v>
      </c>
      <c r="C146">
        <v>0</v>
      </c>
      <c r="D146">
        <v>0</v>
      </c>
      <c r="E146" t="s">
        <v>112</v>
      </c>
      <c r="F146">
        <v>0</v>
      </c>
      <c r="G146">
        <v>200</v>
      </c>
    </row>
    <row r="147" spans="1:7" x14ac:dyDescent="0.25">
      <c r="A147" t="s">
        <v>221</v>
      </c>
      <c r="B147">
        <v>0</v>
      </c>
      <c r="C147">
        <v>0</v>
      </c>
      <c r="D147">
        <v>0</v>
      </c>
      <c r="E147" t="s">
        <v>112</v>
      </c>
      <c r="F147">
        <v>0</v>
      </c>
      <c r="G147">
        <v>200</v>
      </c>
    </row>
    <row r="148" spans="1:7" x14ac:dyDescent="0.25">
      <c r="A148" t="s">
        <v>222</v>
      </c>
      <c r="B148">
        <v>0</v>
      </c>
      <c r="C148">
        <v>0</v>
      </c>
      <c r="D148">
        <v>0</v>
      </c>
      <c r="E148" t="s">
        <v>112</v>
      </c>
      <c r="F148">
        <v>0</v>
      </c>
      <c r="G148">
        <v>200</v>
      </c>
    </row>
    <row r="149" spans="1:7" x14ac:dyDescent="0.25">
      <c r="A149" t="s">
        <v>223</v>
      </c>
      <c r="B149">
        <v>0</v>
      </c>
      <c r="C149">
        <v>0</v>
      </c>
      <c r="D149">
        <v>0</v>
      </c>
      <c r="E149" t="s">
        <v>112</v>
      </c>
      <c r="F149">
        <v>0</v>
      </c>
      <c r="G149">
        <v>27</v>
      </c>
    </row>
    <row r="150" spans="1:7" x14ac:dyDescent="0.25">
      <c r="A150" t="s">
        <v>224</v>
      </c>
      <c r="B150">
        <v>0</v>
      </c>
      <c r="C150">
        <v>0</v>
      </c>
      <c r="D150">
        <v>0</v>
      </c>
      <c r="E150" t="s">
        <v>112</v>
      </c>
      <c r="F150">
        <v>0</v>
      </c>
      <c r="G150">
        <v>27</v>
      </c>
    </row>
    <row r="151" spans="1:7" x14ac:dyDescent="0.25">
      <c r="A151" t="s">
        <v>225</v>
      </c>
      <c r="B151">
        <v>0</v>
      </c>
      <c r="C151">
        <v>100</v>
      </c>
      <c r="D151">
        <v>0</v>
      </c>
      <c r="E151" t="s">
        <v>112</v>
      </c>
      <c r="F151">
        <v>0</v>
      </c>
      <c r="G151">
        <v>300</v>
      </c>
    </row>
    <row r="152" spans="1:7" x14ac:dyDescent="0.25">
      <c r="A152" s="66" t="s">
        <v>226</v>
      </c>
      <c r="B152" s="66">
        <v>0</v>
      </c>
      <c r="C152">
        <v>100</v>
      </c>
      <c r="D152">
        <v>0</v>
      </c>
      <c r="E152" t="s">
        <v>112</v>
      </c>
      <c r="F152">
        <v>0</v>
      </c>
      <c r="G152">
        <v>300</v>
      </c>
    </row>
    <row r="153" spans="1:7" x14ac:dyDescent="0.25">
      <c r="A153" t="s">
        <v>227</v>
      </c>
      <c r="B153">
        <v>0</v>
      </c>
      <c r="C153">
        <v>0</v>
      </c>
      <c r="D153">
        <v>0</v>
      </c>
      <c r="E153" t="s">
        <v>112</v>
      </c>
      <c r="F153">
        <v>0</v>
      </c>
      <c r="G153">
        <v>26</v>
      </c>
    </row>
    <row r="154" spans="1:7" x14ac:dyDescent="0.25">
      <c r="A154" s="66" t="s">
        <v>228</v>
      </c>
      <c r="B154" s="66">
        <v>0</v>
      </c>
      <c r="C154">
        <v>100</v>
      </c>
      <c r="D154">
        <v>0</v>
      </c>
      <c r="E154" t="s">
        <v>112</v>
      </c>
      <c r="F154">
        <v>0</v>
      </c>
      <c r="G154">
        <v>300</v>
      </c>
    </row>
    <row r="155" spans="1:7" x14ac:dyDescent="0.25">
      <c r="A155" t="s">
        <v>229</v>
      </c>
      <c r="B155">
        <v>0</v>
      </c>
      <c r="C155">
        <v>140</v>
      </c>
      <c r="D155">
        <v>0</v>
      </c>
      <c r="E155" t="s">
        <v>112</v>
      </c>
      <c r="F155">
        <v>0</v>
      </c>
      <c r="G155">
        <v>300</v>
      </c>
    </row>
    <row r="156" spans="1:7" x14ac:dyDescent="0.25">
      <c r="A156" t="s">
        <v>230</v>
      </c>
      <c r="B156">
        <v>0</v>
      </c>
      <c r="C156">
        <v>100</v>
      </c>
      <c r="D156">
        <v>0</v>
      </c>
      <c r="E156" t="s">
        <v>112</v>
      </c>
      <c r="F156">
        <v>0</v>
      </c>
      <c r="G156">
        <v>300</v>
      </c>
    </row>
    <row r="157" spans="1:7" x14ac:dyDescent="0.25">
      <c r="A157" t="s">
        <v>231</v>
      </c>
      <c r="B157">
        <v>0</v>
      </c>
      <c r="C157">
        <v>100</v>
      </c>
      <c r="D157">
        <v>0</v>
      </c>
      <c r="E157" t="s">
        <v>112</v>
      </c>
      <c r="F157">
        <v>0</v>
      </c>
      <c r="G157">
        <v>300</v>
      </c>
    </row>
    <row r="158" spans="1:7" x14ac:dyDescent="0.25">
      <c r="A158" t="s">
        <v>232</v>
      </c>
      <c r="B158">
        <v>0</v>
      </c>
      <c r="C158">
        <v>0</v>
      </c>
      <c r="D158">
        <v>0</v>
      </c>
      <c r="E158" t="s">
        <v>112</v>
      </c>
      <c r="F158">
        <v>0</v>
      </c>
      <c r="G158">
        <v>176</v>
      </c>
    </row>
    <row r="159" spans="1:7" x14ac:dyDescent="0.25">
      <c r="A159" s="66"/>
      <c r="B159" s="66"/>
    </row>
    <row r="160" spans="1:7" x14ac:dyDescent="0.25">
      <c r="A160" s="66" t="s">
        <v>296</v>
      </c>
      <c r="B160" s="66">
        <v>48</v>
      </c>
    </row>
    <row r="165" spans="1:2" x14ac:dyDescent="0.25">
      <c r="A165" s="66"/>
      <c r="B165" s="66"/>
    </row>
    <row r="190" spans="1:2" x14ac:dyDescent="0.25">
      <c r="A190" s="66"/>
      <c r="B190" s="66"/>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B4B818AB64CA044A924C21241FB2DCC" ma:contentTypeVersion="1" ma:contentTypeDescription="Create a new document." ma:contentTypeScope="" ma:versionID="2ee830ea16fe502632b07848f021d2d3">
  <xsd:schema xmlns:xsd="http://www.w3.org/2001/XMLSchema" xmlns:xs="http://www.w3.org/2001/XMLSchema" xmlns:p="http://schemas.microsoft.com/office/2006/metadata/properties" xmlns:ns3="fdf1ce34-3aba-4b43-9634-f1bedca3819e" targetNamespace="http://schemas.microsoft.com/office/2006/metadata/properties" ma:root="true" ma:fieldsID="e20a2d3c5a6a8e24d3d29ba6a52d85d5" ns3:_="">
    <xsd:import namespace="fdf1ce34-3aba-4b43-9634-f1bedca3819e"/>
    <xsd:element name="properties">
      <xsd:complexType>
        <xsd:sequence>
          <xsd:element name="documentManagement">
            <xsd:complexType>
              <xsd:all>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df1ce34-3aba-4b43-9634-f1bedca3819e"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3B3ABCF-EF3E-4F50-879E-7644A42200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df1ce34-3aba-4b43-9634-f1bedca381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59C06E0-B58C-49F7-80A1-305A1D87222D}">
  <ds:schemaRefs>
    <ds:schemaRef ds:uri="http://schemas.microsoft.com/sharepoint/v3/contenttype/forms"/>
  </ds:schemaRefs>
</ds:datastoreItem>
</file>

<file path=customXml/itemProps3.xml><?xml version="1.0" encoding="utf-8"?>
<ds:datastoreItem xmlns:ds="http://schemas.openxmlformats.org/officeDocument/2006/customXml" ds:itemID="{D5BE204D-9C20-422B-8706-D07AB98088BA}">
  <ds:schemaRefs>
    <ds:schemaRef ds:uri="http://purl.org/dc/terms/"/>
    <ds:schemaRef ds:uri="http://www.w3.org/XML/1998/namespace"/>
    <ds:schemaRef ds:uri="fdf1ce34-3aba-4b43-9634-f1bedca3819e"/>
    <ds:schemaRef ds:uri="http://schemas.microsoft.com/office/2006/metadata/properties"/>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29</vt:i4>
      </vt:variant>
    </vt:vector>
  </HeadingPairs>
  <TitlesOfParts>
    <vt:vector size="42" baseType="lpstr">
      <vt:lpstr>Rodeo</vt:lpstr>
      <vt:lpstr>Background</vt:lpstr>
      <vt:lpstr>WIP</vt:lpstr>
      <vt:lpstr>Rainbow</vt:lpstr>
      <vt:lpstr>RATES</vt:lpstr>
      <vt:lpstr>AFE1</vt:lpstr>
      <vt:lpstr>AFE2</vt:lpstr>
      <vt:lpstr>SANKEY</vt:lpstr>
      <vt:lpstr>AF</vt:lpstr>
      <vt:lpstr>WOW</vt:lpstr>
      <vt:lpstr>Parameters</vt:lpstr>
      <vt:lpstr>PlanHC</vt:lpstr>
      <vt:lpstr>User</vt:lpstr>
      <vt:lpstr>COOL</vt:lpstr>
      <vt:lpstr>CPPSmartPacPolyHC</vt:lpstr>
      <vt:lpstr>Rodeo!ExSD?isEulerUpgraded_ALL_processPath__fnSku__fulfillmentServiceClass_ALL_exSDRange.quickRange_ALL_isEulerPromiseMiss_ALL_zAxis_WORK_POOL_sortCode__isEulerExSDMiss_ALL_exSDRange.dailyEnd_00_3A00_exSDRange.dailyStart_00_1</vt:lpstr>
      <vt:lpstr>HOMEFC</vt:lpstr>
      <vt:lpstr>PICKHC</vt:lpstr>
      <vt:lpstr>PICKHCnopull</vt:lpstr>
      <vt:lpstr>PPAFE1HC</vt:lpstr>
      <vt:lpstr>PPAFE1LL</vt:lpstr>
      <vt:lpstr>PPAFE1UL</vt:lpstr>
      <vt:lpstr>PPAFE2HC</vt:lpstr>
      <vt:lpstr>PPAFE2LL</vt:lpstr>
      <vt:lpstr>PPAFE2UL</vt:lpstr>
      <vt:lpstr>PPMixHC</vt:lpstr>
      <vt:lpstr>PPMixLL</vt:lpstr>
      <vt:lpstr>PPMixUL</vt:lpstr>
      <vt:lpstr>PPSingleSIOCHC</vt:lpstr>
      <vt:lpstr>PPSingleSIOCUL</vt:lpstr>
      <vt:lpstr>PPSingleSmallHC</vt:lpstr>
      <vt:lpstr>PPSingleSmallLL</vt:lpstr>
      <vt:lpstr>PPSingleSmallUL</vt:lpstr>
      <vt:lpstr>PPSingleWrapHC</vt:lpstr>
      <vt:lpstr>PPSIOCLL</vt:lpstr>
      <vt:lpstr>PPSmartPacHC</vt:lpstr>
      <vt:lpstr>PPSmartPacLL</vt:lpstr>
      <vt:lpstr>PPSmartPacPolyLL</vt:lpstr>
      <vt:lpstr>PPSmartPacPolyUL</vt:lpstr>
      <vt:lpstr>PPSmartPacUL</vt:lpstr>
      <vt:lpstr>PPWrapLL</vt:lpstr>
      <vt:lpstr>PPWrapUL</vt:lpstr>
    </vt:vector>
  </TitlesOfParts>
  <Company>Amazon Corporate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Micevski, Konstantin</dc:creator>
  <cp:lastModifiedBy>Valentine, Garrett</cp:lastModifiedBy>
  <cp:lastPrinted>2023-11-20T11:39:48Z</cp:lastPrinted>
  <dcterms:created xsi:type="dcterms:W3CDTF">2021-04-29T14:06:22Z</dcterms:created>
  <dcterms:modified xsi:type="dcterms:W3CDTF">2025-08-02T05:55:49Z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9eed6f-34eb-4453-9f97-09510b9b219f_Enabled">
    <vt:lpwstr>true</vt:lpwstr>
  </property>
  <property fmtid="{D5CDD505-2E9C-101B-9397-08002B2CF9AE}" pid="3" name="MSIP_Label_929eed6f-34eb-4453-9f97-09510b9b219f_SetDate">
    <vt:lpwstr>2024-07-24T14:31:23Z</vt:lpwstr>
  </property>
  <property fmtid="{D5CDD505-2E9C-101B-9397-08002B2CF9AE}" pid="4" name="MSIP_Label_929eed6f-34eb-4453-9f97-09510b9b219f_Method">
    <vt:lpwstr>Standard</vt:lpwstr>
  </property>
  <property fmtid="{D5CDD505-2E9C-101B-9397-08002B2CF9AE}" pid="5" name="MSIP_Label_929eed6f-34eb-4453-9f97-09510b9b219f_Name">
    <vt:lpwstr>Amazon Pending_Classification</vt:lpwstr>
  </property>
  <property fmtid="{D5CDD505-2E9C-101B-9397-08002B2CF9AE}" pid="6" name="MSIP_Label_929eed6f-34eb-4453-9f97-09510b9b219f_SiteId">
    <vt:lpwstr>5280104a-472d-4538-9ccf-1e1d0efe8b1b</vt:lpwstr>
  </property>
  <property fmtid="{D5CDD505-2E9C-101B-9397-08002B2CF9AE}" pid="7" name="MSIP_Label_929eed6f-34eb-4453-9f97-09510b9b219f_ActionId">
    <vt:lpwstr>c49cf86f-42e7-4cf7-a362-f17f71ed4f79</vt:lpwstr>
  </property>
  <property fmtid="{D5CDD505-2E9C-101B-9397-08002B2CF9AE}" pid="8" name="MSIP_Label_929eed6f-34eb-4453-9f97-09510b9b219f_ContentBits">
    <vt:lpwstr>0</vt:lpwstr>
  </property>
  <property fmtid="{D5CDD505-2E9C-101B-9397-08002B2CF9AE}" pid="9" name="ContentTypeId">
    <vt:lpwstr>0x0101001B4B818AB64CA044A924C21241FB2DCC</vt:lpwstr>
  </property>
</Properties>
</file>